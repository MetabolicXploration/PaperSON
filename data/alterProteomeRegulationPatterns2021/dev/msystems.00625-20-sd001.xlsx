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kowalski\Desktop\"/>
    </mc:Choice>
  </mc:AlternateContent>
  <bookViews>
    <workbookView xWindow="0" yWindow="0" windowWidth="28800" windowHeight="12000"/>
  </bookViews>
  <sheets>
    <sheet name="Info" sheetId="1" r:id="rId1"/>
    <sheet name="Sheet 1" sheetId="15" r:id="rId2"/>
    <sheet name="Sheet 2" sheetId="16" r:id="rId3"/>
    <sheet name="Sheet 3" sheetId="17" r:id="rId4"/>
    <sheet name="Sheet 4" sheetId="3" r:id="rId5"/>
    <sheet name="Sheet 5" sheetId="2" r:id="rId6"/>
    <sheet name="Sheet 6" sheetId="4" r:id="rId7"/>
    <sheet name="Sheet 7" sheetId="5" r:id="rId8"/>
    <sheet name="Sheet 8" sheetId="6" r:id="rId9"/>
    <sheet name="Sheet 9" sheetId="7" r:id="rId10"/>
    <sheet name="Sheet 10" sheetId="8" r:id="rId11"/>
    <sheet name="Sheet 11" sheetId="9" r:id="rId12"/>
    <sheet name="Sheet 12" sheetId="10" r:id="rId13"/>
    <sheet name="Sheet 13" sheetId="11" r:id="rId14"/>
    <sheet name="Sheet 14" sheetId="12" r:id="rId15"/>
    <sheet name="Sheet 15" sheetId="13" r:id="rId16"/>
    <sheet name="Sheet 16" sheetId="14" r:id="rId17"/>
    <sheet name="Sheet 17" sheetId="18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16" l="1"/>
  <c r="C16" i="16" s="1"/>
  <c r="D14" i="16"/>
  <c r="D16" i="16" s="1"/>
  <c r="E14" i="16"/>
  <c r="E16" i="16" s="1"/>
  <c r="F14" i="16"/>
  <c r="G14" i="16"/>
  <c r="H14" i="16"/>
  <c r="I14" i="16"/>
  <c r="I16" i="16" s="1"/>
  <c r="J14" i="16"/>
  <c r="K14" i="16"/>
  <c r="K16" i="16" s="1"/>
  <c r="L14" i="16"/>
  <c r="L16" i="16" s="1"/>
  <c r="M14" i="16"/>
  <c r="M16" i="16" s="1"/>
  <c r="N14" i="16"/>
  <c r="O14" i="16"/>
  <c r="P14" i="16"/>
  <c r="Q14" i="16"/>
  <c r="Q16" i="16" s="1"/>
  <c r="R14" i="16"/>
  <c r="S14" i="16"/>
  <c r="S16" i="16" s="1"/>
  <c r="T14" i="16"/>
  <c r="T16" i="16" s="1"/>
  <c r="U14" i="16"/>
  <c r="U16" i="16" s="1"/>
  <c r="V14" i="16"/>
  <c r="W14" i="16"/>
  <c r="W16" i="16" s="1"/>
  <c r="B14" i="16"/>
  <c r="B16" i="16" s="1"/>
  <c r="C7" i="16"/>
  <c r="G7" i="16"/>
  <c r="K7" i="16"/>
  <c r="O7" i="16"/>
  <c r="S7" i="16"/>
  <c r="W7" i="16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V16" i="16"/>
  <c r="R16" i="16"/>
  <c r="P16" i="16"/>
  <c r="O16" i="16"/>
  <c r="N16" i="16"/>
  <c r="J16" i="16"/>
  <c r="H16" i="16"/>
  <c r="G16" i="16"/>
  <c r="F16" i="16"/>
  <c r="W5" i="16"/>
  <c r="V5" i="16"/>
  <c r="V7" i="16" s="1"/>
  <c r="U5" i="16"/>
  <c r="U7" i="16" s="1"/>
  <c r="T5" i="16"/>
  <c r="T7" i="16" s="1"/>
  <c r="S5" i="16"/>
  <c r="R5" i="16"/>
  <c r="R7" i="16" s="1"/>
  <c r="Q5" i="16"/>
  <c r="Q7" i="16" s="1"/>
  <c r="P5" i="16"/>
  <c r="P7" i="16" s="1"/>
  <c r="O5" i="16"/>
  <c r="N5" i="16"/>
  <c r="N7" i="16" s="1"/>
  <c r="M5" i="16"/>
  <c r="M7" i="16" s="1"/>
  <c r="L5" i="16"/>
  <c r="L7" i="16" s="1"/>
  <c r="K5" i="16"/>
  <c r="J5" i="16"/>
  <c r="J7" i="16" s="1"/>
  <c r="I5" i="16"/>
  <c r="I7" i="16" s="1"/>
  <c r="H5" i="16"/>
  <c r="H7" i="16" s="1"/>
  <c r="G5" i="16"/>
  <c r="F5" i="16"/>
  <c r="F7" i="16" s="1"/>
  <c r="E5" i="16"/>
  <c r="E7" i="16" s="1"/>
  <c r="D5" i="16"/>
  <c r="D7" i="16" s="1"/>
  <c r="C5" i="16"/>
  <c r="B5" i="16"/>
  <c r="B7" i="16" s="1"/>
  <c r="B19" i="16" l="1"/>
  <c r="B18" i="16"/>
  <c r="D15" i="3" l="1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46" i="3"/>
  <c r="D47" i="3"/>
  <c r="D48" i="3"/>
  <c r="D49" i="3"/>
  <c r="D50" i="3"/>
  <c r="D51" i="3"/>
  <c r="B45" i="3"/>
  <c r="B44" i="3"/>
  <c r="B43" i="3"/>
  <c r="B42" i="3"/>
  <c r="B41" i="3"/>
  <c r="B40" i="3"/>
  <c r="B39" i="3"/>
  <c r="H13" i="3"/>
  <c r="F13" i="3"/>
  <c r="C13" i="3"/>
  <c r="F12" i="3"/>
  <c r="C12" i="3"/>
  <c r="H11" i="3"/>
  <c r="F11" i="3"/>
  <c r="C11" i="3"/>
  <c r="H10" i="3"/>
  <c r="F10" i="3"/>
  <c r="C10" i="3"/>
  <c r="H9" i="3"/>
  <c r="F9" i="3"/>
  <c r="C9" i="3"/>
  <c r="H8" i="3"/>
  <c r="F8" i="3"/>
  <c r="C8" i="3"/>
  <c r="H7" i="3"/>
  <c r="F7" i="3"/>
  <c r="C7" i="3"/>
  <c r="H6" i="3"/>
  <c r="F6" i="3"/>
  <c r="C6" i="3"/>
</calcChain>
</file>

<file path=xl/sharedStrings.xml><?xml version="1.0" encoding="utf-8"?>
<sst xmlns="http://schemas.openxmlformats.org/spreadsheetml/2006/main" count="13294" uniqueCount="8836">
  <si>
    <t>Simulated and experimentally determined data for the manuscript:</t>
  </si>
  <si>
    <t>Tobias B. Alter; Lars M. Blank; Birgitta E. Ebert</t>
  </si>
  <si>
    <t>Content:</t>
  </si>
  <si>
    <t>Sheet</t>
  </si>
  <si>
    <t>Description</t>
  </si>
  <si>
    <t>Sheet 1</t>
  </si>
  <si>
    <t>Curated enzymatic data used to build the protein allocation model</t>
  </si>
  <si>
    <t>Sheet 2</t>
  </si>
  <si>
    <t>Transformation of experimentally determined protein mass data to dry cell weight related units</t>
  </si>
  <si>
    <t>Sheet 3</t>
  </si>
  <si>
    <t>Cell volumes calculated from growth rates based on the experimentally justified relation of Volkmer et al. (2011) (doi: 10.1371/journal.pone.0023126)</t>
  </si>
  <si>
    <t>Sheet 4</t>
  </si>
  <si>
    <t>(Data shown in Fig 3) Experimental data of growth, acetate secretion, oxygen uptake, and carbon dioxide production rates for E. coli for a range of  glucose uptake rates</t>
  </si>
  <si>
    <t>Sheet 5</t>
  </si>
  <si>
    <t>(Data shown in Fig 4) Comparison between experimentally determined  and predicted growth and acetate secretion rates using several substrates as sole carbon sources.</t>
  </si>
  <si>
    <t>Sheet 6</t>
  </si>
  <si>
    <t>(Data shown in Fig 5) Comparison between predictions and experimental data of intracellular fluxes of the central carbon metabolism of E. coli grown on a glucose minimal medium.</t>
  </si>
  <si>
    <t>Sheet 7</t>
  </si>
  <si>
    <t>Sheet 8</t>
  </si>
  <si>
    <t>Sheet 9</t>
  </si>
  <si>
    <t>Sheet 10</t>
  </si>
  <si>
    <t>Sheet 11</t>
  </si>
  <si>
    <t>Sheet 12</t>
  </si>
  <si>
    <t>(Data shown in Fig S1) Comparison between experimentally determined  and predicted growth and acetate secretion rates using several substrates as sole carbon sources.</t>
  </si>
  <si>
    <t>Sheet 13</t>
  </si>
  <si>
    <t>Sheet 14</t>
  </si>
  <si>
    <t>Sheet 15</t>
  </si>
  <si>
    <t>Sheet 16</t>
  </si>
  <si>
    <t>Sheet 17</t>
  </si>
  <si>
    <t>(Data shown in Fig S8) Comparison between turnover numbers from the in vitro curated data set (cf. Sheet 1) and a data set derived from a machine learning ensemble model published by Heckmann et al. (2018) (doi: 10.1038/s41467-018-07652-6)</t>
  </si>
  <si>
    <t>Reaction IDs are taken from the BIGG database (http://bigg.ucsd.edu/)</t>
  </si>
  <si>
    <t>Basis stoichiometric reconstruction: iML1515 (Escherichia coli K12 MG1655)</t>
  </si>
  <si>
    <r>
      <rPr>
        <i/>
        <sz val="11"/>
        <color theme="1"/>
        <rFont val="Calibri"/>
        <family val="2"/>
        <scheme val="minor"/>
      </rPr>
      <t>in vitro</t>
    </r>
    <r>
      <rPr>
        <sz val="11"/>
        <color theme="1"/>
        <rFont val="Calibri"/>
        <family val="2"/>
        <scheme val="minor"/>
      </rPr>
      <t xml:space="preserve"> curated</t>
    </r>
  </si>
  <si>
    <t>Reaction ID</t>
  </si>
  <si>
    <t>Reaction name</t>
  </si>
  <si>
    <t>Reaction equation</t>
  </si>
  <si>
    <t>EC number</t>
  </si>
  <si>
    <t>Enzyme molar mass [g/mol]</t>
  </si>
  <si>
    <t>Turnover number (kcat) [1/s]</t>
  </si>
  <si>
    <t>ALATA_D2</t>
  </si>
  <si>
    <t>D-alanine transaminase</t>
  </si>
  <si>
    <t xml:space="preserve">pydx5p_c + ala__D_c  -&gt; pyam5p_c + pyr_c </t>
  </si>
  <si>
    <t>2.1.2.1, 4.1.2.48</t>
  </si>
  <si>
    <t>SHCHD2</t>
  </si>
  <si>
    <t>Sirohydrochlorin dehydrogenase (NAD)</t>
  </si>
  <si>
    <t xml:space="preserve">nad_c + dscl_c  -&gt; h_c + scl_c + nadh_c </t>
  </si>
  <si>
    <t>1.3.1.76</t>
  </si>
  <si>
    <t>CPPPGO</t>
  </si>
  <si>
    <t>Coproporphyrinogen oxidase (O2 required)</t>
  </si>
  <si>
    <t xml:space="preserve">2 h_c + o2_c + cpppg3_c  -&gt; 2 h2o_c + pppg9_c + 2 co2_c </t>
  </si>
  <si>
    <t>1.3.3.3</t>
  </si>
  <si>
    <t>GTHOr_f</t>
  </si>
  <si>
    <t>Glutathione oxidoreductase</t>
  </si>
  <si>
    <t xml:space="preserve">h_c + nadph_c + gthox_c  -&gt; 2 gthrd_c + nadp_c </t>
  </si>
  <si>
    <t>1.8.1.7</t>
  </si>
  <si>
    <t>DHORD5</t>
  </si>
  <si>
    <t>Dihydroorotic acid (menaquinone-8)</t>
  </si>
  <si>
    <t xml:space="preserve">dhor__S_c + mqn8_c  -&gt; orot_c + mql8_c </t>
  </si>
  <si>
    <t>1.3.5.2</t>
  </si>
  <si>
    <t>GLYCTO2</t>
  </si>
  <si>
    <t>Glycolate oxidase</t>
  </si>
  <si>
    <t xml:space="preserve">glyclt_c + q8_c  -&gt; glx_c + q8h2_c </t>
  </si>
  <si>
    <t>1.1.3.15</t>
  </si>
  <si>
    <t>GLYCTO3</t>
  </si>
  <si>
    <t xml:space="preserve">glyclt_c + mqn8_c  -&gt; glx_c + mql8_c </t>
  </si>
  <si>
    <t>GLYCTO4</t>
  </si>
  <si>
    <t xml:space="preserve">glyclt_c + 2dmmq8_c  -&gt; glx_c + 2dmmql8_c </t>
  </si>
  <si>
    <t>PFK_3</t>
  </si>
  <si>
    <t>Phosphofructokinase (s7p)</t>
  </si>
  <si>
    <t xml:space="preserve">atp_c + s7p_c  -&gt; h_c + adp_c + s17bp_c </t>
  </si>
  <si>
    <t>2.7.1.11</t>
  </si>
  <si>
    <t>TRPS2</t>
  </si>
  <si>
    <t>Tryptophan synthase (indole)</t>
  </si>
  <si>
    <t xml:space="preserve">ser__L_c + indole_c  -&gt; trp__L_c + h2o_c </t>
  </si>
  <si>
    <t>4.2.1.20</t>
  </si>
  <si>
    <t>G3PD5</t>
  </si>
  <si>
    <t>Glycerol-3-phosphate dehydrogenase (ubiquinone-8)</t>
  </si>
  <si>
    <t xml:space="preserve">glyc3p_c + q8_c  -&gt; dhap_c + q8h2_c </t>
  </si>
  <si>
    <t>1.1.5.3</t>
  </si>
  <si>
    <t>LEUTAi</t>
  </si>
  <si>
    <t>Leucine transaminase (irreversible)</t>
  </si>
  <si>
    <t xml:space="preserve">4mop_c + glu__L_c  -&gt; akg_c + leu__L_c </t>
  </si>
  <si>
    <t>2.6.1.42</t>
  </si>
  <si>
    <t>SHK3Dr_f</t>
  </si>
  <si>
    <t>Shikimate dehydrogenase</t>
  </si>
  <si>
    <t xml:space="preserve">h_c + 3dhsk_c + nadph_c  -&gt; skm_c + nadp_c </t>
  </si>
  <si>
    <t>1.1.1.25, 1.1.1.282</t>
  </si>
  <si>
    <t>G5SD</t>
  </si>
  <si>
    <t>Glutamate-5-semialdehyde dehydrogenase</t>
  </si>
  <si>
    <t xml:space="preserve">h_c + nadph_c + glu5p_c  -&gt; pi_c + nadp_c + glu5sa_c </t>
  </si>
  <si>
    <t>1.2.1.41</t>
  </si>
  <si>
    <t>ALATA_L2</t>
  </si>
  <si>
    <t>Alanine transaminase</t>
  </si>
  <si>
    <t xml:space="preserve">pydx5p_c + ala__L_c  -&gt; pyam5p_c + pyr_c </t>
  </si>
  <si>
    <t>MAN6PI_f</t>
  </si>
  <si>
    <t>Mannose-6-phosphate isomerase</t>
  </si>
  <si>
    <t xml:space="preserve">man6p_c  -&gt; f6p_c </t>
  </si>
  <si>
    <t>5.3.1.8</t>
  </si>
  <si>
    <t>APRAUR</t>
  </si>
  <si>
    <t>5-amino-6-(5-phosphoribosylamino)uracil reductase</t>
  </si>
  <si>
    <t xml:space="preserve">h_c + 5apru_c + nadph_c  -&gt; nadp_c + 5aprbu_c </t>
  </si>
  <si>
    <t>1.1.1.193</t>
  </si>
  <si>
    <t>DB4PS</t>
  </si>
  <si>
    <t>3,4-Dihydroxy-2-butanone-4-phosphate synthase</t>
  </si>
  <si>
    <t xml:space="preserve">ru5p__D_c  -&gt; h_c + db4p_c + for_c </t>
  </si>
  <si>
    <t>4.1.99.12</t>
  </si>
  <si>
    <t>RBFK</t>
  </si>
  <si>
    <t>Riboflavin kinase</t>
  </si>
  <si>
    <t xml:space="preserve">atp_c + ribflv_c  -&gt; h_c + adp_c + fmn_c </t>
  </si>
  <si>
    <t>2.7.1.26</t>
  </si>
  <si>
    <t>ACP1_FMN</t>
  </si>
  <si>
    <t>Acid phosphatase (FMN)</t>
  </si>
  <si>
    <t xml:space="preserve">h2o_c + fmn_c  -&gt; pi_c + ribflv_c </t>
  </si>
  <si>
    <t>3.1.3.104</t>
  </si>
  <si>
    <t>RBFSb</t>
  </si>
  <si>
    <t>Riboflavin synthase</t>
  </si>
  <si>
    <t xml:space="preserve">2 dmlz_c  -&gt; 4r5au_c + ribflv_c </t>
  </si>
  <si>
    <t>2.5.1.9</t>
  </si>
  <si>
    <t>DMATT</t>
  </si>
  <si>
    <t>Dimethylallyltranstransferase</t>
  </si>
  <si>
    <t xml:space="preserve">ipdp_c + dmpp_c  -&gt; grdp_c + ppi_c </t>
  </si>
  <si>
    <t>2.5.1.10</t>
  </si>
  <si>
    <t>GRTT</t>
  </si>
  <si>
    <t>Geranyltranstransferase</t>
  </si>
  <si>
    <t xml:space="preserve">grdp_c + ipdp_c  -&gt; ppi_c + frdp_c </t>
  </si>
  <si>
    <t>UPP3S</t>
  </si>
  <si>
    <t>Uroporphyrinogen-III synthase</t>
  </si>
  <si>
    <t xml:space="preserve">hmbil_c  -&gt; uppg3_c + h2o_c </t>
  </si>
  <si>
    <t>4.2.1.75</t>
  </si>
  <si>
    <t>UPPDC1</t>
  </si>
  <si>
    <t>Uroporphyrinogen decarboxylase (uroporphyrinogen III)</t>
  </si>
  <si>
    <t xml:space="preserve">4 h_c + uppg3_c  -&gt; cpppg3_c + 4 co2_c </t>
  </si>
  <si>
    <t>4.1.1.37</t>
  </si>
  <si>
    <t>TMDPP_f</t>
  </si>
  <si>
    <t>Thymidine phosphorylase</t>
  </si>
  <si>
    <t xml:space="preserve">pi_c + thymd_c  -&gt; 2dr1p_c + thym_c </t>
  </si>
  <si>
    <t>2.4.2.4</t>
  </si>
  <si>
    <t>HCO3E_f</t>
  </si>
  <si>
    <t>HCO3 equilibration reaction</t>
  </si>
  <si>
    <t xml:space="preserve">h2o_c + co2_c  -&gt; h_c + hco3_c </t>
  </si>
  <si>
    <t>4.2.1.1</t>
  </si>
  <si>
    <t>IMPC_f</t>
  </si>
  <si>
    <t>IMP cyclohydrolase</t>
  </si>
  <si>
    <t xml:space="preserve">imp_c + h2o_c  -&gt; fprica_c </t>
  </si>
  <si>
    <t>3.5.4.10</t>
  </si>
  <si>
    <t>IMPD</t>
  </si>
  <si>
    <t>IMP dehydrogenase</t>
  </si>
  <si>
    <t xml:space="preserve">nad_c + imp_c + h2o_c  -&gt; h_c + xmp_c + nadh_c </t>
  </si>
  <si>
    <t>1.1.1.205</t>
  </si>
  <si>
    <t>ECOAH4_f</t>
  </si>
  <si>
    <t>3-hydroxyacyl-CoA dehydratase (3-hydroxydecanoyl-CoA)</t>
  </si>
  <si>
    <t xml:space="preserve">3hdcoa_c  -&gt; dc2coa_c + h2o_c </t>
  </si>
  <si>
    <t>1.1.1.35, 4.2.1.17</t>
  </si>
  <si>
    <t>GLUTRS</t>
  </si>
  <si>
    <t>Glutamyl-tRNA synthetase</t>
  </si>
  <si>
    <t xml:space="preserve">atp_c + glu__L_c + trnaglu_c  -&gt; glutrna_c + ppi_c + amp_c </t>
  </si>
  <si>
    <t>6.1.1.17</t>
  </si>
  <si>
    <t>TMPPP</t>
  </si>
  <si>
    <t>Thiamine-phosphate diphosphorylase</t>
  </si>
  <si>
    <t xml:space="preserve">h_c + 2mahmp_c + 4mpetz_c  -&gt; ppi_c + thmmp_c </t>
  </si>
  <si>
    <t>2.5.1.3</t>
  </si>
  <si>
    <t>URIK1</t>
  </si>
  <si>
    <t xml:space="preserve">Uridine kinase  ATPUridine </t>
  </si>
  <si>
    <t xml:space="preserve">atp_c + uri_c  -&gt; h_c + ump_c + adp_c </t>
  </si>
  <si>
    <t>2.7.1.48</t>
  </si>
  <si>
    <t>URIK2</t>
  </si>
  <si>
    <t>Uridine kinase (GTP:Uridine)</t>
  </si>
  <si>
    <t xml:space="preserve">uri_c + gtp_c  -&gt; h_c + ump_c + gdp_c </t>
  </si>
  <si>
    <t>CYTDK1</t>
  </si>
  <si>
    <t>ATP:cytidine 5'-phosphotransferase</t>
  </si>
  <si>
    <t xml:space="preserve">cytd_c + atp_c  -&gt; h_c + adp_c + cmp_c </t>
  </si>
  <si>
    <t>CYTDK2</t>
  </si>
  <si>
    <t>Cytidine kinase (GTP)</t>
  </si>
  <si>
    <t xml:space="preserve">cytd_c + gtp_c  -&gt; h_c + gdp_c + cmp_c </t>
  </si>
  <si>
    <t>XPPT</t>
  </si>
  <si>
    <t>Xanthine phosphoribosyltransferase</t>
  </si>
  <si>
    <t xml:space="preserve">xan_c + prpp_c  -&gt; ppi_c + xmp_c </t>
  </si>
  <si>
    <t>2.4.2.22</t>
  </si>
  <si>
    <t>HXPRT</t>
  </si>
  <si>
    <t>Hypoxanthine phosphoribosyltransferase (Hypoxanthine)</t>
  </si>
  <si>
    <t xml:space="preserve">prpp_c + hxan_c  -&gt; imp_c + ppi_c </t>
  </si>
  <si>
    <t>NDPK5_f</t>
  </si>
  <si>
    <t>Nucleoside-diphosphate kinase (ATP:dGDP)</t>
  </si>
  <si>
    <t xml:space="preserve">dgdp_c + atp_c  -&gt; adp_c + dgtp_c </t>
  </si>
  <si>
    <t>2.7.4.3, 2.7.4.6</t>
  </si>
  <si>
    <t>DHORTS_f</t>
  </si>
  <si>
    <t>Dihydroorotase</t>
  </si>
  <si>
    <t xml:space="preserve">dhor__S_c + h2o_c  -&gt; h_c + cbasp_c </t>
  </si>
  <si>
    <t>3.5.2.3</t>
  </si>
  <si>
    <t>OMPDC</t>
  </si>
  <si>
    <t>Orotidine-5'-phosphate decarboxylase</t>
  </si>
  <si>
    <t xml:space="preserve">h_c + orot5p_c  -&gt; ump_c + co2_c </t>
  </si>
  <si>
    <t>4.1.1.23</t>
  </si>
  <si>
    <t>CS</t>
  </si>
  <si>
    <t>Citrate synthase</t>
  </si>
  <si>
    <t xml:space="preserve">accoa_c + h2o_c + oaa_c  -&gt; h_c + cit_c + coa_c </t>
  </si>
  <si>
    <t>2.3.3.16</t>
  </si>
  <si>
    <t>ICDHyr_f</t>
  </si>
  <si>
    <t>Isocitrate dehydrogenase (NADP)</t>
  </si>
  <si>
    <t xml:space="preserve">nadp_c + icit_c  -&gt; akg_c + nadph_c + co2_c </t>
  </si>
  <si>
    <t>1.1.1.42</t>
  </si>
  <si>
    <t>ACALD_f</t>
  </si>
  <si>
    <t>Acetaldehyde dehydrogenase (acetylating)</t>
  </si>
  <si>
    <t xml:space="preserve">nad_c + coa_c + acald_c  -&gt; h_c + accoa_c + nadh_c </t>
  </si>
  <si>
    <t>1.2.1.10</t>
  </si>
  <si>
    <t>ACS</t>
  </si>
  <si>
    <t>Acetyl-CoA synthetase</t>
  </si>
  <si>
    <t xml:space="preserve">ac_c + atp_c + coa_c  -&gt; accoa_c + ppi_c + amp_c </t>
  </si>
  <si>
    <t>6.2.1.1</t>
  </si>
  <si>
    <t>PPA</t>
  </si>
  <si>
    <t>Inorganic diphosphatase</t>
  </si>
  <si>
    <t xml:space="preserve">ppi_c + h2o_c  -&gt; h_c + 2 pi_c </t>
  </si>
  <si>
    <t>3.6.1.1</t>
  </si>
  <si>
    <t>PPCK</t>
  </si>
  <si>
    <t>Phosphoenolpyruvate carboxykinase</t>
  </si>
  <si>
    <t xml:space="preserve">atp_c + oaa_c  -&gt; pep_c + adp_c + co2_c </t>
  </si>
  <si>
    <t>4.1.1.49</t>
  </si>
  <si>
    <t>ME1</t>
  </si>
  <si>
    <t>Malic enzyme (NAD)</t>
  </si>
  <si>
    <t xml:space="preserve">nad_c + mal__L_c  -&gt; pyr_c + nadh_c + co2_c </t>
  </si>
  <si>
    <t>1.1.1.38</t>
  </si>
  <si>
    <t>ALAR_f</t>
  </si>
  <si>
    <t>Alanine racemase</t>
  </si>
  <si>
    <t xml:space="preserve">ala__L_c  -&gt; ala__D_c </t>
  </si>
  <si>
    <t>5.1.1.1</t>
  </si>
  <si>
    <t>ALATA_L_f</t>
  </si>
  <si>
    <t>L-alanine transaminase</t>
  </si>
  <si>
    <t xml:space="preserve">akg_c + ala__L_c  -&gt; glu__L_c + pyr_c </t>
  </si>
  <si>
    <t>2.6.1.2</t>
  </si>
  <si>
    <t>XYLK</t>
  </si>
  <si>
    <t>Xylulokinase</t>
  </si>
  <si>
    <t xml:space="preserve">xylu__D_c + atp_c  -&gt; h_c + xu5p__D_c + adp_c </t>
  </si>
  <si>
    <t>2.7.1.16, 2.7.1.17</t>
  </si>
  <si>
    <t>RBK</t>
  </si>
  <si>
    <t>Ribokinase</t>
  </si>
  <si>
    <t xml:space="preserve">rib__D_c + atp_c  -&gt; h_c + r5p_c + adp_c </t>
  </si>
  <si>
    <t>2.7.1.15</t>
  </si>
  <si>
    <t>GLYK</t>
  </si>
  <si>
    <t>Glycerol kinase</t>
  </si>
  <si>
    <t xml:space="preserve">atp_c + glyc_c  -&gt; h_c + glyc3p_c + adp_c </t>
  </si>
  <si>
    <t>2.7.1.30</t>
  </si>
  <si>
    <t>PPM_f</t>
  </si>
  <si>
    <t>Phosphopentomutase</t>
  </si>
  <si>
    <t xml:space="preserve">r1p_c  -&gt; r5p_c </t>
  </si>
  <si>
    <t>5.4.2.7</t>
  </si>
  <si>
    <t>ASPTA_f</t>
  </si>
  <si>
    <t>Aspartate transaminase</t>
  </si>
  <si>
    <t xml:space="preserve">akg_c + asp__L_c  -&gt; glu__L_c + oaa_c </t>
  </si>
  <si>
    <t>2.6.1.1, 2.6.1.57</t>
  </si>
  <si>
    <t>FBP</t>
  </si>
  <si>
    <t>Fructose-bisphosphatase</t>
  </si>
  <si>
    <t xml:space="preserve">fdp_c + h2o_c  -&gt; pi_c + f6p_c </t>
  </si>
  <si>
    <t>3.1.3.11</t>
  </si>
  <si>
    <t>GLGC</t>
  </si>
  <si>
    <t>Glucose-1-phosphate adenylyltransferase</t>
  </si>
  <si>
    <t xml:space="preserve">h_c + atp_c + g1p_c  -&gt; adpglc_c + ppi_c </t>
  </si>
  <si>
    <t>2.7.7.27</t>
  </si>
  <si>
    <t>PYK</t>
  </si>
  <si>
    <t>Pyruvate kinase</t>
  </si>
  <si>
    <t xml:space="preserve">pep_c + h_c + adp_c  -&gt; atp_c + pyr_c </t>
  </si>
  <si>
    <t>2.7.1.40</t>
  </si>
  <si>
    <t>A5PISO_f</t>
  </si>
  <si>
    <t>Arabinose-5-phosphate isomerase</t>
  </si>
  <si>
    <t xml:space="preserve">ru5p__D_c  -&gt; ara5p_c </t>
  </si>
  <si>
    <t>5.3.1.13</t>
  </si>
  <si>
    <t>IPPMIb_f</t>
  </si>
  <si>
    <t>2-isopropylmalate hydratase</t>
  </si>
  <si>
    <t xml:space="preserve">h2o_c + 2ippm_c  -&gt; 3c3hmp_c </t>
  </si>
  <si>
    <t>4.2.1.33</t>
  </si>
  <si>
    <t>ACHBS</t>
  </si>
  <si>
    <t>2-aceto-2-hydroxybutanoate synthase</t>
  </si>
  <si>
    <t xml:space="preserve">h_c + 2obut_c + pyr_c  -&gt; 2ahbut_c + co2_c </t>
  </si>
  <si>
    <t>2.2.1.6</t>
  </si>
  <si>
    <t>ACLS</t>
  </si>
  <si>
    <t>Acetolactate synthase</t>
  </si>
  <si>
    <t xml:space="preserve">h_c + 2 pyr_c  -&gt; alac__S_c + co2_c </t>
  </si>
  <si>
    <t>PSCVT_f</t>
  </si>
  <si>
    <t>3-phosphoshikimate 1-carboxyvinyltransferase</t>
  </si>
  <si>
    <t xml:space="preserve">pep_c + skm5p_c  -&gt; pi_c + 3psme_c </t>
  </si>
  <si>
    <t>2.5.1.19</t>
  </si>
  <si>
    <t>ANS</t>
  </si>
  <si>
    <t>Anthranilate synthase</t>
  </si>
  <si>
    <t xml:space="preserve">chor_c + gln__L_c  -&gt; h_c + glu__L_c + anth_c + pyr_c </t>
  </si>
  <si>
    <t>4.1.3.27</t>
  </si>
  <si>
    <t>ANPRT</t>
  </si>
  <si>
    <t>Anthranilate phosphoribosyltransferase</t>
  </si>
  <si>
    <t xml:space="preserve">anth_c + prpp_c  -&gt; pran_c + ppi_c </t>
  </si>
  <si>
    <t>2.4.2.18</t>
  </si>
  <si>
    <t>CHORM</t>
  </si>
  <si>
    <t>Chorismate mutase</t>
  </si>
  <si>
    <t xml:space="preserve">chor_c  -&gt; pphn_c </t>
  </si>
  <si>
    <t>5.4.99.5</t>
  </si>
  <si>
    <t>CHORS</t>
  </si>
  <si>
    <t>Chorismate synthase</t>
  </si>
  <si>
    <t xml:space="preserve">3psme_c  -&gt; pi_c + chor_c </t>
  </si>
  <si>
    <t>4.2.3.5</t>
  </si>
  <si>
    <t>IGPS</t>
  </si>
  <si>
    <t>Indole-3-glycerol-phosphate synthase</t>
  </si>
  <si>
    <t xml:space="preserve">h_c + 2cpr5p_c  -&gt; 3ig3p_c + h2o_c + co2_c </t>
  </si>
  <si>
    <t>4.1.1.48</t>
  </si>
  <si>
    <t>ECOAH6_f</t>
  </si>
  <si>
    <t>3-hydroxyacyl-CoA dehydratase (3-hydroxytetradecanoyl-CoA)</t>
  </si>
  <si>
    <t xml:space="preserve">3htdcoa_c  -&gt; h2o_c + td2coa_c </t>
  </si>
  <si>
    <t>ENO_f</t>
  </si>
  <si>
    <t>Enolase</t>
  </si>
  <si>
    <t xml:space="preserve">2pg_c  -&gt; pep_c + h2o_c </t>
  </si>
  <si>
    <t>4.2.1.11</t>
  </si>
  <si>
    <t>FBA_f</t>
  </si>
  <si>
    <t>Fructose-bisphosphate aldolase</t>
  </si>
  <si>
    <t xml:space="preserve">fdp_c  -&gt; dhap_c + g3p_c </t>
  </si>
  <si>
    <t>4.1.2.13</t>
  </si>
  <si>
    <t>MGSA</t>
  </si>
  <si>
    <t>Methylglyoxal synthase</t>
  </si>
  <si>
    <t xml:space="preserve">dhap_c  -&gt; pi_c + mthgxl_c </t>
  </si>
  <si>
    <t>4.2.3.3</t>
  </si>
  <si>
    <t>PPS</t>
  </si>
  <si>
    <t>Phosphoenolpyruvate synthase</t>
  </si>
  <si>
    <t xml:space="preserve">atp_c + h2o_c + pyr_c  -&gt; pep_c + 2 h_c + pi_c + amp_c </t>
  </si>
  <si>
    <t>2.7.9.2</t>
  </si>
  <si>
    <t>PGI_f</t>
  </si>
  <si>
    <t>Glucose-6-phosphate isomerase</t>
  </si>
  <si>
    <t xml:space="preserve">g6p_c  -&gt; f6p_c </t>
  </si>
  <si>
    <t>5.3.1.9</t>
  </si>
  <si>
    <t>PGK_f</t>
  </si>
  <si>
    <t>Phosphoglycerate kinase</t>
  </si>
  <si>
    <t xml:space="preserve">3pg_c + atp_c  -&gt; 13dpg_c + adp_c </t>
  </si>
  <si>
    <t>2.7.2.3</t>
  </si>
  <si>
    <t>EDA</t>
  </si>
  <si>
    <t>2-dehydro-3-deoxy-phosphogluconate aldolase</t>
  </si>
  <si>
    <t xml:space="preserve">2ddg6p_c  -&gt; g3p_c + pyr_c </t>
  </si>
  <si>
    <t>4.1.2.14</t>
  </si>
  <si>
    <t>PGL</t>
  </si>
  <si>
    <t>6-phosphogluconolactonase</t>
  </si>
  <si>
    <t xml:space="preserve">h2o_c + 6pgl_c  -&gt; h_c + 6pgc_c </t>
  </si>
  <si>
    <t>3.1.1.31</t>
  </si>
  <si>
    <t>RPE_f</t>
  </si>
  <si>
    <t>Ribulose 5-phosphate 3-epimerase</t>
  </si>
  <si>
    <t xml:space="preserve">ru5p__D_c  -&gt; xu5p__D_c </t>
  </si>
  <si>
    <t>5.1.3.1</t>
  </si>
  <si>
    <t>TALA_f</t>
  </si>
  <si>
    <t>Transaldolase</t>
  </si>
  <si>
    <t xml:space="preserve">g3p_c + s7p_c  -&gt; e4p_c + f6p_c </t>
  </si>
  <si>
    <t>2.2.1.2</t>
  </si>
  <si>
    <t>TKT1_f</t>
  </si>
  <si>
    <t>Transketolase</t>
  </si>
  <si>
    <t xml:space="preserve">r5p_c + xu5p__D_c  -&gt; g3p_c + s7p_c </t>
  </si>
  <si>
    <t>2.2.1.1</t>
  </si>
  <si>
    <t>G6PDA</t>
  </si>
  <si>
    <t>Glucosamine-6-phosphate deaminase</t>
  </si>
  <si>
    <t xml:space="preserve">h2o_c + gam6p_c  -&gt; nh4_c + f6p_c </t>
  </si>
  <si>
    <t>3.5.99.6</t>
  </si>
  <si>
    <t>ALCD2x_f</t>
  </si>
  <si>
    <t>Alcohol dehydrogenase (ethanol)</t>
  </si>
  <si>
    <t xml:space="preserve">nad_c + etoh_c  -&gt; h_c + acald_c + nadh_c </t>
  </si>
  <si>
    <t>1.1.1.1</t>
  </si>
  <si>
    <t>ALDD2y</t>
  </si>
  <si>
    <t>Aldehyde dehydrogenase (acetaldehyde, NADP)</t>
  </si>
  <si>
    <t xml:space="preserve">nadp_c + h2o_c + acald_c  -&gt; 2 h_c + ac_c + nadph_c </t>
  </si>
  <si>
    <t>1.1.1.2</t>
  </si>
  <si>
    <t>RMI_f</t>
  </si>
  <si>
    <t>L-rhamnose isomerase</t>
  </si>
  <si>
    <t xml:space="preserve">rmn_c  -&gt; rml_c </t>
  </si>
  <si>
    <t>5.3.1.14</t>
  </si>
  <si>
    <t>FMNAT</t>
  </si>
  <si>
    <t>FMN adenylyltransferase</t>
  </si>
  <si>
    <t xml:space="preserve">h_c + atp_c + fmn_c  -&gt; ppi_c + fad_c </t>
  </si>
  <si>
    <t>2.7.7.2</t>
  </si>
  <si>
    <t>NADDP</t>
  </si>
  <si>
    <t>NAD diphosphatase</t>
  </si>
  <si>
    <t xml:space="preserve">nad_c + h2o_c  -&gt; 2 h_c + nmn_c + amp_c </t>
  </si>
  <si>
    <t>3.6.1.22</t>
  </si>
  <si>
    <t>NMNAT</t>
  </si>
  <si>
    <t>Nicotinamide-nucleotide adenylyltransferase</t>
  </si>
  <si>
    <t xml:space="preserve">h_c + atp_c + nmn_c  -&gt; nad_c + ppi_c </t>
  </si>
  <si>
    <t>2.7.1.22, 2.7.7.1</t>
  </si>
  <si>
    <t>HMPK1</t>
  </si>
  <si>
    <t>Hydroxymethylpyrimidine kinase (ATP)</t>
  </si>
  <si>
    <t xml:space="preserve">atp_c + 4ahmmp_c  -&gt; h_c + adp_c + 4ampm_c </t>
  </si>
  <si>
    <t>2.7.1.49, 2.7.4.7</t>
  </si>
  <si>
    <t>NDPK6_f</t>
  </si>
  <si>
    <t>Nucleoside-diphosphate kinase (ATP:dUDP)</t>
  </si>
  <si>
    <t xml:space="preserve">atp_c + dudp_c  -&gt; dutp_c + adp_c </t>
  </si>
  <si>
    <t>NDPK8_f</t>
  </si>
  <si>
    <t>Nucleoside-diphosphate kinase (ATP:dADP)</t>
  </si>
  <si>
    <t xml:space="preserve">dadp_c + atp_c  -&gt; adp_c + datp_c </t>
  </si>
  <si>
    <t>PYNP2r_f</t>
  </si>
  <si>
    <t>Pyrimidine-nucleoside phosphorylase (uracil)</t>
  </si>
  <si>
    <t xml:space="preserve">pi_c + uri_c  -&gt; r1p_c + ura_c </t>
  </si>
  <si>
    <t>2.4.2.3</t>
  </si>
  <si>
    <t>DURIPP_f</t>
  </si>
  <si>
    <t>Deoxyuridine phosphorylase</t>
  </si>
  <si>
    <t xml:space="preserve">duri_c + pi_c  -&gt; 2dr1p_c + ura_c </t>
  </si>
  <si>
    <t>2.4.2.1, 2.4.2.4</t>
  </si>
  <si>
    <t>PTRCTA</t>
  </si>
  <si>
    <t>Putrescine Transaminase</t>
  </si>
  <si>
    <t xml:space="preserve">akg_c + ptrc_c  -&gt; 4abutn_c + glu__L_c </t>
  </si>
  <si>
    <t>2.6.1.82</t>
  </si>
  <si>
    <t>CYSDS</t>
  </si>
  <si>
    <t>Cysteine Desulfhydrase</t>
  </si>
  <si>
    <t xml:space="preserve">cys__L_c + h2o_c  -&gt; h2s_c + nh4_c + pyr_c </t>
  </si>
  <si>
    <t>4.1.99.1, 4.4.1.8</t>
  </si>
  <si>
    <t>TRPAS2_f</t>
  </si>
  <si>
    <t>Tryptophanase (L-tryptophan)</t>
  </si>
  <si>
    <t xml:space="preserve">trp__L_c + h2o_c  -&gt; nh4_c + indole_c + pyr_c </t>
  </si>
  <si>
    <t>4.1.99.1</t>
  </si>
  <si>
    <t>NDP3</t>
  </si>
  <si>
    <t xml:space="preserve">Nucleoside diphosphatase  GDP </t>
  </si>
  <si>
    <t xml:space="preserve">gdp_c + h2o_c  -&gt; h_c + pi_c + gmp_c </t>
  </si>
  <si>
    <t>3.6.1.-</t>
  </si>
  <si>
    <t>CDPPH</t>
  </si>
  <si>
    <t>CDP phosphohydrolase</t>
  </si>
  <si>
    <t xml:space="preserve">h2o_c + cdp_c  -&gt; h_c + pi_c + cmp_c </t>
  </si>
  <si>
    <t>3.6.1.6, 3.6.1.5</t>
  </si>
  <si>
    <t>NDP7</t>
  </si>
  <si>
    <t xml:space="preserve">Nucleoside diphosphatase  UDP </t>
  </si>
  <si>
    <t xml:space="preserve">h2o_c + udp_c  -&gt; h_c + ump_c + pi_c </t>
  </si>
  <si>
    <t>3.6.1.5</t>
  </si>
  <si>
    <t>PMDPHT</t>
  </si>
  <si>
    <t>Pyrimidine phosphatase</t>
  </si>
  <si>
    <t xml:space="preserve">h2o_c + 5aprbu_c  -&gt; pi_c + 4r5au_c </t>
  </si>
  <si>
    <t>ILETA_f</t>
  </si>
  <si>
    <t>Isoleucine transaminase</t>
  </si>
  <si>
    <t xml:space="preserve">akg_c + ile__L_c  -&gt; glu__L_c + 3mop_c </t>
  </si>
  <si>
    <t>VALTA_f</t>
  </si>
  <si>
    <t>Valine transaminase</t>
  </si>
  <si>
    <t xml:space="preserve">akg_c + val__L_c  -&gt; 3mob_c + glu__L_c </t>
  </si>
  <si>
    <t>ORPT_f</t>
  </si>
  <si>
    <t>Orotate phosphoribosyltransferase</t>
  </si>
  <si>
    <t xml:space="preserve">orot5p_c + ppi_c  -&gt; prpp_c + orot_c </t>
  </si>
  <si>
    <t>2.4.2.10</t>
  </si>
  <si>
    <t>RBFSa</t>
  </si>
  <si>
    <t xml:space="preserve">4r5au_c + db4p_c  -&gt; dmlz_c + pi_c + 2 h2o_c </t>
  </si>
  <si>
    <t>2.5.1.78</t>
  </si>
  <si>
    <t>DHAD2</t>
  </si>
  <si>
    <t>Dihydroxy-acid dehydratase (2,3-dihydroxy-3-methylpentanoate)</t>
  </si>
  <si>
    <t xml:space="preserve">23dhmp_c  -&gt; h2o_c + 3mop_c </t>
  </si>
  <si>
    <t>4.2.1.9</t>
  </si>
  <si>
    <t>G1PP</t>
  </si>
  <si>
    <t>Glucose-1-phosphatase</t>
  </si>
  <si>
    <t xml:space="preserve">g1p_c + h2o_c  -&gt; pi_c + glc__D_c </t>
  </si>
  <si>
    <t>3.1.3.10</t>
  </si>
  <si>
    <t>PFL</t>
  </si>
  <si>
    <t>Pyruvate formate lyase</t>
  </si>
  <si>
    <t xml:space="preserve">pyr_c + coa_c  -&gt; accoa_c + for_c </t>
  </si>
  <si>
    <t>2.3.1.54</t>
  </si>
  <si>
    <t>FRD2</t>
  </si>
  <si>
    <t>Fumarate reductase</t>
  </si>
  <si>
    <t xml:space="preserve">fum_c + mql8_c  -&gt; succ_c + mqn8_c </t>
  </si>
  <si>
    <t>1.3.5.1, 1.3.5.4</t>
  </si>
  <si>
    <t>FRD3</t>
  </si>
  <si>
    <t xml:space="preserve">fum_c + 2dmmql8_c  -&gt; 2dmmq8_c + succ_c </t>
  </si>
  <si>
    <t>POX</t>
  </si>
  <si>
    <t>Pyruvate oxidase</t>
  </si>
  <si>
    <t xml:space="preserve">h2o_c + q8_c + pyr_c  -&gt; ac_c + q8h2_c + co2_c </t>
  </si>
  <si>
    <t>1.2.5.1</t>
  </si>
  <si>
    <t>PTAr_f</t>
  </si>
  <si>
    <t>Phosphotransacetylase</t>
  </si>
  <si>
    <t xml:space="preserve">accoa_c + pi_c  -&gt; actp_c + coa_c </t>
  </si>
  <si>
    <t>2.3.1.8</t>
  </si>
  <si>
    <t>ACKr_f</t>
  </si>
  <si>
    <t>Acetate kinase</t>
  </si>
  <si>
    <t xml:space="preserve">ac_c + atp_c  -&gt; actp_c + adp_c </t>
  </si>
  <si>
    <t>2.7.2.1</t>
  </si>
  <si>
    <t>MOAT</t>
  </si>
  <si>
    <t>3-deoxy-D-manno-octulosonic acid transferase</t>
  </si>
  <si>
    <t xml:space="preserve">ckdo_c + lipidA_c  -&gt; h_c + cmp_c + kdolipid4_c </t>
  </si>
  <si>
    <t>2.4.99.12</t>
  </si>
  <si>
    <t>UDCPDPS</t>
  </si>
  <si>
    <t>Undecaprenyl diphosphate synthase</t>
  </si>
  <si>
    <t xml:space="preserve">frdp_c + 8 ipdp_c  -&gt; 8 ppi_c + udcpdp_c </t>
  </si>
  <si>
    <t>2.5.1.31</t>
  </si>
  <si>
    <t>USHD</t>
  </si>
  <si>
    <t>UDP-sugar hydrolase</t>
  </si>
  <si>
    <t xml:space="preserve">u23ga_c + h2o_c  -&gt; 2 h_c + ump_c + lipidX_c </t>
  </si>
  <si>
    <t>3.6.1.54</t>
  </si>
  <si>
    <t>LPADSS</t>
  </si>
  <si>
    <t>Lipid A disaccaride synthase</t>
  </si>
  <si>
    <t xml:space="preserve">u23ga_c + lipidX_c  -&gt; h_c + lipidAds_c + udp_c </t>
  </si>
  <si>
    <t>2.4.1.182</t>
  </si>
  <si>
    <t>TDSK</t>
  </si>
  <si>
    <t>Tetraacyldisaccharide 4'kinase</t>
  </si>
  <si>
    <t xml:space="preserve">atp_c + lipidAds_c  -&gt; h_c + adp_c + lipidA_c </t>
  </si>
  <si>
    <t>2.7.1.130</t>
  </si>
  <si>
    <t>NTPP1</t>
  </si>
  <si>
    <t>Nucleoside triphosphate pyrophosphorylase (dgtp)</t>
  </si>
  <si>
    <t xml:space="preserve">h2o_c + dgtp_c  -&gt; h_c + ppi_c + dgmp_c </t>
  </si>
  <si>
    <t>3.6.1.55</t>
  </si>
  <si>
    <t>NTPP2</t>
  </si>
  <si>
    <t>Nucleoside triphosphate pyrophosphorylase (gtp)</t>
  </si>
  <si>
    <t xml:space="preserve">h2o_c + gtp_c  -&gt; h_c + ppi_c + gmp_c </t>
  </si>
  <si>
    <t>NTPTP1</t>
  </si>
  <si>
    <t>Nucleoside triphosphate tripolyhydrolase</t>
  </si>
  <si>
    <t xml:space="preserve">h2o_c + dgtp_c  -&gt; pppi_c + dgsn_c </t>
  </si>
  <si>
    <t>3.1.5.1</t>
  </si>
  <si>
    <t>NTPTP2</t>
  </si>
  <si>
    <t xml:space="preserve">h2o_c + gtp_c  -&gt; pppi_c + gsn_c </t>
  </si>
  <si>
    <t>IPMD</t>
  </si>
  <si>
    <t>3-isopropylmalate dehydrogenase</t>
  </si>
  <si>
    <t xml:space="preserve">nad_c + 3c2hmp_c  -&gt; h_c + 3c4mop_c + nadh_c </t>
  </si>
  <si>
    <t>1.1.1.85</t>
  </si>
  <si>
    <t>AIRC3_f</t>
  </si>
  <si>
    <t>Phosphoribosylaminoimidazole carboxylase (mutase rxn)</t>
  </si>
  <si>
    <t xml:space="preserve">5aizc_c  -&gt; 5caiz_c </t>
  </si>
  <si>
    <t>5.4.99.18</t>
  </si>
  <si>
    <t>ADSL2r_f</t>
  </si>
  <si>
    <t>Adenylosuccinate lyase</t>
  </si>
  <si>
    <t xml:space="preserve">25aics_c  -&gt; aicar_c + fum_c </t>
  </si>
  <si>
    <t>4.3.2.2</t>
  </si>
  <si>
    <t>PUNP5_f</t>
  </si>
  <si>
    <t>Purine-nucleoside phosphorylase (Inosine)</t>
  </si>
  <si>
    <t xml:space="preserve">pi_c + ins_c  -&gt; r1p_c + hxan_c </t>
  </si>
  <si>
    <t>2.4.2.1</t>
  </si>
  <si>
    <t>PUNP6_f</t>
  </si>
  <si>
    <t>Purine-nucleoside phosphorylase (Deoxyinosine)</t>
  </si>
  <si>
    <t xml:space="preserve">pi_c + din_c  -&gt; 2dr1p_c + hxan_c </t>
  </si>
  <si>
    <t>PUNP7_f</t>
  </si>
  <si>
    <t>Purine-nucleoside phosphorylase (Xanthosine)</t>
  </si>
  <si>
    <t xml:space="preserve">xtsn_c + pi_c  -&gt; xan_c + r1p_c </t>
  </si>
  <si>
    <t>RNDR1</t>
  </si>
  <si>
    <t>Ribonucleoside-diphosphate reductase (ADP)</t>
  </si>
  <si>
    <t xml:space="preserve">adp_c + trdrd_c  -&gt; dadp_c + trdox_c + h2o_c </t>
  </si>
  <si>
    <t>1.17.4.1</t>
  </si>
  <si>
    <t>RNDR3</t>
  </si>
  <si>
    <t>Ribonucleoside-diphosphate reductase (CDP)</t>
  </si>
  <si>
    <t xml:space="preserve">trdrd_c + cdp_c  -&gt; trdox_c + h2o_c + dcdp_c </t>
  </si>
  <si>
    <t>RNDR4</t>
  </si>
  <si>
    <t>Ribonucleoside-diphosphate reductase (UDP)</t>
  </si>
  <si>
    <t xml:space="preserve">trdrd_c + udp_c  -&gt; dudp_c + trdox_c + h2o_c </t>
  </si>
  <si>
    <t>TMDS</t>
  </si>
  <si>
    <t>Thymidylate synthase</t>
  </si>
  <si>
    <t xml:space="preserve">mlthf_c + dump_c  -&gt; dtmp_c + dhf_c </t>
  </si>
  <si>
    <t>2.1.1.45</t>
  </si>
  <si>
    <t>TMDK1</t>
  </si>
  <si>
    <t>Thymidine kinase (ATP:thymidine)</t>
  </si>
  <si>
    <t xml:space="preserve">thymd_c + atp_c  -&gt; h_c + adp_c + dtmp_c </t>
  </si>
  <si>
    <t>2.7.1.21</t>
  </si>
  <si>
    <t>PPCDC</t>
  </si>
  <si>
    <t>Phosphopantothenoylcysteine decarboxylase</t>
  </si>
  <si>
    <t xml:space="preserve">h_c + 4ppcys_c  -&gt; pan4p_c + co2_c </t>
  </si>
  <si>
    <t>4.1.1.36</t>
  </si>
  <si>
    <t>FTHFD</t>
  </si>
  <si>
    <t>Formyltetrahydrofolate deformylase</t>
  </si>
  <si>
    <t xml:space="preserve">10fthf_c + h2o_c  -&gt; h_c + thf_c + for_c </t>
  </si>
  <si>
    <t>3.5.1.10</t>
  </si>
  <si>
    <t>EDD</t>
  </si>
  <si>
    <t>6-phosphogluconate dehydratase</t>
  </si>
  <si>
    <t xml:space="preserve">6pgc_c  -&gt; h2o_c + 2ddg6p_c </t>
  </si>
  <si>
    <t>4.2.1.12</t>
  </si>
  <si>
    <t>DHQTi</t>
  </si>
  <si>
    <t>3-dehydroquinate dehydratase, irreversible</t>
  </si>
  <si>
    <t xml:space="preserve">3dhq_c  -&gt; 3dhsk_c + h2o_c </t>
  </si>
  <si>
    <t>4.2.1.10</t>
  </si>
  <si>
    <t>PUNP1_f</t>
  </si>
  <si>
    <t>Purine-nucleoside phosphorylase (Adenosine)</t>
  </si>
  <si>
    <t xml:space="preserve">pi_c + adn_c  -&gt; r1p_c + ade_c </t>
  </si>
  <si>
    <t>PUNP2_f</t>
  </si>
  <si>
    <t>Purine-nucleoside phosphorylase (Deoxyadenosine)</t>
  </si>
  <si>
    <t xml:space="preserve">pi_c + dad_2_c  -&gt; 2dr1p_c + ade_c </t>
  </si>
  <si>
    <t>PUNP3_f</t>
  </si>
  <si>
    <t>Purine-nucleoside phosphorylase (Guanosine)</t>
  </si>
  <si>
    <t xml:space="preserve">pi_c + gsn_c  -&gt; r1p_c + gua_c </t>
  </si>
  <si>
    <t>LYSAM_f</t>
  </si>
  <si>
    <t>Lysine 2,3-aminomutase</t>
  </si>
  <si>
    <t xml:space="preserve">lys__L_c  -&gt; 36dahx_c </t>
  </si>
  <si>
    <t>5.4.3.-</t>
  </si>
  <si>
    <t>DHAD1</t>
  </si>
  <si>
    <t>Dihydroxy-acid dehydratase (2,3-dihydroxy-3-methylbutanoate)</t>
  </si>
  <si>
    <t xml:space="preserve">23dhmb_c  -&gt; 3mob_c + h2o_c </t>
  </si>
  <si>
    <t>IPPMIa_f</t>
  </si>
  <si>
    <t>3-isopropylmalate dehydratase</t>
  </si>
  <si>
    <t xml:space="preserve">3c2hmp_c  -&gt; h2o_c + 2ippm_c </t>
  </si>
  <si>
    <t>G3PD7</t>
  </si>
  <si>
    <t>Glycerol-3-phosphate dehydrogenase (demethylmenaquinone-8)</t>
  </si>
  <si>
    <t xml:space="preserve">glyc3p_c + 2dmmq8_c  -&gt; dhap_c + 2dmmql8_c </t>
  </si>
  <si>
    <t>NADH9</t>
  </si>
  <si>
    <t>NADH dehydrogenase (demethylmenaquinone-8 &amp; 0 protons)</t>
  </si>
  <si>
    <t xml:space="preserve">h_c + 2dmmq8_c + nadh_c  -&gt; nad_c + 2dmmql8_c </t>
  </si>
  <si>
    <t>1.6.5.2</t>
  </si>
  <si>
    <t>NADH10</t>
  </si>
  <si>
    <t>NADH dehydrogenase (menaquinone-8 &amp; 0 protons)</t>
  </si>
  <si>
    <t xml:space="preserve">h_c + mqn8_c + nadh_c  -&gt; nad_c + mql8_c </t>
  </si>
  <si>
    <t>MDH_f</t>
  </si>
  <si>
    <t>Malate dehydrogenase</t>
  </si>
  <si>
    <t xml:space="preserve">nad_c + mal__L_c  -&gt; h_c + oaa_c + nadh_c </t>
  </si>
  <si>
    <t>1.1.1.37</t>
  </si>
  <si>
    <t>FUM_f</t>
  </si>
  <si>
    <t>Fumarase</t>
  </si>
  <si>
    <t xml:space="preserve">fum_c + h2o_c  -&gt; mal__L_c </t>
  </si>
  <si>
    <t>4.2.1.2</t>
  </si>
  <si>
    <t>PYDXNK</t>
  </si>
  <si>
    <t>Pyridoxine kinase</t>
  </si>
  <si>
    <t xml:space="preserve">pydxn_c + atp_c  -&gt; h_c + adp_c + pdx5p_c </t>
  </si>
  <si>
    <t>2.7.1.35</t>
  </si>
  <si>
    <t>PYAM5PO</t>
  </si>
  <si>
    <t>Pyridoxamine 5'-phosphate oxidase</t>
  </si>
  <si>
    <t xml:space="preserve">o2_c + pyam5p_c + h2o_c  -&gt; pydx5p_c + nh4_c + h2o2_c </t>
  </si>
  <si>
    <t>1.4.3.5</t>
  </si>
  <si>
    <t>OHPBAT_f</t>
  </si>
  <si>
    <t>O-Phospho-4-hydroxy-L-threonine:2-oxoglutarate aminotransferase</t>
  </si>
  <si>
    <t xml:space="preserve">ohpb_c + glu__L_c  -&gt; akg_c + phthr_c </t>
  </si>
  <si>
    <t>2.6.1.52</t>
  </si>
  <si>
    <t>GLUTRR</t>
  </si>
  <si>
    <t>Glutamyl-tRNA reductase</t>
  </si>
  <si>
    <t xml:space="preserve">h_c + glutrna_c + nadph_c  -&gt; glu1sa_c + nadp_c + trnaglu_c </t>
  </si>
  <si>
    <t>1.2.1.70</t>
  </si>
  <si>
    <t>GLCS1</t>
  </si>
  <si>
    <t>Glycogen synthase (ADPGlc)</t>
  </si>
  <si>
    <t xml:space="preserve">adpglc_c  -&gt; h_c + adp_c + glycogen_c </t>
  </si>
  <si>
    <t>2.4.1.21</t>
  </si>
  <si>
    <t>GLCP</t>
  </si>
  <si>
    <t>Glycogen phosphorylase</t>
  </si>
  <si>
    <t xml:space="preserve">pi_c + glycogen_c  -&gt; g1p_c </t>
  </si>
  <si>
    <t>2.4.1.1</t>
  </si>
  <si>
    <t>HEMEOS</t>
  </si>
  <si>
    <t>Heme O synthase</t>
  </si>
  <si>
    <t xml:space="preserve">frdp_c + h2o_c + pheme_c  -&gt; ppi_c + hemeO_c </t>
  </si>
  <si>
    <t>2.5.1.-</t>
  </si>
  <si>
    <t>ADMDC</t>
  </si>
  <si>
    <t>Adenosylmethionine decarboxylase</t>
  </si>
  <si>
    <t xml:space="preserve">h_c + amet_c  -&gt; ametam_c + co2_c </t>
  </si>
  <si>
    <t>4.1.1.50</t>
  </si>
  <si>
    <t>AGMT</t>
  </si>
  <si>
    <t>Agmatinase</t>
  </si>
  <si>
    <t xml:space="preserve">h2o_c + agm_c  -&gt; urea_c + ptrc_c </t>
  </si>
  <si>
    <t>3.5.3.11</t>
  </si>
  <si>
    <t>ARGDC</t>
  </si>
  <si>
    <t>Arginine decarboxylase</t>
  </si>
  <si>
    <t xml:space="preserve">h_c + arg__L_c  -&gt; agm_c + co2_c </t>
  </si>
  <si>
    <t>4.1.1.19</t>
  </si>
  <si>
    <t>ARGSS</t>
  </si>
  <si>
    <t>Argininosuccinate synthase</t>
  </si>
  <si>
    <t xml:space="preserve">citr__L_c + asp__L_c + atp_c  -&gt; h_c + argsuc_c + ppi_c + amp_c </t>
  </si>
  <si>
    <t>6.3.4.5</t>
  </si>
  <si>
    <t>AGPR_f</t>
  </si>
  <si>
    <t>N-acetyl-g-glutamyl-phosphate reductase</t>
  </si>
  <si>
    <t xml:space="preserve">acg5sa_c + pi_c + nadp_c  -&gt; h_c + nadph_c + acg5p_c </t>
  </si>
  <si>
    <t>1.2.1.38</t>
  </si>
  <si>
    <t>SPMS</t>
  </si>
  <si>
    <t>Spermidine synthase</t>
  </si>
  <si>
    <t xml:space="preserve">ametam_c + ptrc_c  -&gt; h_c + 5mta_c + spmd_c </t>
  </si>
  <si>
    <t>2.5.1.16</t>
  </si>
  <si>
    <t>G1SAT_f</t>
  </si>
  <si>
    <t>Glutamate-1-semialdehyde aminotransferase</t>
  </si>
  <si>
    <t xml:space="preserve">glu1sa_c  -&gt; 5aop_c </t>
  </si>
  <si>
    <t>5.4.3.8</t>
  </si>
  <si>
    <t>KDOCT2</t>
  </si>
  <si>
    <t>3-deoxy-manno-octulosonate cytidylyltransferase</t>
  </si>
  <si>
    <t xml:space="preserve">ctp_c + kdo_c  -&gt; ppi_c + ckdo_c </t>
  </si>
  <si>
    <t>2.7.7.38</t>
  </si>
  <si>
    <t>OAADC</t>
  </si>
  <si>
    <t>Oxaloacetate decarboxylase</t>
  </si>
  <si>
    <t xml:space="preserve">h_c + oaa_c  -&gt; pyr_c + co2_c </t>
  </si>
  <si>
    <t>MNNH</t>
  </si>
  <si>
    <t>D-mannonate hydrolyase</t>
  </si>
  <si>
    <t xml:space="preserve">mana_c  -&gt; 2ddglcn_c + h2o_c </t>
  </si>
  <si>
    <t>4.2.1.8</t>
  </si>
  <si>
    <t>ALTRH</t>
  </si>
  <si>
    <t>Altronate hydrolase</t>
  </si>
  <si>
    <t xml:space="preserve">altrn_c  -&gt; 2ddglcn_c + h2o_c </t>
  </si>
  <si>
    <t>4.2.1.7</t>
  </si>
  <si>
    <t>GUI1_f</t>
  </si>
  <si>
    <t>Glucuronate isomerase (D-glucuronate)</t>
  </si>
  <si>
    <t xml:space="preserve">glcur_c  -&gt; fruur_c </t>
  </si>
  <si>
    <t>5.3.1.12</t>
  </si>
  <si>
    <t>PGAMT_f</t>
  </si>
  <si>
    <t>Phosphoglucosamine mutase</t>
  </si>
  <si>
    <t xml:space="preserve">gam1p_c  -&gt; gam6p_c </t>
  </si>
  <si>
    <t>5.4.2.10</t>
  </si>
  <si>
    <t>UAGDP</t>
  </si>
  <si>
    <t>UDP-N-acetylglucosamine diphosphorylase</t>
  </si>
  <si>
    <t xml:space="preserve">h_c + acgam1p_c + utp_c  -&gt; ppi_c + uacgam_c </t>
  </si>
  <si>
    <t>2.7.7.23</t>
  </si>
  <si>
    <t>UAGCVT</t>
  </si>
  <si>
    <t>UDP-N-acetylglucosamine 1-carboxyvinyltransferase</t>
  </si>
  <si>
    <t xml:space="preserve">pep_c + uacgam_c  -&gt; pi_c + uaccg_c </t>
  </si>
  <si>
    <t>2.5.1.7</t>
  </si>
  <si>
    <t>GLUR_f</t>
  </si>
  <si>
    <t>Glutamate racemase</t>
  </si>
  <si>
    <t xml:space="preserve">glu__D_c  -&gt; glu__L_c </t>
  </si>
  <si>
    <t>5.1.1.3</t>
  </si>
  <si>
    <t>UAG2E_f</t>
  </si>
  <si>
    <t>UDP-N-acetylglucosamine 2-epimerase</t>
  </si>
  <si>
    <t xml:space="preserve">uacgam_c  -&gt; uacmam_c </t>
  </si>
  <si>
    <t>5.1.3.14</t>
  </si>
  <si>
    <t>MACPD</t>
  </si>
  <si>
    <t>Malonyl-ACP decarboxylase</t>
  </si>
  <si>
    <t xml:space="preserve">h_c + malACP_c  -&gt; acACP_c + co2_c </t>
  </si>
  <si>
    <t>2.3.1.41</t>
  </si>
  <si>
    <t>DMQMT</t>
  </si>
  <si>
    <t>3-Dimethylubiquinonol 3-methyltransferase</t>
  </si>
  <si>
    <t xml:space="preserve">amet_c + 2omhmbl_c  -&gt; h_c + q8h2_c + ahcys_c </t>
  </si>
  <si>
    <t>2.1.1.64</t>
  </si>
  <si>
    <t>ICHORS_copy1</t>
  </si>
  <si>
    <t>Isochorismate synthase</t>
  </si>
  <si>
    <t xml:space="preserve">chor_c  -&gt; ichor_c </t>
  </si>
  <si>
    <t>5.4.4.2</t>
  </si>
  <si>
    <t>HACD5_f</t>
  </si>
  <si>
    <t>3-hydroxyacyl-CoA dehydrogenase (3-oxododecanoyl-CoA)</t>
  </si>
  <si>
    <t xml:space="preserve">h_c + 3oddcoa_c + nadh_c  -&gt; nad_c + 3hddcoa_c </t>
  </si>
  <si>
    <t>1.1.1.35</t>
  </si>
  <si>
    <t>HPPK2</t>
  </si>
  <si>
    <t>6-hydroxymethyl-dihydropterin pyrophosphokinase</t>
  </si>
  <si>
    <t xml:space="preserve">atp_c + 6hmhpt_c  -&gt; h_c + 6hmhptpp_c + amp_c </t>
  </si>
  <si>
    <t>2.7.6.3</t>
  </si>
  <si>
    <t>PTPATi</t>
  </si>
  <si>
    <t>Pantetheine-phosphate adenylyltransferase</t>
  </si>
  <si>
    <t xml:space="preserve">h_c + pan4p_c + atp_c  -&gt; ppi_c + dpcoa_c </t>
  </si>
  <si>
    <t>2.7.7.3</t>
  </si>
  <si>
    <t>HEX7</t>
  </si>
  <si>
    <t>Hexokinase (D-fructose:ATP)</t>
  </si>
  <si>
    <t xml:space="preserve">fru_c + atp_c  -&gt; h_c + adp_c + f6p_c </t>
  </si>
  <si>
    <t>2.7.1.4</t>
  </si>
  <si>
    <t>DXPRIi</t>
  </si>
  <si>
    <t>1-deoxy-D-xylulose reductoisomerase</t>
  </si>
  <si>
    <t xml:space="preserve">h_c + dxyl5p_c + nadph_c  -&gt; 2me4p_c + nadp_c </t>
  </si>
  <si>
    <t>1.1.1.267</t>
  </si>
  <si>
    <t>OPHBDC</t>
  </si>
  <si>
    <t>Octaprenyl-hydroxybenzoate decarboxylase</t>
  </si>
  <si>
    <t xml:space="preserve">h_c + 3ophb_c  -&gt; 2oph_c + co2_c </t>
  </si>
  <si>
    <t>4.1.1.98</t>
  </si>
  <si>
    <t>OHPHM</t>
  </si>
  <si>
    <t>2-octaprenyl-6-hydroxyphenol methylase</t>
  </si>
  <si>
    <t xml:space="preserve">amet_c + 2ohph_c  -&gt; h_c + ahcys_c + 2omph_c </t>
  </si>
  <si>
    <t>2.1.1.222</t>
  </si>
  <si>
    <t>GHMT2r_f</t>
  </si>
  <si>
    <t>Glycine hydroxymethyltransferase, reversible</t>
  </si>
  <si>
    <t xml:space="preserve">ser__L_c + thf_c  -&gt; mlthf_c + h2o_c + gly_c </t>
  </si>
  <si>
    <t>2.1.2.1</t>
  </si>
  <si>
    <t>DHORD2</t>
  </si>
  <si>
    <t>Dihydoorotic acid dehydrogenase (quinone8)</t>
  </si>
  <si>
    <t xml:space="preserve">dhor__S_c + q8_c  -&gt; q8h2_c + orot_c </t>
  </si>
  <si>
    <t>ADK4_f</t>
  </si>
  <si>
    <t>Adentylate kinase (ITP)</t>
  </si>
  <si>
    <t xml:space="preserve">itp_c + amp_c  -&gt; adp_c + idp_c </t>
  </si>
  <si>
    <t>2.7.4.3</t>
  </si>
  <si>
    <t>INSK</t>
  </si>
  <si>
    <t>Insosine kinase</t>
  </si>
  <si>
    <t xml:space="preserve">atp_c + ins_c  -&gt; h_c + adp_c + imp_c </t>
  </si>
  <si>
    <t>2.7.1.73</t>
  </si>
  <si>
    <t>ABTA</t>
  </si>
  <si>
    <t>4-aminobutyrate transaminase</t>
  </si>
  <si>
    <t xml:space="preserve">akg_c + 4abut_c  -&gt; glu__L_c + sucsal_c </t>
  </si>
  <si>
    <t>2.6.1.19</t>
  </si>
  <si>
    <t>SSALx</t>
  </si>
  <si>
    <t>Succinate-semialdehyde dehydrogenase (NAD)</t>
  </si>
  <si>
    <t xml:space="preserve">nad_c + h2o_c + sucsal_c  -&gt; 2 h_c + succ_c + nadh_c </t>
  </si>
  <si>
    <t>1.2.1.16</t>
  </si>
  <si>
    <t>ASPT</t>
  </si>
  <si>
    <t>L-aspartase</t>
  </si>
  <si>
    <t xml:space="preserve">asp__L_c  -&gt; nh4_c + fum_c </t>
  </si>
  <si>
    <t>4.3.1.1</t>
  </si>
  <si>
    <t>SERD_L</t>
  </si>
  <si>
    <t>L-serine deaminase</t>
  </si>
  <si>
    <t xml:space="preserve">ser__L_c  -&gt; nh4_c + pyr_c </t>
  </si>
  <si>
    <t>4.3.1.17</t>
  </si>
  <si>
    <t>THRD</t>
  </si>
  <si>
    <t>L-threonine dehydrogenase</t>
  </si>
  <si>
    <t xml:space="preserve">thr__L_c + nad_c  -&gt; h_c + 2aobut_c + nadh_c </t>
  </si>
  <si>
    <t>1.1.1.103</t>
  </si>
  <si>
    <t>KARA1_f</t>
  </si>
  <si>
    <t>Ketol-acid reductoisomerase (2,3-dihydroxy-3-methylbutanoate)</t>
  </si>
  <si>
    <t xml:space="preserve">23dhmb_c + nadp_c  -&gt; h_c + alac__S_c + nadph_c </t>
  </si>
  <si>
    <t>1.1.1.86</t>
  </si>
  <si>
    <t>KARA2_f</t>
  </si>
  <si>
    <t>Ketol-acid reductoisomerase (2-Acetolactate)</t>
  </si>
  <si>
    <t xml:space="preserve">h_c + 2ahbut_c + nadph_c  -&gt; nadp_c + 23dhmp_c </t>
  </si>
  <si>
    <t>ACCOAC</t>
  </si>
  <si>
    <t>Acetyl-CoA carboxylase</t>
  </si>
  <si>
    <t xml:space="preserve">accoa_c + atp_c + hco3_c  -&gt; h_c + adp_c + pi_c + malcoa_c </t>
  </si>
  <si>
    <t>6.3.4.14</t>
  </si>
  <si>
    <t>NADK</t>
  </si>
  <si>
    <t>NAD kinase</t>
  </si>
  <si>
    <t xml:space="preserve">nad_c + atp_c  -&gt; h_c + adp_c + nadp_c </t>
  </si>
  <si>
    <t>2.7.1.23</t>
  </si>
  <si>
    <t>ICHORS_copy2_f</t>
  </si>
  <si>
    <t>SUCBZS</t>
  </si>
  <si>
    <t>O-succinylbenzoate-CoA synthase</t>
  </si>
  <si>
    <t xml:space="preserve">2shchc_c  -&gt; sucbz_c + h2o_c </t>
  </si>
  <si>
    <t>4.2.1.113</t>
  </si>
  <si>
    <t>DHBD_f</t>
  </si>
  <si>
    <t>2,3-dihydro-2,3-dihydroxybenzoate dehydrogenase</t>
  </si>
  <si>
    <t xml:space="preserve">nad_c + 23ddhb_c  -&gt; h_c + 23dhb_c + nadh_c </t>
  </si>
  <si>
    <t>1.3.1.28</t>
  </si>
  <si>
    <t>ICHORT</t>
  </si>
  <si>
    <t>Isochorismatase</t>
  </si>
  <si>
    <t xml:space="preserve">ichor_c + h2o_c  -&gt; pyr_c + 23ddhb_c </t>
  </si>
  <si>
    <t>3.3.2.1</t>
  </si>
  <si>
    <t>RBK_L1</t>
  </si>
  <si>
    <t>L-ribulokinase (L-ribulose)</t>
  </si>
  <si>
    <t xml:space="preserve">atp_c + rbl__L_c  -&gt; h_c + adp_c + ru5p__L_c </t>
  </si>
  <si>
    <t>2.7.1.16</t>
  </si>
  <si>
    <t>RBP4E_f</t>
  </si>
  <si>
    <t>L-ribulose-phosphate 4-epimerase</t>
  </si>
  <si>
    <t xml:space="preserve">ru5p__L_c  -&gt; xu5p__D_c </t>
  </si>
  <si>
    <t>5.1.3.4</t>
  </si>
  <si>
    <t>NTD2</t>
  </si>
  <si>
    <t>5'-nucleotidase (UMP)</t>
  </si>
  <si>
    <t xml:space="preserve">ump_c + h2o_c  -&gt; pi_c + uri_c </t>
  </si>
  <si>
    <t>3.1.3.5</t>
  </si>
  <si>
    <t>NTD4</t>
  </si>
  <si>
    <t>5'-nucleotidase (CMP)</t>
  </si>
  <si>
    <t xml:space="preserve">h2o_c + cmp_c  -&gt; pi_c + cytd_c </t>
  </si>
  <si>
    <t>NTD5</t>
  </si>
  <si>
    <t>5'-nucleotidase (dTMP)</t>
  </si>
  <si>
    <t xml:space="preserve">dtmp_c + h2o_c  -&gt; pi_c + thymd_c </t>
  </si>
  <si>
    <t>3.1.3.5, 3.1.3.89</t>
  </si>
  <si>
    <t>NTD6</t>
  </si>
  <si>
    <t>5'-nucleotidase (dAMP)</t>
  </si>
  <si>
    <t xml:space="preserve">h2o_c + damp_c  -&gt; pi_c + dad_2_c </t>
  </si>
  <si>
    <t>LGTHL</t>
  </si>
  <si>
    <t>Lactoylglutathione lyase</t>
  </si>
  <si>
    <t xml:space="preserve">gthrd_c + mthgxl_c  -&gt; lgt__S_c </t>
  </si>
  <si>
    <t>4.4.1.5</t>
  </si>
  <si>
    <t>PYDXPP</t>
  </si>
  <si>
    <t>Pyridoxal 5-phosphate phosphatase</t>
  </si>
  <si>
    <t xml:space="preserve">pydx5p_c + h2o_c  -&gt; pi_c + pydx_c </t>
  </si>
  <si>
    <t>3.1.3.74</t>
  </si>
  <si>
    <t>PDXPP</t>
  </si>
  <si>
    <t>Pyridoxine 5-phosphate phosphatase</t>
  </si>
  <si>
    <t xml:space="preserve">pdx5p_c + h2o_c  -&gt; pydxn_c + pi_c </t>
  </si>
  <si>
    <t>HACD6_f</t>
  </si>
  <si>
    <t>3-hydroxyacyl-CoA dehydrogenase (3-oxotetradecanoyl-CoA)</t>
  </si>
  <si>
    <t xml:space="preserve">h_c + 3otdcoa_c + nadh_c  -&gt; nad_c + 3htdcoa_c </t>
  </si>
  <si>
    <t>ECOAH1_f</t>
  </si>
  <si>
    <t>3-hydroxyacyl-CoA dehydratase (3-hydroxybutanoyl-CoA)</t>
  </si>
  <si>
    <t xml:space="preserve">3hbcoa_c  -&gt; h2o_c + b2coa_c </t>
  </si>
  <si>
    <t>ECOAH2_f</t>
  </si>
  <si>
    <t>3-hydroxyacyl-CoA dehydratase (3-hydroxyhexanoyl-CoA)</t>
  </si>
  <si>
    <t xml:space="preserve">3hhcoa_c  -&gt; hx2coa_c + h2o_c </t>
  </si>
  <si>
    <t>ECOAH3_f</t>
  </si>
  <si>
    <t>3-hydroxyacyl-CoA dehydratase (3-hydroxyoctanoyl-CoA)</t>
  </si>
  <si>
    <t xml:space="preserve">3hocoa_c  -&gt; h2o_c + oc2coa_c </t>
  </si>
  <si>
    <t>UGLT_f</t>
  </si>
  <si>
    <t>UDPglucose--hexose-1-phosphate uridylyltransferase</t>
  </si>
  <si>
    <t xml:space="preserve">gal1p_c + udpg_c  -&gt; udpgal_c + g1p_c </t>
  </si>
  <si>
    <t>2.7.7.12</t>
  </si>
  <si>
    <t>DXPS</t>
  </si>
  <si>
    <t>1-deoxy-D-xylulose 5-phosphate synthase</t>
  </si>
  <si>
    <t xml:space="preserve">h_c + g3p_c + pyr_c  -&gt; dxyl5p_c + co2_c </t>
  </si>
  <si>
    <t>2.2.1.7</t>
  </si>
  <si>
    <t>CDPMEK</t>
  </si>
  <si>
    <t>4-(cytidine 5'-diphospho)-2-C-methyl-D-erythritol kinase</t>
  </si>
  <si>
    <t xml:space="preserve">4c2me_c + atp_c  -&gt; h_c + 2p4c2me_c + adp_c </t>
  </si>
  <si>
    <t>2.7.1.148</t>
  </si>
  <si>
    <t>MECDPS</t>
  </si>
  <si>
    <t>2-C-methyl-D-erythritol 2,4-cyclodiphosphate synthase</t>
  </si>
  <si>
    <t xml:space="preserve">2p4c2me_c  -&gt; 2mecdp_c + cmp_c </t>
  </si>
  <si>
    <t>4.6.1.12</t>
  </si>
  <si>
    <t>DDGLK</t>
  </si>
  <si>
    <t>2-dehydro-3-deoxygluconokinase</t>
  </si>
  <si>
    <t xml:space="preserve">2ddglcn_c + atp_c  -&gt; h_c + adp_c + 2ddg6p_c </t>
  </si>
  <si>
    <t>2.7.1.45</t>
  </si>
  <si>
    <t>XYLI2_f</t>
  </si>
  <si>
    <t>Xylose isomerase</t>
  </si>
  <si>
    <t xml:space="preserve">glc__D_c  -&gt; fru_c </t>
  </si>
  <si>
    <t>5.3.1.5</t>
  </si>
  <si>
    <t>PMANM_f</t>
  </si>
  <si>
    <t>Phosphomannomutase</t>
  </si>
  <si>
    <t xml:space="preserve">man1p_c  -&gt; man6p_c </t>
  </si>
  <si>
    <t>5.4.2.8</t>
  </si>
  <si>
    <t>ICL</t>
  </si>
  <si>
    <t>Isocitrate lyase</t>
  </si>
  <si>
    <t xml:space="preserve">icit_c  -&gt; glx_c + succ_c </t>
  </si>
  <si>
    <t>4.1.3.1</t>
  </si>
  <si>
    <t>GLYCL</t>
  </si>
  <si>
    <t>Glycine Cleavage System</t>
  </si>
  <si>
    <t xml:space="preserve">nad_c + thf_c + gly_c  -&gt; nh4_c + mlthf_c + nadh_c + co2_c </t>
  </si>
  <si>
    <t>1.8.1.4</t>
  </si>
  <si>
    <t>HCYSMT</t>
  </si>
  <si>
    <t>Homocysteine S-methyltransferase</t>
  </si>
  <si>
    <t xml:space="preserve">amet_c + hcys__L_c  -&gt; h_c + met__L_c + ahcys_c </t>
  </si>
  <si>
    <t>2.1.1.10</t>
  </si>
  <si>
    <t>UDPG4E_f</t>
  </si>
  <si>
    <t>UDPglucose 4-epimerase</t>
  </si>
  <si>
    <t xml:space="preserve">udpg_c  -&gt; udpgal_c </t>
  </si>
  <si>
    <t>5.1.3.2</t>
  </si>
  <si>
    <t>LACZ</t>
  </si>
  <si>
    <t>B-galactosidase</t>
  </si>
  <si>
    <t xml:space="preserve">lcts_c + h2o_c  -&gt; glc__D_c + gal_c </t>
  </si>
  <si>
    <t>3.2.1.23</t>
  </si>
  <si>
    <t>TRE6PH</t>
  </si>
  <si>
    <t>Trehalose-6-phosphate hydrolase</t>
  </si>
  <si>
    <t xml:space="preserve">h2o_c + tre6p_c  -&gt; glc__D_c + g6p_c </t>
  </si>
  <si>
    <t>3.2.1.93</t>
  </si>
  <si>
    <t>XYLI1_f</t>
  </si>
  <si>
    <t xml:space="preserve">xyl__D_c  -&gt; xylu__D_c </t>
  </si>
  <si>
    <t>PPC</t>
  </si>
  <si>
    <t>Phosphoenolpyruvate carboxylase</t>
  </si>
  <si>
    <t xml:space="preserve">pep_c + h2o_c + co2_c  -&gt; h_c + pi_c + oaa_c </t>
  </si>
  <si>
    <t>4.1.1.31</t>
  </si>
  <si>
    <t>G3PT</t>
  </si>
  <si>
    <t>Glycerol-3-phosphatase</t>
  </si>
  <si>
    <t xml:space="preserve">glyc3p_c + h2o_c  -&gt; pi_c + glyc_c </t>
  </si>
  <si>
    <t>CINNDO</t>
  </si>
  <si>
    <t>Cinnamate dioxygenase</t>
  </si>
  <si>
    <t xml:space="preserve">h_c + o2_c + cinnm_c + nadh_c  -&gt; nad_c + cenchddd_c </t>
  </si>
  <si>
    <t>1.18.1.3</t>
  </si>
  <si>
    <t>DHPPD</t>
  </si>
  <si>
    <t>2,3-dihydroxyphenylpropionate dehydrogenase</t>
  </si>
  <si>
    <t xml:space="preserve">nad_c + cechddd_c  -&gt; h_c + dhpppn_c + nadh_c </t>
  </si>
  <si>
    <t>1.3.1.87</t>
  </si>
  <si>
    <t>DHCIND</t>
  </si>
  <si>
    <t>2,3-dihydroxycinnamate dehydrogenase</t>
  </si>
  <si>
    <t xml:space="preserve">nad_c + cenchddd_c  -&gt; h_c + dhcinnm_c + nadh_c </t>
  </si>
  <si>
    <t>CITL</t>
  </si>
  <si>
    <t>Citrate lyase</t>
  </si>
  <si>
    <t xml:space="preserve">cit_c  -&gt; ac_c + oaa_c </t>
  </si>
  <si>
    <t>2.8.3.10, 4.1.3.34</t>
  </si>
  <si>
    <t>GOFUCR</t>
  </si>
  <si>
    <t>GDP-4-oxo-L-fucose reductase</t>
  </si>
  <si>
    <t xml:space="preserve">h_c + gdpofuc_c + nadph_c  -&gt; nadp_c + gdpfuc_c </t>
  </si>
  <si>
    <t>1.1.1.271</t>
  </si>
  <si>
    <t>PYDXK</t>
  </si>
  <si>
    <t>Pyridoxal kinase</t>
  </si>
  <si>
    <t xml:space="preserve">atp_c + pydx_c  -&gt; h_c + pydx5p_c + adp_c </t>
  </si>
  <si>
    <t>GTPCII2</t>
  </si>
  <si>
    <t>GTP cyclohydrolase II (25drapp)</t>
  </si>
  <si>
    <t xml:space="preserve">3 h2o_c + gtp_c  -&gt; 2 h_c + ppi_c + for_c + 25drapp_c </t>
  </si>
  <si>
    <t>3.5.4.25</t>
  </si>
  <si>
    <t>SADT2</t>
  </si>
  <si>
    <t>Sulfate adenyltransferase</t>
  </si>
  <si>
    <t xml:space="preserve">atp_c + h2o_c + so4_c + gtp_c  -&gt; pi_c + gdp_c + ppi_c + aps_c </t>
  </si>
  <si>
    <t>2.7.7.4</t>
  </si>
  <si>
    <t>LCARS_f</t>
  </si>
  <si>
    <t>Lacaldehyde reductase (S-propane-1,2-diol forming)</t>
  </si>
  <si>
    <t xml:space="preserve">h_c + lald__L_c + nadh_c  -&gt; nad_c + 12ppd__S_c </t>
  </si>
  <si>
    <t>1.1.1.77</t>
  </si>
  <si>
    <t>ALCD19_f</t>
  </si>
  <si>
    <t>Alcohol dehydrogenase (glycerol)</t>
  </si>
  <si>
    <t xml:space="preserve">h_c + glyald_c + nadh_c  -&gt; nad_c + glyc_c </t>
  </si>
  <si>
    <t>RMPA_f</t>
  </si>
  <si>
    <t>Rhamnulose-1-phosphate aldolase</t>
  </si>
  <si>
    <t xml:space="preserve">rml1p_c  -&gt; dhap_c + lald__L_c </t>
  </si>
  <si>
    <t>4.1.2.19</t>
  </si>
  <si>
    <t>SBTPD_f</t>
  </si>
  <si>
    <t>Sorbitol-6-phosphate dehydrogenase</t>
  </si>
  <si>
    <t xml:space="preserve">nad_c + sbt6p_c  -&gt; h_c + f6p_c + nadh_c </t>
  </si>
  <si>
    <t>1.1.1.140</t>
  </si>
  <si>
    <t>PFK_2</t>
  </si>
  <si>
    <t>Phosphofructokinase</t>
  </si>
  <si>
    <t xml:space="preserve">tag6p__D_c + atp_c  -&gt; h_c + adp_c + tagdp__D_c </t>
  </si>
  <si>
    <t>GLTPD_f</t>
  </si>
  <si>
    <t>Galactitol-1-phosphate dehydrogenase</t>
  </si>
  <si>
    <t xml:space="preserve">nad_c + galt1p_c  -&gt; h_c + tag6p__D_c + nadh_c </t>
  </si>
  <si>
    <t>1.1.1.251</t>
  </si>
  <si>
    <t>TGBPA_f</t>
  </si>
  <si>
    <t>Tagatose-bisphosphate aldolase</t>
  </si>
  <si>
    <t xml:space="preserve">tagdp__D_c  -&gt; dhap_c + g3p_c </t>
  </si>
  <si>
    <t>4.1.2.40</t>
  </si>
  <si>
    <t>MANAO_f</t>
  </si>
  <si>
    <t>Mannonate oxidoreductase</t>
  </si>
  <si>
    <t xml:space="preserve">nad_c + mana_c  -&gt; h_c + fruur_c + nadh_c </t>
  </si>
  <si>
    <t>1.1.1.57</t>
  </si>
  <si>
    <t>TAGURr_f</t>
  </si>
  <si>
    <t>Tagaturonate reductase</t>
  </si>
  <si>
    <t xml:space="preserve">nad_c + altrn_c  -&gt; h_c + tagur_c + nadh_c </t>
  </si>
  <si>
    <t>1.1.1.58</t>
  </si>
  <si>
    <t>PGLYCP</t>
  </si>
  <si>
    <t>Phosphoglycolate phosphatase</t>
  </si>
  <si>
    <t xml:space="preserve">2pglyc_c + h2o_c  -&gt; glyclt_c + pi_c </t>
  </si>
  <si>
    <t>3.1.3.18</t>
  </si>
  <si>
    <t>GLXCL</t>
  </si>
  <si>
    <t>Glyoxalate carboligase</t>
  </si>
  <si>
    <t xml:space="preserve">h_c + 2 glx_c  -&gt; 2h3oppan_c + co2_c </t>
  </si>
  <si>
    <t>4.1.1.47</t>
  </si>
  <si>
    <t>TARTD</t>
  </si>
  <si>
    <t>L(+)-tartrate dehydratase</t>
  </si>
  <si>
    <t xml:space="preserve">tartr__L_c  -&gt; h2o_c + oaa_c </t>
  </si>
  <si>
    <t>4.2.1.32</t>
  </si>
  <si>
    <t>GLCRAL</t>
  </si>
  <si>
    <t>5-dehydro-4-deoxyglucarate aldolase</t>
  </si>
  <si>
    <t xml:space="preserve">5dh4dglc_c  -&gt; 2h3oppan_c + pyr_c </t>
  </si>
  <si>
    <t>4.1.2.20</t>
  </si>
  <si>
    <t>KAS14</t>
  </si>
  <si>
    <t>Beta-ketoacyl-ACP synthase</t>
  </si>
  <si>
    <t xml:space="preserve">h_c + acACP_c + malACP_c  -&gt; actACP_c + co2_c + ACP_c </t>
  </si>
  <si>
    <t>EDTXS1</t>
  </si>
  <si>
    <t>Endotoxin Synthesis (lauroyl transferase)</t>
  </si>
  <si>
    <t xml:space="preserve">ddcaACP_c + kdo2lipid4_c  -&gt; kdo2lipid4L_c + ACP_c </t>
  </si>
  <si>
    <t>2.3.1.241</t>
  </si>
  <si>
    <t>EDTXS2</t>
  </si>
  <si>
    <t>Endotoxin Synthesis (myristoyl transferase)</t>
  </si>
  <si>
    <t xml:space="preserve">kdo2lipid4L_c + myrsACP_c  -&gt; lipa_c + ACP_c </t>
  </si>
  <si>
    <t>2.3.1.243</t>
  </si>
  <si>
    <t>EDTXS3</t>
  </si>
  <si>
    <t>Endotoxin Synthesis (palmitoleoyl ACP)</t>
  </si>
  <si>
    <t xml:space="preserve">hdeACP_c + kdo2lipid4_c  -&gt; kdo2lipid4p_c + ACP_c </t>
  </si>
  <si>
    <t>2.3.1.242</t>
  </si>
  <si>
    <t>EDTXS4</t>
  </si>
  <si>
    <t xml:space="preserve">kdo2lipid4p_c + myrsACP_c  -&gt; lipa_cold_c + ACP_c </t>
  </si>
  <si>
    <t>NNDPR</t>
  </si>
  <si>
    <t>Nicotinate-nucleotide diphosphorylase (carboxylating)</t>
  </si>
  <si>
    <t xml:space="preserve">2 h_c + quln_c + prpp_c  -&gt; ppi_c + nicrnt_c + co2_c </t>
  </si>
  <si>
    <t>2.4.2.19</t>
  </si>
  <si>
    <t>HACD4_f</t>
  </si>
  <si>
    <t>3-hydroxyacyl-CoA dehydrogenase (3-oxodecanoyl-CoA)</t>
  </si>
  <si>
    <t xml:space="preserve">h_c + 3odcoa_c + nadh_c  -&gt; nad_c + 3hdcoa_c </t>
  </si>
  <si>
    <t>HACD7_f</t>
  </si>
  <si>
    <t>3-hydroxyacyl-CoA dehydrogenase (3-oxohexadecanoyl-CoA)</t>
  </si>
  <si>
    <t xml:space="preserve">h_c + 3ohdcoa_c + nadh_c  -&gt; nad_c + 3hhdcoa_c </t>
  </si>
  <si>
    <t>AACPS1</t>
  </si>
  <si>
    <t>Acyl-[acyl-carrier-protein] synthetase (n-C14:0)</t>
  </si>
  <si>
    <t xml:space="preserve">atp_c + ttdca_c + ACP_c  -&gt; ppi_c + myrsACP_c + amp_c </t>
  </si>
  <si>
    <t>6.2.1.20</t>
  </si>
  <si>
    <t>SDPDS</t>
  </si>
  <si>
    <t>Succinyl-diaminopimelate desuccinylase</t>
  </si>
  <si>
    <t xml:space="preserve">sl26da_c + h2o_c  -&gt; 26dap_LL_c + succ_c </t>
  </si>
  <si>
    <t>3.5.1.18</t>
  </si>
  <si>
    <t>DMSOR1</t>
  </si>
  <si>
    <t>Dimethyl sulfoxide reductase (Menaquinol 8)</t>
  </si>
  <si>
    <t xml:space="preserve">mql8_c + dmso_c  -&gt; h2o_c + dms_c + mqn8_c </t>
  </si>
  <si>
    <t>1.8.5.3</t>
  </si>
  <si>
    <t>DKGLCNR2y</t>
  </si>
  <si>
    <t>2,5-diketo-D-gluconate reductase (NADPH)</t>
  </si>
  <si>
    <t xml:space="preserve">h_c + 25dkglcn_c + nadph_c  -&gt; nadp_c + 5dglcn_c </t>
  </si>
  <si>
    <t>1.1.1.79, 1.1.1.81</t>
  </si>
  <si>
    <t>2DGULRy</t>
  </si>
  <si>
    <t>2-dehydro-L-gulonate reductase (NADPH)</t>
  </si>
  <si>
    <t xml:space="preserve">h_c + 2dhguln_c + nadph_c  -&gt; idon__L_c + nadp_c </t>
  </si>
  <si>
    <t>RZ5PP</t>
  </si>
  <si>
    <t>Alpha-ribazole 5-phosphate phosphatase</t>
  </si>
  <si>
    <t xml:space="preserve">5prdmbz_c + h2o_c  -&gt; pi_c + rdmbzi_c </t>
  </si>
  <si>
    <t>3.1.3.73</t>
  </si>
  <si>
    <t>NTD9</t>
  </si>
  <si>
    <t>5'-nucleotidase (GMP)</t>
  </si>
  <si>
    <t xml:space="preserve">gmp_c + h2o_c  -&gt; pi_c + gsn_c </t>
  </si>
  <si>
    <t>NTD10</t>
  </si>
  <si>
    <t>5'-nucleotidase (XMP)</t>
  </si>
  <si>
    <t xml:space="preserve">xmp_c + h2o_c  -&gt; xtsn_c + pi_c </t>
  </si>
  <si>
    <t>ADPT</t>
  </si>
  <si>
    <t>Adenine phosphoribosyltransferase</t>
  </si>
  <si>
    <t xml:space="preserve">prpp_c + ade_c  -&gt; ppi_c + amp_c </t>
  </si>
  <si>
    <t>2.4.2.7</t>
  </si>
  <si>
    <t>ADK1_f</t>
  </si>
  <si>
    <t>Adenylate kinase</t>
  </si>
  <si>
    <t xml:space="preserve">atp_c + amp_c  -&gt; 2 adp_c </t>
  </si>
  <si>
    <t>OCTDPS</t>
  </si>
  <si>
    <t>Octaprenyl pyrophosphate synthase</t>
  </si>
  <si>
    <t xml:space="preserve">frdp_c + 5 ipdp_c  -&gt; octdp_c + 5 ppi_c </t>
  </si>
  <si>
    <t>2.5.1.90</t>
  </si>
  <si>
    <t>AACPS2</t>
  </si>
  <si>
    <t>Acyl-[acyl-carrier-protein] synthetase  (n-C14:1)</t>
  </si>
  <si>
    <t xml:space="preserve">atp_c + ttdcea_c + ACP_c  -&gt; tdeACP_c + ppi_c + amp_c </t>
  </si>
  <si>
    <t>AACPS3</t>
  </si>
  <si>
    <t>Acyl-[acyl-carrier-protein] synthetase  (n-C16:0)</t>
  </si>
  <si>
    <t xml:space="preserve">atp_c + hdca_c + ACP_c  -&gt; ppi_c + amp_c + palmACP_c </t>
  </si>
  <si>
    <t>AACPS4</t>
  </si>
  <si>
    <t>Acyl-[acyl-carrier-protein] synthetase  (n-C16:1)</t>
  </si>
  <si>
    <t xml:space="preserve">hdcea_c + atp_c + ACP_c  -&gt; hdeACP_c + ppi_c + amp_c </t>
  </si>
  <si>
    <t>AMANK</t>
  </si>
  <si>
    <t>N-acetyl-D-mannosamine kinase</t>
  </si>
  <si>
    <t xml:space="preserve">atp_c + acmana_c  -&gt; h_c + adp_c + acmanap_c </t>
  </si>
  <si>
    <t>2.7.1.60</t>
  </si>
  <si>
    <t>ACNML</t>
  </si>
  <si>
    <t>N-Acetylneuraminate lyase</t>
  </si>
  <si>
    <t xml:space="preserve">acnam_c  -&gt; acmana_c + pyr_c </t>
  </si>
  <si>
    <t>4.1.3.3</t>
  </si>
  <si>
    <t>CAT</t>
  </si>
  <si>
    <t>Catalase</t>
  </si>
  <si>
    <t xml:space="preserve">2 h2o2_c  -&gt; o2_c + 2 h2o_c </t>
  </si>
  <si>
    <t>1.11.1.21, 1.11.1.6</t>
  </si>
  <si>
    <t>SERASr_f</t>
  </si>
  <si>
    <t>(L-seryl)adenylate synthase</t>
  </si>
  <si>
    <t xml:space="preserve">h_c + ser__L_c + atp_c  -&gt; ppi_c + seramp_c </t>
  </si>
  <si>
    <t>2.7.7.-</t>
  </si>
  <si>
    <t>DMSOR2</t>
  </si>
  <si>
    <t>Dimethyl sulfoxide reductase (Demethylmenaquinol 8)</t>
  </si>
  <si>
    <t xml:space="preserve">2dmmql8_c + dmso_c  -&gt; 2dmmq8_c + h2o_c + dms_c </t>
  </si>
  <si>
    <t>ACMAMUT</t>
  </si>
  <si>
    <t>UDP-N-acetyl-D-mannosaminuronic acid transferase</t>
  </si>
  <si>
    <t xml:space="preserve">uacmamu_c + unaga_c  -&gt; h_c + unagamu_c + udp_c </t>
  </si>
  <si>
    <t>2.4.1.180</t>
  </si>
  <si>
    <t>DDGALK</t>
  </si>
  <si>
    <t>2-dehydro-3-deoxygalactonokinase</t>
  </si>
  <si>
    <t xml:space="preserve">atp_c + 2dh3dgal_c  -&gt; h_c + adp_c + 2dh3dgal6p_c </t>
  </si>
  <si>
    <t>2.7.1.58</t>
  </si>
  <si>
    <t>AB6PGH</t>
  </si>
  <si>
    <t>Arbutin 6-phosphate glucohydrolase</t>
  </si>
  <si>
    <t xml:space="preserve">arbt6p_c + h2o_c  -&gt; g6p_c + hqn_c </t>
  </si>
  <si>
    <t>3.2.1.86</t>
  </si>
  <si>
    <t>AMALT1</t>
  </si>
  <si>
    <t>Amylomaltase (maltotriose)</t>
  </si>
  <si>
    <t xml:space="preserve">malt_c + malttr_c  -&gt; glc__D_c + maltttr_c </t>
  </si>
  <si>
    <t>2.4.1.25</t>
  </si>
  <si>
    <t>MLTP2_f</t>
  </si>
  <si>
    <t>Maltodextrin phosphorylase (maltohexaose)</t>
  </si>
  <si>
    <t xml:space="preserve">pi_c + malthx_c  -&gt; g1p_c + maltpt_c </t>
  </si>
  <si>
    <t>PACCOAL</t>
  </si>
  <si>
    <t>Phenylacetate-CoA ligase</t>
  </si>
  <si>
    <t xml:space="preserve">pac_c + atp_c + coa_c  -&gt; phaccoa_c + ppi_c + amp_c </t>
  </si>
  <si>
    <t>6.2.1.30</t>
  </si>
  <si>
    <t>GP4GH</t>
  </si>
  <si>
    <t>Gp4G hydrolase</t>
  </si>
  <si>
    <t xml:space="preserve">gp4g_c + h2o_c  -&gt; 2 h_c + 2 gdp_c </t>
  </si>
  <si>
    <t>3.6.1.41</t>
  </si>
  <si>
    <t>ACGAMT</t>
  </si>
  <si>
    <t>UDP-N-acetylglucosamine:undecaprenylphosphate N-acetylglucosamine -1-phosphate transferase</t>
  </si>
  <si>
    <t xml:space="preserve">uacgam_c + udcpp_c  -&gt; ump_c + unaga_c </t>
  </si>
  <si>
    <t>2.7.8.33</t>
  </si>
  <si>
    <t>AADDGT</t>
  </si>
  <si>
    <t>DTDP-N-4-acetamido-4,6-dideoxy-D-galactose transferase</t>
  </si>
  <si>
    <t xml:space="preserve">unagamu_c + dtdp4aaddg_c  -&gt; h_c + unagamuf_c + dtdp_c </t>
  </si>
  <si>
    <t>2.4.1.325</t>
  </si>
  <si>
    <t>GMHEPK</t>
  </si>
  <si>
    <t>D-glycero-D-manno-heptose 7-phosphate kinase</t>
  </si>
  <si>
    <t xml:space="preserve">atp_c + gmhep7p_c  -&gt; h_c + adp_c + gmhep17bp_c </t>
  </si>
  <si>
    <t>2.7.1.167, 2.7.7.70</t>
  </si>
  <si>
    <t>TRE6PS</t>
  </si>
  <si>
    <t>Alpha,alpha-trehalose-phosphate synthase (UDP-forming)</t>
  </si>
  <si>
    <t xml:space="preserve">udpg_c + g6p_c  -&gt; h_c + tre6p_c + udp_c </t>
  </si>
  <si>
    <t>2.4.1.15</t>
  </si>
  <si>
    <t>UDCPDP</t>
  </si>
  <si>
    <t>Undecaprenyl-diphosphatase</t>
  </si>
  <si>
    <t xml:space="preserve">udcpdp_c + h2o_c  -&gt; h_c + pi_c + udcpp_c </t>
  </si>
  <si>
    <t>3.6.1.27</t>
  </si>
  <si>
    <t>TREH</t>
  </si>
  <si>
    <t>Alpha,alpha-trehalase</t>
  </si>
  <si>
    <t xml:space="preserve">tre_c + h2o_c  -&gt; 2 glc__D_c </t>
  </si>
  <si>
    <t>3.2.1.28</t>
  </si>
  <si>
    <t>CYTK1_f</t>
  </si>
  <si>
    <t>Cytidylate kinase (CMP)</t>
  </si>
  <si>
    <t xml:space="preserve">atp_c + cmp_c  -&gt; adp_c + cdp_c </t>
  </si>
  <si>
    <t>2.7.4.25</t>
  </si>
  <si>
    <t>CYTK2_f</t>
  </si>
  <si>
    <t>Cytidylate kinase (dCMP)</t>
  </si>
  <si>
    <t xml:space="preserve">atp_c + dcmp_c  -&gt; adp_c + dcdp_c </t>
  </si>
  <si>
    <t>GK1_f</t>
  </si>
  <si>
    <t>Guanylate kinase (GMP:ATP)</t>
  </si>
  <si>
    <t xml:space="preserve">atp_c + gmp_c  -&gt; adp_c + gdp_c </t>
  </si>
  <si>
    <t>2.7.4.8</t>
  </si>
  <si>
    <t>HACD1_f</t>
  </si>
  <si>
    <t>3-hydroxyacyl-CoA dehydrogenase (acetoacetyl-CoA)</t>
  </si>
  <si>
    <t xml:space="preserve">h_c + aacoa_c + nadh_c  -&gt; nad_c + 3hbcoa_c </t>
  </si>
  <si>
    <t>HACD2_f</t>
  </si>
  <si>
    <t>3-hydroxyacyl-CoA dehydrogenase (3-oxohexanoyl-CoA)</t>
  </si>
  <si>
    <t xml:space="preserve">h_c + 3ohcoa_c + nadh_c  -&gt; nad_c + 3hhcoa_c </t>
  </si>
  <si>
    <t>ACACCT</t>
  </si>
  <si>
    <t>Acetyl-CoA:acetoacetyl-CoA transferase</t>
  </si>
  <si>
    <t xml:space="preserve">accoa_c + acac_c  -&gt; ac_c + aacoa_c </t>
  </si>
  <si>
    <t>2.8.3.8</t>
  </si>
  <si>
    <t>BUTCT</t>
  </si>
  <si>
    <t>Acetyl-CoA:butyrate-CoA transferase</t>
  </si>
  <si>
    <t xml:space="preserve">accoa_c + but_c  -&gt; ac_c + btcoa_c </t>
  </si>
  <si>
    <t>2DGULRx</t>
  </si>
  <si>
    <t>2-dehydro-L-gulonate reductase (NADH)</t>
  </si>
  <si>
    <t xml:space="preserve">h_c + 2dhguln_c + nadh_c  -&gt; nad_c + idon__L_c </t>
  </si>
  <si>
    <t>G1PTT</t>
  </si>
  <si>
    <t>Glucose-1-phosphate thymidylyltransferase</t>
  </si>
  <si>
    <t xml:space="preserve">h_c + dttp_c + g1p_c  -&gt; ppi_c + dtdpglu_c </t>
  </si>
  <si>
    <t>2.7.7.24</t>
  </si>
  <si>
    <t>TDPGDH</t>
  </si>
  <si>
    <t>DTDPglucose 4,6-dehydratase</t>
  </si>
  <si>
    <t xml:space="preserve">dtdpglu_c  -&gt; dtdp4d6dg_c + h2o_c </t>
  </si>
  <si>
    <t>4.2.1.46</t>
  </si>
  <si>
    <t>UDPGALM</t>
  </si>
  <si>
    <t>UDPgalactopyranose mutase</t>
  </si>
  <si>
    <t xml:space="preserve">udpgal_c  -&gt; udpgalfur_c </t>
  </si>
  <si>
    <t>5.4.99.9</t>
  </si>
  <si>
    <t>TDPDRE</t>
  </si>
  <si>
    <t>DTDP-4-dehydrorhamnose 3,5-epimerase</t>
  </si>
  <si>
    <t xml:space="preserve">dtdp4d6dg_c  -&gt; dtdp4d6dm_c </t>
  </si>
  <si>
    <t>5.1.3.13</t>
  </si>
  <si>
    <t>TDPDRR</t>
  </si>
  <si>
    <t>DTDP-4-dehydrorhamnose reductase</t>
  </si>
  <si>
    <t xml:space="preserve">h_c + dtdp4d6dm_c + nadph_c  -&gt; nadp_c + dtdprmn_c </t>
  </si>
  <si>
    <t>1.1.1.133</t>
  </si>
  <si>
    <t>G3PD6</t>
  </si>
  <si>
    <t>Glycerol-3-phosphate dehydrogenase (menaquinone-8)</t>
  </si>
  <si>
    <t xml:space="preserve">glyc3p_c + mqn8_c  -&gt; dhap_c + mql8_c </t>
  </si>
  <si>
    <t>ALLTN</t>
  </si>
  <si>
    <t>Allantoinase</t>
  </si>
  <si>
    <t xml:space="preserve">h2o_c + alltn_c  -&gt; h_c + alltt_c </t>
  </si>
  <si>
    <t>3.5.2.5</t>
  </si>
  <si>
    <t>UAPGR</t>
  </si>
  <si>
    <t>UDP-N-acetylenolpyruvoylglucosamine reductase</t>
  </si>
  <si>
    <t xml:space="preserve">h_c + uaccg_c + nadph_c  -&gt; uamr_c + nadp_c </t>
  </si>
  <si>
    <t>1.3.1.98</t>
  </si>
  <si>
    <t>NDPK7_f</t>
  </si>
  <si>
    <t>Nucleoside-diphosphate kinase (ATP:dCDP)</t>
  </si>
  <si>
    <t xml:space="preserve">atp_c + dcdp_c  -&gt; adp_c + dctp_c </t>
  </si>
  <si>
    <t>GLYAT_f</t>
  </si>
  <si>
    <t>Glycine C-acetyltransferase</t>
  </si>
  <si>
    <t xml:space="preserve">accoa_c + gly_c  -&gt; 2aobut_c + coa_c </t>
  </si>
  <si>
    <t>2.3.1.29</t>
  </si>
  <si>
    <t>ADNUC</t>
  </si>
  <si>
    <t>Adenosine hydrolase</t>
  </si>
  <si>
    <t xml:space="preserve">adn_c + h2o_c  -&gt; rib__D_c + ade_c </t>
  </si>
  <si>
    <t>3.2.-.-</t>
  </si>
  <si>
    <t>GMHEPPA</t>
  </si>
  <si>
    <t>D-glycero-D-manno-heptose 1,7-bisphosphate phosphatase</t>
  </si>
  <si>
    <t xml:space="preserve">h2o_c + gmhep17bp_c  -&gt; pi_c + gmhep1p_c </t>
  </si>
  <si>
    <t>3.1.3.82</t>
  </si>
  <si>
    <t>S7PI</t>
  </si>
  <si>
    <t>Sedoheptulose 7-phosphate isomerase</t>
  </si>
  <si>
    <t xml:space="preserve">s7p_c  -&gt; gmhep7p_c </t>
  </si>
  <si>
    <t>5.3.1.28</t>
  </si>
  <si>
    <t>TRPS3</t>
  </si>
  <si>
    <t>Tryptophan synthase (indoleglycerol phosphate)</t>
  </si>
  <si>
    <t xml:space="preserve">3ig3p_c  -&gt; g3p_c + indole_c </t>
  </si>
  <si>
    <t>CRNBTCT_f</t>
  </si>
  <si>
    <t>Gamma-butyrobetainyl-CoA: carnitine CoA transferase</t>
  </si>
  <si>
    <t xml:space="preserve">bbtcoa_c + crn_c  -&gt; gbbtn_c + crncoa_c </t>
  </si>
  <si>
    <t>2.8.3.21</t>
  </si>
  <si>
    <t>CRNCBCT_f</t>
  </si>
  <si>
    <t>Crotonobetainyl-CoA: carnitine CoA transferase</t>
  </si>
  <si>
    <t xml:space="preserve">crn_c + ctbtcoa_c  -&gt; ctbt_c + crncoa_c </t>
  </si>
  <si>
    <t>CRNCDH_f</t>
  </si>
  <si>
    <t>Carnityl-CoA dehydratse</t>
  </si>
  <si>
    <t xml:space="preserve">crncoa_c  -&gt; h2o_c + ctbtcoa_c </t>
  </si>
  <si>
    <t>4.2.1.149</t>
  </si>
  <si>
    <t>FADRx</t>
  </si>
  <si>
    <t>FAD reductase</t>
  </si>
  <si>
    <t xml:space="preserve">h_c + nadh_c + fad_c  -&gt; fadh2_c + nad_c </t>
  </si>
  <si>
    <t>1.5.1.41</t>
  </si>
  <si>
    <t>GTPDPK</t>
  </si>
  <si>
    <t>GTP diphosphokinase</t>
  </si>
  <si>
    <t xml:space="preserve">atp_c + gtp_c  -&gt; h_c + gdptp_c + amp_c </t>
  </si>
  <si>
    <t>2.7.6.5</t>
  </si>
  <si>
    <t>NDPK2_f</t>
  </si>
  <si>
    <t>Nucleoside-diphosphate kinase (ATP:UDP)</t>
  </si>
  <si>
    <t xml:space="preserve">atp_c + udp_c  -&gt; adp_c + utp_c </t>
  </si>
  <si>
    <t>NDPK3_f</t>
  </si>
  <si>
    <t>Nucleoside-diphosphate kinase (ATP:CDP)</t>
  </si>
  <si>
    <t xml:space="preserve">atp_c + cdp_c  -&gt; ctp_c + adp_c </t>
  </si>
  <si>
    <t>NDPK4_f</t>
  </si>
  <si>
    <t>Nucleoside-diphosphate kinase (ATP:dTDP)</t>
  </si>
  <si>
    <t xml:space="preserve">atp_c + dtdp_c  -&gt; adp_c + dttp_c </t>
  </si>
  <si>
    <t>FCLT</t>
  </si>
  <si>
    <t>Ferrochelatase</t>
  </si>
  <si>
    <t xml:space="preserve">ppp9_c + fe2_c  -&gt; 2 h_c + pheme_c </t>
  </si>
  <si>
    <t>4.99.1.1</t>
  </si>
  <si>
    <t>HBZOPT</t>
  </si>
  <si>
    <t>Hydroxybenzoate octaprenyltransferase</t>
  </si>
  <si>
    <t xml:space="preserve">4hbz_c + octdp_c  -&gt; ppi_c + 3ophb_c </t>
  </si>
  <si>
    <t>PNTK</t>
  </si>
  <si>
    <t>Pantothenate kinase</t>
  </si>
  <si>
    <t xml:space="preserve">pnto__R_c + atp_c  -&gt; h_c + adp_c + 4ppan_c </t>
  </si>
  <si>
    <t>2.7.1.33</t>
  </si>
  <si>
    <t>DPCOAK</t>
  </si>
  <si>
    <t>Dephospho-CoA kinase</t>
  </si>
  <si>
    <t xml:space="preserve">atp_c + dpcoa_c  -&gt; h_c + adp_c + coa_c </t>
  </si>
  <si>
    <t>2.7.1.24</t>
  </si>
  <si>
    <t>HETZK</t>
  </si>
  <si>
    <t>Hydroxyethylthiazole kinase</t>
  </si>
  <si>
    <t xml:space="preserve">atp_c + 4mhetz_c  -&gt; h_c + adp_c + 4mpetz_c </t>
  </si>
  <si>
    <t>2.7.1.50</t>
  </si>
  <si>
    <t>KDOPS</t>
  </si>
  <si>
    <t>3-deoxy -D-manno-octulosonic -acid 8-phosphate synthase</t>
  </si>
  <si>
    <t xml:space="preserve">pep_c + h2o_c + ara5p_c  -&gt; pi_c + kdo8p_c </t>
  </si>
  <si>
    <t>2.5.1.55</t>
  </si>
  <si>
    <t>KDOPP</t>
  </si>
  <si>
    <t>3-deoxy-manno-octulosonate-8-phosphatase</t>
  </si>
  <si>
    <t xml:space="preserve">h2o_c + kdo8p_c  -&gt; pi_c + kdo_c </t>
  </si>
  <si>
    <t>3.1.3.45</t>
  </si>
  <si>
    <t>AST</t>
  </si>
  <si>
    <t>Arginine succinyltransferase</t>
  </si>
  <si>
    <t xml:space="preserve">arg__L_c + succoa_c  -&gt; h_c + sucarg_c + coa_c </t>
  </si>
  <si>
    <t>2.3.1.109</t>
  </si>
  <si>
    <t>SGDS</t>
  </si>
  <si>
    <t>Succinylglutamate desuccinylase</t>
  </si>
  <si>
    <t xml:space="preserve">h2o_c + sucglu_c  -&gt; glu__L_c + succ_c </t>
  </si>
  <si>
    <t>3.5.1.96</t>
  </si>
  <si>
    <t>CYNTAH</t>
  </si>
  <si>
    <t>Cyanate aminohydrolase</t>
  </si>
  <si>
    <t xml:space="preserve">3 h_c + cynt_c + hco3_c  -&gt; nh4_c + 2 co2_c </t>
  </si>
  <si>
    <t>4.2.1.104</t>
  </si>
  <si>
    <t>GSPMDA</t>
  </si>
  <si>
    <t>Glutathionylspermidine amidase</t>
  </si>
  <si>
    <t xml:space="preserve">gtspmd_c + h2o_c  -&gt; gthrd_c + spmd_c </t>
  </si>
  <si>
    <t>3.5.1.78</t>
  </si>
  <si>
    <t>GSPMDS</t>
  </si>
  <si>
    <t>Glutathionylspermidine synthetase</t>
  </si>
  <si>
    <t xml:space="preserve">gthrd_c + atp_c + spmd_c  -&gt; h_c + adp_c + pi_c + gtspmd_c </t>
  </si>
  <si>
    <t>6.3.1.8</t>
  </si>
  <si>
    <t>GUAD</t>
  </si>
  <si>
    <t>Guanine deaminase</t>
  </si>
  <si>
    <t xml:space="preserve">h_c + gua_c + h2o_c  -&gt; xan_c + nh4_c </t>
  </si>
  <si>
    <t>3.5.4.3</t>
  </si>
  <si>
    <t>TMAOR1</t>
  </si>
  <si>
    <t>Trimethylamine N-oxide reductase (menaquinol 8)</t>
  </si>
  <si>
    <t xml:space="preserve">h_c + tmao_c + mql8_c  -&gt; h2o_c + tma_c + mqn8_c </t>
  </si>
  <si>
    <t>TMAOR2</t>
  </si>
  <si>
    <t>Trimethylamine N-oxide reductase (demethylmenaquinol 8)</t>
  </si>
  <si>
    <t xml:space="preserve">h_c + tmao_c + 2dmmql8_c  -&gt; 2dmmq8_c + h2o_c + tma_c </t>
  </si>
  <si>
    <t>DGK1_f</t>
  </si>
  <si>
    <t>Deoxyguanylate kinase (dGMP:ATP)</t>
  </si>
  <si>
    <t xml:space="preserve">atp_c + dgmp_c  -&gt; adp_c + dgdp_c </t>
  </si>
  <si>
    <t>DTMPK_f</t>
  </si>
  <si>
    <t>DTMP kinase</t>
  </si>
  <si>
    <t xml:space="preserve">atp_c + dtmp_c  -&gt; adp_c + dtdp_c </t>
  </si>
  <si>
    <t>2.7.4.9</t>
  </si>
  <si>
    <t>NDPK1_f</t>
  </si>
  <si>
    <t>Nucleoside-diphosphate kinase (ATP:GDP)</t>
  </si>
  <si>
    <t xml:space="preserve">atp_c + gdp_c  -&gt; adp_c + gtp_c </t>
  </si>
  <si>
    <t>TRDR</t>
  </si>
  <si>
    <t>Thioredoxin reductase (NADPH)</t>
  </si>
  <si>
    <t xml:space="preserve">h_c + trdox_c + nadph_c  -&gt; nadp_c + trdrd_c </t>
  </si>
  <si>
    <t>1.8.1.9</t>
  </si>
  <si>
    <t>PGMT_f</t>
  </si>
  <si>
    <t>Phosphoglucomutase</t>
  </si>
  <si>
    <t xml:space="preserve">g1p_c  -&gt; g6p_c </t>
  </si>
  <si>
    <t>5.4.2.2</t>
  </si>
  <si>
    <t>FRUK</t>
  </si>
  <si>
    <t>Fructose-1-phosphate kinase</t>
  </si>
  <si>
    <t xml:space="preserve">f1p_c + atp_c  -&gt; h_c + adp_c + fdp_c </t>
  </si>
  <si>
    <t>2.7.1.56</t>
  </si>
  <si>
    <t>RHCCE</t>
  </si>
  <si>
    <t>S-ribosylhomocysteine cleavage enzyme</t>
  </si>
  <si>
    <t xml:space="preserve">rhcys_c  -&gt; dhptd_c + hcys__L_c </t>
  </si>
  <si>
    <t>4.4.1.21</t>
  </si>
  <si>
    <t>KG6PDC</t>
  </si>
  <si>
    <t>3-keto-L-gulonate 6-phosphate decarboxylase</t>
  </si>
  <si>
    <t xml:space="preserve">h_c + 3dhgulnp_c  -&gt; xu5p__L_c + co2_c </t>
  </si>
  <si>
    <t>4.1.1.85</t>
  </si>
  <si>
    <t>X5PL3E</t>
  </si>
  <si>
    <t>L-xylulose 5-phosphate 3-epimerase</t>
  </si>
  <si>
    <t xml:space="preserve">xu5p__L_c  -&gt; ru5p__L_c </t>
  </si>
  <si>
    <t>5.1.3.22</t>
  </si>
  <si>
    <t>DOGULNR</t>
  </si>
  <si>
    <t>2,3 dioxo-L-gulonate reductase</t>
  </si>
  <si>
    <t xml:space="preserve">h_c + 23doguln_c + nadh_c  -&gt; nad_c + 3dhguln_c </t>
  </si>
  <si>
    <t>1.1.1.130</t>
  </si>
  <si>
    <t>BETALDHx</t>
  </si>
  <si>
    <t>Betaine-aldehyde dehydrogenase</t>
  </si>
  <si>
    <t xml:space="preserve">nad_c + h2o_c + betald_c  -&gt; 2 h_c + glyb_c + nadh_c </t>
  </si>
  <si>
    <t>1.2.1.8</t>
  </si>
  <si>
    <t>BETALDHy</t>
  </si>
  <si>
    <t xml:space="preserve">nadp_c + h2o_c + betald_c  -&gt; 2 h_c + glyb_c + nadph_c </t>
  </si>
  <si>
    <t>MLTG3</t>
  </si>
  <si>
    <t>Maltodextrin glucosidase (maltopentaose)</t>
  </si>
  <si>
    <t xml:space="preserve">maltpt_c + h2o_c  -&gt; glc__D_c + maltttr_c </t>
  </si>
  <si>
    <t>3.2.1.20</t>
  </si>
  <si>
    <t>DKGLCNR1</t>
  </si>
  <si>
    <t>2,5-diketo-D-gluconate reductase</t>
  </si>
  <si>
    <t xml:space="preserve">h_c + 25dkglcn_c + nadph_c  -&gt; 2dhguln_c + nadp_c </t>
  </si>
  <si>
    <t>1.1.1.274, 1.1.1.346</t>
  </si>
  <si>
    <t>NADTRHD</t>
  </si>
  <si>
    <t>NAD transhydrogenase</t>
  </si>
  <si>
    <t xml:space="preserve">nad_c + nadph_c  -&gt; nadp_c + nadh_c </t>
  </si>
  <si>
    <t>1.6.1.1</t>
  </si>
  <si>
    <t>FMNRx2</t>
  </si>
  <si>
    <t>FMN reductase</t>
  </si>
  <si>
    <t xml:space="preserve">h_c + fmn_c + nadph_c  -&gt; nadp_c + fmnh2_c </t>
  </si>
  <si>
    <t>1.8.1.2</t>
  </si>
  <si>
    <t>ACPS1</t>
  </si>
  <si>
    <t>Acyl-carrier protein synthase</t>
  </si>
  <si>
    <t xml:space="preserve">apoACP_c + coa_c  -&gt; h_c + pap_c + ACP_c </t>
  </si>
  <si>
    <t>2.7.8.7</t>
  </si>
  <si>
    <t>GMPS2</t>
  </si>
  <si>
    <t>GMP synthase</t>
  </si>
  <si>
    <t xml:space="preserve">atp_c + gln__L_c + xmp_c + h2o_c  -&gt; 2 h_c + ppi_c + glu__L_c + gmp_c + amp_c </t>
  </si>
  <si>
    <t>6.3.5.2</t>
  </si>
  <si>
    <t>AMPN</t>
  </si>
  <si>
    <t>AMP nucleosidase</t>
  </si>
  <si>
    <t xml:space="preserve">h2o_c + amp_c  -&gt; r5p_c + ade_c </t>
  </si>
  <si>
    <t>3.2.2.4</t>
  </si>
  <si>
    <t>GSNK</t>
  </si>
  <si>
    <t>Guanosine kinase</t>
  </si>
  <si>
    <t xml:space="preserve">atp_c + gsn_c  -&gt; h_c + adp_c + gmp_c </t>
  </si>
  <si>
    <t>ADCS</t>
  </si>
  <si>
    <t>4-amino-4-deoxychorismate synthase</t>
  </si>
  <si>
    <t xml:space="preserve">chor_c + gln__L_c  -&gt; glu__L_c + 4adcho_c </t>
  </si>
  <si>
    <t>2.6.1.85</t>
  </si>
  <si>
    <t>ADCL</t>
  </si>
  <si>
    <t>4-aminobenzoate synthase</t>
  </si>
  <si>
    <t xml:space="preserve">4adcho_c  -&gt; h_c + pyr_c + 4abz_c </t>
  </si>
  <si>
    <t>4.1.3.40</t>
  </si>
  <si>
    <t>DHAPT</t>
  </si>
  <si>
    <t>Dihydroxyacetone phosphotransferase</t>
  </si>
  <si>
    <t xml:space="preserve">pep_c + dha_c  -&gt; dhap_c + pyr_c </t>
  </si>
  <si>
    <t>2.7.1.121</t>
  </si>
  <si>
    <t>UMPK_f</t>
  </si>
  <si>
    <t>UMP kinase</t>
  </si>
  <si>
    <t xml:space="preserve">ump_c + atp_c  -&gt; adp_c + udp_c </t>
  </si>
  <si>
    <t>DDPGALA_f</t>
  </si>
  <si>
    <t>2-dehydro-3-deoxy-6-phosphogalactonate aldolase</t>
  </si>
  <si>
    <t xml:space="preserve">2dh3dgal6p_c  -&gt; g3p_c + pyr_c </t>
  </si>
  <si>
    <t>4.1.2.21</t>
  </si>
  <si>
    <t>DURIK1</t>
  </si>
  <si>
    <t>Deoxyuridine kinase (ATP:Deoxyuridine)</t>
  </si>
  <si>
    <t xml:space="preserve">duri_c + atp_c  -&gt; h_c + adp_c + dump_c </t>
  </si>
  <si>
    <t>UPPRT</t>
  </si>
  <si>
    <t>Uracil phosphoribosyltransferase</t>
  </si>
  <si>
    <t xml:space="preserve">ura_c + prpp_c  -&gt; ump_c + ppi_c </t>
  </si>
  <si>
    <t>2.4.2.9</t>
  </si>
  <si>
    <t>CTPS2</t>
  </si>
  <si>
    <t>CTP synthase (glutamine)</t>
  </si>
  <si>
    <t xml:space="preserve">atp_c + utp_c + gln__L_c + h2o_c  -&gt; 2 h_c + ctp_c + adp_c + pi_c + glu__L_c </t>
  </si>
  <si>
    <t>6.3.4.2</t>
  </si>
  <si>
    <t>NTD1</t>
  </si>
  <si>
    <t>5'-nucleotidase (dUMP)</t>
  </si>
  <si>
    <t xml:space="preserve">h2o_c + dump_c  -&gt; duri_c + pi_c </t>
  </si>
  <si>
    <t>NTD7</t>
  </si>
  <si>
    <t>5'-nucleotidase (AMP)</t>
  </si>
  <si>
    <t xml:space="preserve">h2o_c + amp_c  -&gt; pi_c + adn_c </t>
  </si>
  <si>
    <t>PAPPT3</t>
  </si>
  <si>
    <t>Phospho-N-acetylmuramoyl-pentapeptide-transferase (meso-2,6-diaminopimelate)</t>
  </si>
  <si>
    <t xml:space="preserve">ugmda_c + udcpp_c  -&gt; ump_c + uagmda_c </t>
  </si>
  <si>
    <t>2.7.8.13</t>
  </si>
  <si>
    <t>UAGPT3</t>
  </si>
  <si>
    <t>UDP-N-acetylglucosamine-N-acetylmuramyl-(pentapeptide)pyrophosphoryl-undecaprenol N-acetylglucosamine transferase</t>
  </si>
  <si>
    <t xml:space="preserve">uagmda_c + uacgam_c  -&gt; h_c + uaagmda_c + udp_c </t>
  </si>
  <si>
    <t>2.4.1.227</t>
  </si>
  <si>
    <t>F6PA_f</t>
  </si>
  <si>
    <t>Fructose 6-phosphate aldolase</t>
  </si>
  <si>
    <t xml:space="preserve">f6p_c  -&gt; g3p_c + dha_c </t>
  </si>
  <si>
    <t>4.1.2.-</t>
  </si>
  <si>
    <t>AGMHE</t>
  </si>
  <si>
    <t>ADP-D-glycero-D-manno-heptose epimerase</t>
  </si>
  <si>
    <t xml:space="preserve">adphep_DD_c  -&gt; adphep_LD_c </t>
  </si>
  <si>
    <t>5.1.3.20</t>
  </si>
  <si>
    <t>GMHEPAT</t>
  </si>
  <si>
    <t>D-glycero-D-manno-hepose 1-phosphate adenyltransferase</t>
  </si>
  <si>
    <t xml:space="preserve">h_c + atp_c + gmhep1p_c  -&gt; ppi_c + adphep_DD_c </t>
  </si>
  <si>
    <t>2.7.7.70</t>
  </si>
  <si>
    <t>IDOND_f</t>
  </si>
  <si>
    <t>L-idonate 5-dehydrogenase</t>
  </si>
  <si>
    <t xml:space="preserve">h_c + 5dglcn_c + nadh_c  -&gt; nad_c + idon__L_c </t>
  </si>
  <si>
    <t>1.1.1.264</t>
  </si>
  <si>
    <t>IDOND2</t>
  </si>
  <si>
    <t>L-indonate 5-dehydrogenase (NADP)</t>
  </si>
  <si>
    <t xml:space="preserve">h_c + 5dglcn_c + nadph_c  -&gt; idon__L_c + nadp_c </t>
  </si>
  <si>
    <t>GLYCLTDx</t>
  </si>
  <si>
    <t>Glycolate dehydrogenase (NAD)</t>
  </si>
  <si>
    <t xml:space="preserve">h_c + glx_c + nadh_c  -&gt; glyclt_c + nad_c </t>
  </si>
  <si>
    <t>HPYRRy</t>
  </si>
  <si>
    <t>Hydroxypyruvate reductase (NADPH)</t>
  </si>
  <si>
    <t xml:space="preserve">h_c + hpyr_c + nadph_c  -&gt; nadp_c + glyc__R_c </t>
  </si>
  <si>
    <t>ACODA</t>
  </si>
  <si>
    <t>Acetylornithine deacetylase</t>
  </si>
  <si>
    <t xml:space="preserve">acorn_c + h2o_c  -&gt; ac_c + orn_c </t>
  </si>
  <si>
    <t>3.5.1.16</t>
  </si>
  <si>
    <t>ADA</t>
  </si>
  <si>
    <t>Adenosine deaminase</t>
  </si>
  <si>
    <t xml:space="preserve">h_c + adn_c + h2o_c  -&gt; nh4_c + ins_c </t>
  </si>
  <si>
    <t>3.5.4.4</t>
  </si>
  <si>
    <t>DADA</t>
  </si>
  <si>
    <t>Deoxyadenosine deaminase</t>
  </si>
  <si>
    <t xml:space="preserve">h_c + dad_2_c + h2o_c  -&gt; nh4_c + din_c </t>
  </si>
  <si>
    <t>ADD</t>
  </si>
  <si>
    <t>Adenine deaminase</t>
  </si>
  <si>
    <t xml:space="preserve">h_c + h2o_c + ade_c  -&gt; nh4_c + hxan_c </t>
  </si>
  <si>
    <t>3.5.4.2</t>
  </si>
  <si>
    <t>ADSS</t>
  </si>
  <si>
    <t>Adenylosuccinate synthase</t>
  </si>
  <si>
    <t xml:space="preserve">asp__L_c + imp_c + gtp_c  -&gt; 2 h_c + pi_c + gdp_c + dcamp_c </t>
  </si>
  <si>
    <t>6.3.4.4</t>
  </si>
  <si>
    <t>AGDC</t>
  </si>
  <si>
    <t>N-acetylglucosamine-6-phosphate deacetylase</t>
  </si>
  <si>
    <t xml:space="preserve">acgam6p_c + h2o_c  -&gt; ac_c + gam6p_c </t>
  </si>
  <si>
    <t>3.5.1.25</t>
  </si>
  <si>
    <t>ASNN</t>
  </si>
  <si>
    <t>L-asparaginase</t>
  </si>
  <si>
    <t xml:space="preserve">h2o_c + asn__L_c  -&gt; asp__L_c + nh4_c </t>
  </si>
  <si>
    <t>3.5.1.1</t>
  </si>
  <si>
    <t>ASNS2</t>
  </si>
  <si>
    <t>Asparagine synthetase</t>
  </si>
  <si>
    <t xml:space="preserve">asp__L_c + nh4_c + atp_c  -&gt; h_c + ppi_c + asn__L_c + amp_c </t>
  </si>
  <si>
    <t>6.3.5.4</t>
  </si>
  <si>
    <t>ASPCT</t>
  </si>
  <si>
    <t>Aspartate carbamoyltransferase</t>
  </si>
  <si>
    <t xml:space="preserve">asp__L_c + cbp_c  -&gt; h_c + pi_c + cbasp_c </t>
  </si>
  <si>
    <t>2.1.3.2</t>
  </si>
  <si>
    <t>DMPPS</t>
  </si>
  <si>
    <t>1-hydroxy-2-methyl-2-(E)-butenyl 4-diphosphate reductase (dmpp)</t>
  </si>
  <si>
    <t xml:space="preserve">h_c + h2mb4p_c + nadh_c  -&gt; nad_c + h2o_c + dmpp_c </t>
  </si>
  <si>
    <t>1.17.7.4</t>
  </si>
  <si>
    <t>MCOATA_f</t>
  </si>
  <si>
    <t>Malonyl-CoA-ACP transacylase</t>
  </si>
  <si>
    <t xml:space="preserve">malcoa_c + ACP_c  -&gt; coa_c + malACP_c </t>
  </si>
  <si>
    <t>2.3.1.39</t>
  </si>
  <si>
    <t>IPDPS</t>
  </si>
  <si>
    <t>1-hydroxy-2-methyl-2-(E)-butenyl 4-diphosphate reductase (ipdp)</t>
  </si>
  <si>
    <t xml:space="preserve">h_c + h2mb4p_c + nadh_c  -&gt; nad_c + h2o_c + ipdp_c </t>
  </si>
  <si>
    <t>DAPE_f</t>
  </si>
  <si>
    <t>Diaminopimelate epimerase</t>
  </si>
  <si>
    <t xml:space="preserve">26dap_LL_c  -&gt; 26dap__M_c </t>
  </si>
  <si>
    <t>5.1.1.7</t>
  </si>
  <si>
    <t>DHDPRy</t>
  </si>
  <si>
    <t>Dihydrodipicolinate reductase (NADPH)</t>
  </si>
  <si>
    <t xml:space="preserve">h_c + nadph_c + 23dhdp_c  -&gt; nadp_c + thdp_c </t>
  </si>
  <si>
    <t>1.17.1.8</t>
  </si>
  <si>
    <t>HSK</t>
  </si>
  <si>
    <t>Homoserine kinase</t>
  </si>
  <si>
    <t xml:space="preserve">hom__L_c + atp_c  -&gt; h_c + adp_c + phom_c </t>
  </si>
  <si>
    <t>2.7.1.39</t>
  </si>
  <si>
    <t>SDPTA_f</t>
  </si>
  <si>
    <t>Succinyldiaminopimelate transaminase</t>
  </si>
  <si>
    <t xml:space="preserve">akg_c + sl26da_c  -&gt; glu__L_c + sl2a6o_c </t>
  </si>
  <si>
    <t>2.6.1.19, 2.6.1.52, 2.6.1.81</t>
  </si>
  <si>
    <t>THRS</t>
  </si>
  <si>
    <t>Threonine synthase</t>
  </si>
  <si>
    <t xml:space="preserve">h2o_c + phom_c  -&gt; thr__L_c + pi_c </t>
  </si>
  <si>
    <t>4.2.3.1</t>
  </si>
  <si>
    <t>HSST</t>
  </si>
  <si>
    <t>Homoserine O-succinyltransferase</t>
  </si>
  <si>
    <t xml:space="preserve">hom__L_c + succoa_c  -&gt; suchms_c + coa_c </t>
  </si>
  <si>
    <t>2.3.1.46</t>
  </si>
  <si>
    <t>PPNDH</t>
  </si>
  <si>
    <t>Prephenate dehydratase</t>
  </si>
  <si>
    <t xml:space="preserve">h_c + pphn_c  -&gt; phpyr_c + h2o_c + co2_c </t>
  </si>
  <si>
    <t>4.2.1.51, 5.4.99.5</t>
  </si>
  <si>
    <t>DDPA</t>
  </si>
  <si>
    <t>3-deoxy-D-arabino-heptulosonate 7-phosphate synthetase</t>
  </si>
  <si>
    <t xml:space="preserve">pep_c + e4p_c + h2o_c  -&gt; pi_c + 2dda7p_c </t>
  </si>
  <si>
    <t>2.5.1.54</t>
  </si>
  <si>
    <t>NMNDA</t>
  </si>
  <si>
    <t>Nicotinamide-nucleotide amidase</t>
  </si>
  <si>
    <t xml:space="preserve">h2o_c + nmn_c  -&gt; nh4_c + nicrnt_c </t>
  </si>
  <si>
    <t>3.5.1.42</t>
  </si>
  <si>
    <t>NNAM</t>
  </si>
  <si>
    <t>Nicotinamidase</t>
  </si>
  <si>
    <t xml:space="preserve">ncam_c + h2o_c  -&gt; nh4_c + nac_c </t>
  </si>
  <si>
    <t>3.5.1.19</t>
  </si>
  <si>
    <t>P5CD</t>
  </si>
  <si>
    <t>1-pyrroline-5-carboxylate dehydrogenase</t>
  </si>
  <si>
    <t xml:space="preserve">nad_c + 1pyr5c_c + 2 h2o_c  -&gt; h_c + glu__L_c + nadh_c </t>
  </si>
  <si>
    <t>1.2.1.88</t>
  </si>
  <si>
    <t>SPMDAT1</t>
  </si>
  <si>
    <t>Spermidine acetyltransferase</t>
  </si>
  <si>
    <t xml:space="preserve">accoa_c + spmd_c  -&gt; h_c + N1aspmd_c + coa_c </t>
  </si>
  <si>
    <t>2.3.1.57</t>
  </si>
  <si>
    <t>SPMDAT2</t>
  </si>
  <si>
    <t>Spermidine acetyltransferase (N8)</t>
  </si>
  <si>
    <t xml:space="preserve">accoa_c + spmd_c  -&gt; h_c + n8aspmd_c + coa_c </t>
  </si>
  <si>
    <t>TDPADGAT</t>
  </si>
  <si>
    <t>DTDP-4-amino-4,6-dideoxy-D-glucose acetyltransferase</t>
  </si>
  <si>
    <t xml:space="preserve">accoa_c + dtdp4addg_c  -&gt; h_c + dtdp4aaddg_c + coa_c </t>
  </si>
  <si>
    <t>2.3.1.210</t>
  </si>
  <si>
    <t>MALS</t>
  </si>
  <si>
    <t>Malate synthase</t>
  </si>
  <si>
    <t xml:space="preserve">accoa_c + glx_c + h2o_c  -&gt; h_c + mal__L_c + coa_c </t>
  </si>
  <si>
    <t>2.3.3.9</t>
  </si>
  <si>
    <t>TRE6PP</t>
  </si>
  <si>
    <t>Trehalose-phosphatase</t>
  </si>
  <si>
    <t xml:space="preserve">h2o_c + tre6p_c  -&gt; pi_c + tre_c </t>
  </si>
  <si>
    <t>3.1.3.12</t>
  </si>
  <si>
    <t>ADPRDP</t>
  </si>
  <si>
    <t>ADPribose diphosphatase</t>
  </si>
  <si>
    <t xml:space="preserve">adprib_c + h2o_c  -&gt; 2 h_c + r5p_c + amp_c </t>
  </si>
  <si>
    <t>3.6.1.13</t>
  </si>
  <si>
    <t>ARAI_f</t>
  </si>
  <si>
    <t>L-arabinose isomerase</t>
  </si>
  <si>
    <t xml:space="preserve">arab__L_c  -&gt; rbl__L_c </t>
  </si>
  <si>
    <t>5.3.1.4</t>
  </si>
  <si>
    <t>M1PD_f</t>
  </si>
  <si>
    <t>Mannitol-1-phosphate 5-dehydrogenase</t>
  </si>
  <si>
    <t xml:space="preserve">nad_c + mnl1p_c  -&gt; h_c + f6p_c + nadh_c </t>
  </si>
  <si>
    <t>1.1.1.17</t>
  </si>
  <si>
    <t>G3PD2_f</t>
  </si>
  <si>
    <t>Glycerol-3-phosphate dehydrogenase (NADP)</t>
  </si>
  <si>
    <t xml:space="preserve">glyc3p_c + nadp_c  -&gt; h_c + dhap_c + nadph_c </t>
  </si>
  <si>
    <t>1.1.1.94</t>
  </si>
  <si>
    <t>GALS3</t>
  </si>
  <si>
    <t>A-galactosidase (melibiose)</t>
  </si>
  <si>
    <t xml:space="preserve">h2o_c + melib_c  -&gt; glc__D_c + gal_c </t>
  </si>
  <si>
    <t>3.2.1.22</t>
  </si>
  <si>
    <t>FCI_f</t>
  </si>
  <si>
    <t>L-fucose isomerase</t>
  </si>
  <si>
    <t xml:space="preserve">fuc__L_c  -&gt; fcl__L_c </t>
  </si>
  <si>
    <t>5.3.1.3</t>
  </si>
  <si>
    <t>FCLK</t>
  </si>
  <si>
    <t>L-fuculokinase</t>
  </si>
  <si>
    <t xml:space="preserve">atp_c + fcl__L_c  -&gt; h_c + adp_c + fc1p_c </t>
  </si>
  <si>
    <t>2.7.1.51</t>
  </si>
  <si>
    <t>FCLPA_f</t>
  </si>
  <si>
    <t>L-fuculose 1-phosphate aldolase</t>
  </si>
  <si>
    <t xml:space="preserve">fc1p_c  -&gt; dhap_c + lald__L_c </t>
  </si>
  <si>
    <t>4.1.2.17</t>
  </si>
  <si>
    <t>ACCOAL</t>
  </si>
  <si>
    <t>Acetate-CoA ligase (ADP-forming)</t>
  </si>
  <si>
    <t xml:space="preserve">atp_c + ppa_c + coa_c  -&gt; adp_c + pi_c + ppcoa_c </t>
  </si>
  <si>
    <t>6.2.1.1, 6.2.1.17</t>
  </si>
  <si>
    <t>GALUi</t>
  </si>
  <si>
    <t>UTP-glucose-1-phosphate uridylyltransferase (irreversible)</t>
  </si>
  <si>
    <t xml:space="preserve">h_c + utp_c + g1p_c  -&gt; ppi_c + udpg_c </t>
  </si>
  <si>
    <t>2.7.7.9</t>
  </si>
  <si>
    <t>U23GAAT</t>
  </si>
  <si>
    <t>UDP-3-O-(3-hydroxymyristoyl)glucosamine acyltransferase</t>
  </si>
  <si>
    <t xml:space="preserve">u3hga_c + 3hmrsACP_c  -&gt; h_c + u23ga_c + ACP_c </t>
  </si>
  <si>
    <t>2.3.1.191</t>
  </si>
  <si>
    <t>UAAGDS</t>
  </si>
  <si>
    <t>UDP-N-acetylmuramoyl-L-alanyl-D-glutamyl-meso-2,6-diaminopimelate synthetase</t>
  </si>
  <si>
    <t xml:space="preserve">atp_c + 26dap__M_c + uamag_c  -&gt; h_c + adp_c + pi_c + ugmd_c </t>
  </si>
  <si>
    <t>6.3.2.13</t>
  </si>
  <si>
    <t>UAMAS</t>
  </si>
  <si>
    <t>UDP-N-acetylmuramoyl-L-alanine synthetase</t>
  </si>
  <si>
    <t xml:space="preserve">uamr_c + atp_c + ala__L_c  -&gt; h_c + adp_c + pi_c + uama_c </t>
  </si>
  <si>
    <t>6.3.2.8</t>
  </si>
  <si>
    <t>UAMAGS</t>
  </si>
  <si>
    <t>UDP-N-acetylmuramoyl-L-alanyl-D-glutamate synthetase</t>
  </si>
  <si>
    <t xml:space="preserve">atp_c + glu__D_c + uama_c  -&gt; h_c + adp_c + pi_c + uamag_c </t>
  </si>
  <si>
    <t>6.3.2.9</t>
  </si>
  <si>
    <t>UGLYCH</t>
  </si>
  <si>
    <t>Ureidoglycolate hydrolase</t>
  </si>
  <si>
    <t xml:space="preserve">2 h_c + h2o_c + urdglyc_c  -&gt; glx_c + 2 nh4_c + co2_c </t>
  </si>
  <si>
    <t>4.3.2.3</t>
  </si>
  <si>
    <t>OP4ENH</t>
  </si>
  <si>
    <t>2-oxopent-4-enoate hydratase</t>
  </si>
  <si>
    <t xml:space="preserve">h2o_c + op4en_c  -&gt; 4h2opntn_c </t>
  </si>
  <si>
    <t>4.2.1.80</t>
  </si>
  <si>
    <t>HOPNTAL</t>
  </si>
  <si>
    <t>4-hydroxy-2-oxopentanoate aldolase</t>
  </si>
  <si>
    <t xml:space="preserve">4h2opntn_c  -&gt; pyr_c + acald_c </t>
  </si>
  <si>
    <t>4.1.3.39</t>
  </si>
  <si>
    <t>3HPPPNH</t>
  </si>
  <si>
    <t>3-(3-hydroxy-phenyl)propionate hydroxylase</t>
  </si>
  <si>
    <t xml:space="preserve">h_c + o2_c + 3hpppn_c + nadh_c  -&gt; dhpppn_c + nad_c + h2o_c </t>
  </si>
  <si>
    <t>1.14.13.127</t>
  </si>
  <si>
    <t>AKGDH</t>
  </si>
  <si>
    <t>2-Oxogluterate dehydrogenase</t>
  </si>
  <si>
    <t xml:space="preserve">akg_c + nad_c + coa_c  -&gt; nadh_c + co2_c + succoa_c </t>
  </si>
  <si>
    <t>HPYRRx</t>
  </si>
  <si>
    <t>Hydroxypyruvate reductase (NADH)</t>
  </si>
  <si>
    <t xml:space="preserve">h_c + hpyr_c + nadh_c  -&gt; nad_c + glyc__R_c </t>
  </si>
  <si>
    <t>GLYCDx</t>
  </si>
  <si>
    <t>Glycerol dehydrogenase</t>
  </si>
  <si>
    <t xml:space="preserve">nad_c + glyc_c  -&gt; h_c + dha_c + nadh_c </t>
  </si>
  <si>
    <t>1.1.1.6</t>
  </si>
  <si>
    <t>ASP1DC</t>
  </si>
  <si>
    <t>Aspartate 1-decarboxylase</t>
  </si>
  <si>
    <t xml:space="preserve">h_c + asp__L_c  -&gt; ala_B_c + co2_c </t>
  </si>
  <si>
    <t>4.1.1.11</t>
  </si>
  <si>
    <t>UGMDDS</t>
  </si>
  <si>
    <t>UDP-N-acetylmuramoyl-L-alanyl-D-glutamyl-meso-2,6-diaminopimeloyl-D-alanyl-D-alanine synthetase</t>
  </si>
  <si>
    <t xml:space="preserve">atp_c + ugmd_c + alaala_c  -&gt; h_c + adp_c + pi_c + ugmda_c </t>
  </si>
  <si>
    <t>6.3.2.10</t>
  </si>
  <si>
    <t>UHGADA</t>
  </si>
  <si>
    <t>UDP-3-O-acetylglucosamine deacetylase</t>
  </si>
  <si>
    <t xml:space="preserve">u3aga_c + h2o_c  -&gt; ac_c + u3hga_c </t>
  </si>
  <si>
    <t>3.5.1.108</t>
  </si>
  <si>
    <t>UAGAAT_f</t>
  </si>
  <si>
    <t>UDP-N-acetylglucosamine acyltransferase</t>
  </si>
  <si>
    <t xml:space="preserve">uacgam_c + 3hmrsACP_c  -&gt; u3aga_c + ACP_c </t>
  </si>
  <si>
    <t>2.3.1.129</t>
  </si>
  <si>
    <t>ATPPRT</t>
  </si>
  <si>
    <t>ATP phosphoribosyltransferase</t>
  </si>
  <si>
    <t xml:space="preserve">atp_c + prpp_c  -&gt; prbatp_c + ppi_c </t>
  </si>
  <si>
    <t>2.4.2.17</t>
  </si>
  <si>
    <t>HISTD</t>
  </si>
  <si>
    <t>Histidinol dehydrogenase</t>
  </si>
  <si>
    <t xml:space="preserve">2 nad_c + h2o_c + histd_c  -&gt; 3 h_c + his__L_c + 2 nadh_c </t>
  </si>
  <si>
    <t>1.1.1.23</t>
  </si>
  <si>
    <t>IGPDH</t>
  </si>
  <si>
    <t>Imidazoleglycerol-phosphate dehydratase</t>
  </si>
  <si>
    <t xml:space="preserve">eig3p_c  -&gt; h2o_c + imacp_c </t>
  </si>
  <si>
    <t>4.2.1.19</t>
  </si>
  <si>
    <t>PRPPS_f</t>
  </si>
  <si>
    <t>Phosphoribosylpyrophosphate synthetase</t>
  </si>
  <si>
    <t xml:space="preserve">r5p_c + atp_c  -&gt; h_c + prpp_c + amp_c </t>
  </si>
  <si>
    <t>2.7.6.1</t>
  </si>
  <si>
    <t>PRATPP</t>
  </si>
  <si>
    <t>Phosphoribosyl-ATP pyrophosphatase</t>
  </si>
  <si>
    <t xml:space="preserve">prbatp_c + h2o_c  -&gt; prbamp_c + h_c + ppi_c </t>
  </si>
  <si>
    <t>3.6.1.31</t>
  </si>
  <si>
    <t>PRMICI_f</t>
  </si>
  <si>
    <t>1-(5-phosphoribosyl)-5-[(5-phosphoribosylamino)methylideneamino)imidazole-4-carboxamide isomerase</t>
  </si>
  <si>
    <t xml:space="preserve">prfp_c  -&gt; prlp_c </t>
  </si>
  <si>
    <t>5.3.1.16</t>
  </si>
  <si>
    <t>SERAT_f</t>
  </si>
  <si>
    <t>Serine O-acetyltransferase</t>
  </si>
  <si>
    <t xml:space="preserve">ser__L_c + accoa_c  -&gt; acser_c + coa_c </t>
  </si>
  <si>
    <t>2.3.1.30</t>
  </si>
  <si>
    <t>CYSS</t>
  </si>
  <si>
    <t>Cysteine synthase</t>
  </si>
  <si>
    <t xml:space="preserve">h2s_c + acser_c  -&gt; h_c + ac_c + cys__L_c </t>
  </si>
  <si>
    <t>2.5.1.47</t>
  </si>
  <si>
    <t>BPNT</t>
  </si>
  <si>
    <t>3',5'-bisphosphate nucleotidase</t>
  </si>
  <si>
    <t xml:space="preserve">pap_c + h2o_c  -&gt; pi_c + amp_c </t>
  </si>
  <si>
    <t>3.1.3.7</t>
  </si>
  <si>
    <t>PAPSR</t>
  </si>
  <si>
    <t>Phosphoadenylyl-sulfate reductase (thioredoxin)</t>
  </si>
  <si>
    <t xml:space="preserve">paps_c + trdrd_c  -&gt; 2 h_c + so3_c + trdox_c + pap_c </t>
  </si>
  <si>
    <t>1.8.4.8</t>
  </si>
  <si>
    <t>ASPK_f</t>
  </si>
  <si>
    <t>Aspartate kinase</t>
  </si>
  <si>
    <t xml:space="preserve">asp__L_c + atp_c  -&gt; adp_c + 4pasp_c </t>
  </si>
  <si>
    <t>2.7.2.4</t>
  </si>
  <si>
    <t>ASAD_f</t>
  </si>
  <si>
    <t>Aspartate-semialdehyde dehydrogenase</t>
  </si>
  <si>
    <t xml:space="preserve">aspsa_c + pi_c + nadp_c  -&gt; h_c + nadph_c + 4pasp_c </t>
  </si>
  <si>
    <t>1.2.1.11</t>
  </si>
  <si>
    <t>DAPDC</t>
  </si>
  <si>
    <t>Diaminopimelate decarboxylase</t>
  </si>
  <si>
    <t xml:space="preserve">h_c + 26dap__M_c  -&gt; lys__L_c + co2_c </t>
  </si>
  <si>
    <t>4.1.1.20</t>
  </si>
  <si>
    <t>METAT</t>
  </si>
  <si>
    <t>Methionine adenosyltransferase</t>
  </si>
  <si>
    <t xml:space="preserve">met__L_c + atp_c + h2o_c  -&gt; amet_c + pi_c + ppi_c </t>
  </si>
  <si>
    <t>2.5.1.6</t>
  </si>
  <si>
    <t>ASCBPL</t>
  </si>
  <si>
    <t>L-ascorbate 6-phosphate lactonase</t>
  </si>
  <si>
    <t xml:space="preserve">ascb6p_c + h2o_c  -&gt; h_c + 3dhgulnp_c </t>
  </si>
  <si>
    <t>3.1.1.-</t>
  </si>
  <si>
    <t>ACBIPGT</t>
  </si>
  <si>
    <t>Adenosyl cobinamide phosphate guanyltransferase</t>
  </si>
  <si>
    <t xml:space="preserve">h_c + gtp_c + adocbip_c  -&gt; agdpcbi_c + ppi_c </t>
  </si>
  <si>
    <t>2.7.7.62</t>
  </si>
  <si>
    <t>ADOCBLS</t>
  </si>
  <si>
    <t>Adenosylcobalamin 5'-phosphate synthase</t>
  </si>
  <si>
    <t xml:space="preserve">agdpcbi_c + rdmbzi_c  -&gt; h_c + adocbl_c + gmp_c </t>
  </si>
  <si>
    <t>2.7.8.26</t>
  </si>
  <si>
    <t>ADOCBIK</t>
  </si>
  <si>
    <t>Adenosyl cobinamide kinase</t>
  </si>
  <si>
    <t xml:space="preserve">atp_c + adocbi_c  -&gt; h_c + adp_c + adocbip_c </t>
  </si>
  <si>
    <t>2.7.1.156</t>
  </si>
  <si>
    <t>TMPK</t>
  </si>
  <si>
    <t>Thiamine-phosphate kinase</t>
  </si>
  <si>
    <t xml:space="preserve">atp_c + thmmp_c  -&gt; thmpp_c + adp_c </t>
  </si>
  <si>
    <t>2.7.4.16</t>
  </si>
  <si>
    <t>HPPPNDO</t>
  </si>
  <si>
    <t>2,3-dihydroxypheylpropionate 1,2-dioxygenase</t>
  </si>
  <si>
    <t xml:space="preserve">dhpppn_c + o2_c  -&gt; h_c + hkndd_c </t>
  </si>
  <si>
    <t>1.13.11.16</t>
  </si>
  <si>
    <t>DHCINDO</t>
  </si>
  <si>
    <t>2,3-dihydroxycinnamate 1,2-dioxygenase</t>
  </si>
  <si>
    <t xml:space="preserve">o2_c + dhcinnm_c  -&gt; h_c + hkntd_c </t>
  </si>
  <si>
    <t>HKNDDH</t>
  </si>
  <si>
    <t>2-hydroxy-6-ketonona-2,4-dienedioic acid hydrolase</t>
  </si>
  <si>
    <t xml:space="preserve">h2o_c + hkndd_c  -&gt; h_c + succ_c + op4en_c </t>
  </si>
  <si>
    <t>3.7.1.14</t>
  </si>
  <si>
    <t>HKNTDH</t>
  </si>
  <si>
    <t>2-hydroxy-6-ketononotrienedioate hydrolase</t>
  </si>
  <si>
    <t xml:space="preserve">hkntd_c + h2o_c  -&gt; h_c + fum_c + op4en_c </t>
  </si>
  <si>
    <t>GLYCK2</t>
  </si>
  <si>
    <t>Glycerate kinase</t>
  </si>
  <si>
    <t xml:space="preserve">atp_c + glyc__R_c  -&gt; 2pg_c + h_c + adp_c </t>
  </si>
  <si>
    <t>2.7.1.165</t>
  </si>
  <si>
    <t>ENTCS</t>
  </si>
  <si>
    <t>Enterochelin synthase</t>
  </si>
  <si>
    <t xml:space="preserve">3 23dhba_c + 3 seramp_c  -&gt; 9 h_c + 6 amp_c + enter_c </t>
  </si>
  <si>
    <t>2.7.8.-</t>
  </si>
  <si>
    <t>SULR</t>
  </si>
  <si>
    <t>Sulfite reductase (NADPH2)</t>
  </si>
  <si>
    <t xml:space="preserve">5 h_c + so3_c + 3 nadph_c  -&gt; h2s_c + 3 nadp_c + 3 h2o_c </t>
  </si>
  <si>
    <t>MANPGH</t>
  </si>
  <si>
    <t>2-O-alpha-mannosyl-6-phosphate-D-glycerate hydrolase</t>
  </si>
  <si>
    <t xml:space="preserve">man6pglyc_c + h2o_c  -&gt; man6p_c + glyc__R_c </t>
  </si>
  <si>
    <t>3.2.1.170</t>
  </si>
  <si>
    <t>URDGLYCD</t>
  </si>
  <si>
    <t>Ureidoglycolate dehydrogenase</t>
  </si>
  <si>
    <t xml:space="preserve">nad_c + urdglyc_c  -&gt; h_c + oxur_c + nadh_c </t>
  </si>
  <si>
    <t>1.1.1.350</t>
  </si>
  <si>
    <t>CBMKr_f</t>
  </si>
  <si>
    <t>Carbamate kinase</t>
  </si>
  <si>
    <t xml:space="preserve">nh4_c + atp_c + co2_c  -&gt; 2 h_c + adp_c + cbp_c </t>
  </si>
  <si>
    <t>2.7.2.2</t>
  </si>
  <si>
    <t>AMANAPEr_f</t>
  </si>
  <si>
    <t>N-acetylmannosamine 6-phosphate epimerase</t>
  </si>
  <si>
    <t xml:space="preserve">acmanap_c  -&gt; acgam6p_c </t>
  </si>
  <si>
    <t>5.1.3.9</t>
  </si>
  <si>
    <t>ACM6PH</t>
  </si>
  <si>
    <t>N-acetylmuramate 6-phosphate hydrolase</t>
  </si>
  <si>
    <t xml:space="preserve">acmum6p_c + h2o_c  -&gt; acgam6p_c + lac__D_c </t>
  </si>
  <si>
    <t>4.2.1.126</t>
  </si>
  <si>
    <t>NNATr_f</t>
  </si>
  <si>
    <t>Nicotinate-nucleotide adenylyltransferase</t>
  </si>
  <si>
    <t xml:space="preserve">h_c + atp_c + nicrnt_c  -&gt; ppi_c + dnad_c </t>
  </si>
  <si>
    <t>2.7.7.18</t>
  </si>
  <si>
    <t>CYTDH</t>
  </si>
  <si>
    <t>Cytidine hydrolase</t>
  </si>
  <si>
    <t xml:space="preserve">cytd_c + h2o_c  -&gt; rib__D_c + csn_c </t>
  </si>
  <si>
    <t>3.2.2.8</t>
  </si>
  <si>
    <t>PSERT</t>
  </si>
  <si>
    <t>Phosphoserine transaminase</t>
  </si>
  <si>
    <t xml:space="preserve">glu__L_c + 3php_c  -&gt; akg_c + pser__L_c </t>
  </si>
  <si>
    <t>AIRC2</t>
  </si>
  <si>
    <t>Phosphoribosylaminoimidazole carboxylase</t>
  </si>
  <si>
    <t xml:space="preserve">air_c + atp_c + hco3_c  -&gt; h_c + adp_c + pi_c + 5caiz_c </t>
  </si>
  <si>
    <t>6.3.4.18</t>
  </si>
  <si>
    <t>GAPD_f</t>
  </si>
  <si>
    <t>Glyceraldehyde-3-phosphate dehydrogenase</t>
  </si>
  <si>
    <t xml:space="preserve">nad_c + g3p_c + pi_c  -&gt; 13dpg_c + h_c + nadh_c </t>
  </si>
  <si>
    <t>1.2.1.12</t>
  </si>
  <si>
    <t>HEX1</t>
  </si>
  <si>
    <t>Hexokinase (D-glucose:ATP)</t>
  </si>
  <si>
    <t xml:space="preserve">atp_c + glc__D_c  -&gt; h_c + adp_c + g6p_c </t>
  </si>
  <si>
    <t>2.7.1.2</t>
  </si>
  <si>
    <t>GND</t>
  </si>
  <si>
    <t>Phosphogluconate dehydrogenase</t>
  </si>
  <si>
    <t xml:space="preserve">6pgc_c + nadp_c  -&gt; ru5p__D_c + nadph_c + co2_c </t>
  </si>
  <si>
    <t>1.1.1.44</t>
  </si>
  <si>
    <t>TAUDO</t>
  </si>
  <si>
    <t>Taurine dioxygenase</t>
  </si>
  <si>
    <t xml:space="preserve">akg_c + o2_c + taur_c  -&gt; h_c + so3_c + aacald_c + succ_c + co2_c </t>
  </si>
  <si>
    <t>1.14.11.17</t>
  </si>
  <si>
    <t>ME2</t>
  </si>
  <si>
    <t>Malic enzyme (NADP)</t>
  </si>
  <si>
    <t xml:space="preserve">mal__L_c + nadp_c  -&gt; nadph_c + pyr_c + co2_c </t>
  </si>
  <si>
    <t>1.1.1.40</t>
  </si>
  <si>
    <t>ARGSL_f</t>
  </si>
  <si>
    <t>Argininosuccinate lyase</t>
  </si>
  <si>
    <t xml:space="preserve">argsuc_c  -&gt; arg__L_c + fum_c </t>
  </si>
  <si>
    <t>4.3.2.1</t>
  </si>
  <si>
    <t>CBPS</t>
  </si>
  <si>
    <t>Carbamoyl-phosphate synthase (glutamine-hydrolysing)</t>
  </si>
  <si>
    <t xml:space="preserve">2 atp_c + gln__L_c + hco3_c + h2o_c  -&gt; 2 h_c + 2 adp_c + pi_c + cbp_c + glu__L_c </t>
  </si>
  <si>
    <t>6.3.5.5</t>
  </si>
  <si>
    <t>GLU5K</t>
  </si>
  <si>
    <t>Glutamate 5-kinase</t>
  </si>
  <si>
    <t xml:space="preserve">atp_c + glu__L_c  -&gt; adp_c + glu5p_c </t>
  </si>
  <si>
    <t>2.7.2.11</t>
  </si>
  <si>
    <t>IPPS</t>
  </si>
  <si>
    <t>2-isopropylmalate synthase</t>
  </si>
  <si>
    <t xml:space="preserve">accoa_c + 3mob_c + h2o_c  -&gt; h_c + 3c3hmp_c + coa_c </t>
  </si>
  <si>
    <t>2.3.3.13</t>
  </si>
  <si>
    <t>ACOATA_f</t>
  </si>
  <si>
    <t>Acetyl-CoA ACP transacylase</t>
  </si>
  <si>
    <t xml:space="preserve">accoa_c + ACP_c  -&gt; acACP_c + coa_c </t>
  </si>
  <si>
    <t>2.3.1.180</t>
  </si>
  <si>
    <t>MLTG2</t>
  </si>
  <si>
    <t>Maltodextrin glucosidase (maltotetraose)</t>
  </si>
  <si>
    <t xml:space="preserve">maltttr_c + h2o_c  -&gt; glc__D_c + malttr_c </t>
  </si>
  <si>
    <t>MLTG1</t>
  </si>
  <si>
    <t>Maltodextrin glucosidase (maltotriose)</t>
  </si>
  <si>
    <t xml:space="preserve">h2o_c + malttr_c  -&gt; malt_c + glc__D_c </t>
  </si>
  <si>
    <t>AMALT3</t>
  </si>
  <si>
    <t>Amylomaltase (maltopentaose)</t>
  </si>
  <si>
    <t xml:space="preserve">malt_c + maltpt_c  -&gt; glc__D_c + malthx_c </t>
  </si>
  <si>
    <t>MLTP3_f</t>
  </si>
  <si>
    <t>Maltodextrin phosphorylase (maltoheptaose)</t>
  </si>
  <si>
    <t xml:space="preserve">pi_c + malthp_c  -&gt; g1p_c + malthx_c </t>
  </si>
  <si>
    <t>SPODM</t>
  </si>
  <si>
    <t>Superoxide dismutase</t>
  </si>
  <si>
    <t xml:space="preserve">2 h_c + 2 o2s_c  -&gt; o2_c + h2o2_c </t>
  </si>
  <si>
    <t>1.15.1.1</t>
  </si>
  <si>
    <t>AHCYSNS</t>
  </si>
  <si>
    <t>S-adenosylhomocysteine nucleosidase</t>
  </si>
  <si>
    <t xml:space="preserve">ahcys_c + h2o_c  -&gt; rhcys_c + ade_c </t>
  </si>
  <si>
    <t>3.2.2.9</t>
  </si>
  <si>
    <t>TMK</t>
  </si>
  <si>
    <t>Thiamine kinase</t>
  </si>
  <si>
    <t xml:space="preserve">atp_c + thm_c  -&gt; h_c + adp_c + thmmp_c </t>
  </si>
  <si>
    <t>2.7.1.89</t>
  </si>
  <si>
    <t>NTPP4</t>
  </si>
  <si>
    <t>Nucleoside triphosphate pyrophosphorylase (ctp)</t>
  </si>
  <si>
    <t xml:space="preserve">ctp_c + h2o_c  -&gt; h_c + ppi_c + cmp_c </t>
  </si>
  <si>
    <t>3.6.1.65</t>
  </si>
  <si>
    <t>NTPP3</t>
  </si>
  <si>
    <t>Nucleoside triphosphate pyrophosphorylase (dctp)</t>
  </si>
  <si>
    <t xml:space="preserve">dctp_c + h2o_c  -&gt; h_c + ppi_c + dcmp_c </t>
  </si>
  <si>
    <t>NTPP6</t>
  </si>
  <si>
    <t>Nucleoside triphosphate pyrophosphorylase (atp)</t>
  </si>
  <si>
    <t xml:space="preserve">atp_c + h2o_c  -&gt; h_c + ppi_c + amp_c </t>
  </si>
  <si>
    <t>3.6.1.8</t>
  </si>
  <si>
    <t>NTPP7</t>
  </si>
  <si>
    <t>Nucleoside triphosphate pyrophosphorylase (dttp)</t>
  </si>
  <si>
    <t xml:space="preserve">dttp_c + h2o_c  -&gt; h_c + dtmp_c + ppi_c </t>
  </si>
  <si>
    <t>3.6.1.-, 3.6.1.8</t>
  </si>
  <si>
    <t>NTPP8</t>
  </si>
  <si>
    <t>Nucleoside triphosphate pyrophosphorylase (utp)</t>
  </si>
  <si>
    <t xml:space="preserve">utp_c + h2o_c  -&gt; h_c + ump_c + ppi_c </t>
  </si>
  <si>
    <t>P5CR</t>
  </si>
  <si>
    <t>Pyrroline-5-carboxylate reductase</t>
  </si>
  <si>
    <t xml:space="preserve">2 h_c + 1pyr5c_c + nadph_c  -&gt; nadp_c + pro__L_c </t>
  </si>
  <si>
    <t>1.5.1.2</t>
  </si>
  <si>
    <t>CYANST</t>
  </si>
  <si>
    <t>Cyanide sulfurtransferase</t>
  </si>
  <si>
    <t xml:space="preserve">cyan_c + tsul_c  -&gt; h_c + tcynt_c + so3_c </t>
  </si>
  <si>
    <t>2.8.1.1</t>
  </si>
  <si>
    <t>DHPPDA2</t>
  </si>
  <si>
    <t>Diaminohydroxyphosphoribosylaminopryrimidine deaminase (25drapp)</t>
  </si>
  <si>
    <t xml:space="preserve">h_c + h2o_c + 25drapp_c  -&gt; 5apru_c + nh4_c </t>
  </si>
  <si>
    <t>3.5.4.26</t>
  </si>
  <si>
    <t>GMAND</t>
  </si>
  <si>
    <t>GDP-D-mannose dehydratase</t>
  </si>
  <si>
    <t xml:space="preserve">gdpmann_c  -&gt; h2o_c + gdpddman_c </t>
  </si>
  <si>
    <t>4.2.1.47</t>
  </si>
  <si>
    <t>PPCSCT</t>
  </si>
  <si>
    <t>Propanoyl-CoA: succinate CoA-transferase</t>
  </si>
  <si>
    <t xml:space="preserve">ppcoa_c + succ_c  -&gt; ppa_c + succoa_c </t>
  </si>
  <si>
    <t>2.8.3.-</t>
  </si>
  <si>
    <t>CYTD</t>
  </si>
  <si>
    <t>Cytidine deaminase</t>
  </si>
  <si>
    <t xml:space="preserve">h_c + cytd_c + h2o_c  -&gt; nh4_c + uri_c </t>
  </si>
  <si>
    <t>3.5.4.5</t>
  </si>
  <si>
    <t>DCYTD</t>
  </si>
  <si>
    <t>Deoxycytidine deaminase</t>
  </si>
  <si>
    <t xml:space="preserve">h_c + dcyt_c + h2o_c  -&gt; duri_c + nh4_c </t>
  </si>
  <si>
    <t>DBTS</t>
  </si>
  <si>
    <t>Dethiobiotin synthase</t>
  </si>
  <si>
    <t xml:space="preserve">atp_c + dann_c + co2_c  -&gt; 3 h_c + adp_c + pi_c + dtbt_c </t>
  </si>
  <si>
    <t>6.3.3.3</t>
  </si>
  <si>
    <t>DCTPD</t>
  </si>
  <si>
    <t>DCTP deaminase</t>
  </si>
  <si>
    <t xml:space="preserve">h_c + dctp_c + h2o_c  -&gt; dutp_c + nh4_c </t>
  </si>
  <si>
    <t>3.5.4.13</t>
  </si>
  <si>
    <t>DHDPS</t>
  </si>
  <si>
    <t>Dihydrodipicolinate synthase</t>
  </si>
  <si>
    <t xml:space="preserve">aspsa_c + pyr_c  -&gt; h_c + 2 h2o_c + 23dhdp_c </t>
  </si>
  <si>
    <t>4.3.3.7</t>
  </si>
  <si>
    <t>G1PACT</t>
  </si>
  <si>
    <t>Glucosamine-1-phosphate N-acetyltransferase</t>
  </si>
  <si>
    <t xml:space="preserve">gam1p_c + accoa_c  -&gt; h_c + acgam1p_c + coa_c </t>
  </si>
  <si>
    <t>2.3.1.157</t>
  </si>
  <si>
    <t>GART</t>
  </si>
  <si>
    <t>GAR transformylase-T</t>
  </si>
  <si>
    <t xml:space="preserve">atp_c + for_c + gar_c  -&gt; h_c + adp_c + pi_c + fgam_c </t>
  </si>
  <si>
    <t>2.1.2.-</t>
  </si>
  <si>
    <t>CSND</t>
  </si>
  <si>
    <t>Cytosine deaminase</t>
  </si>
  <si>
    <t xml:space="preserve">h_c + h2o_c + csn_c  -&gt; nh4_c + ura_c </t>
  </si>
  <si>
    <t>3.5.4.1</t>
  </si>
  <si>
    <t>GF6PTA</t>
  </si>
  <si>
    <t>Glutamine-fructose-6-phosphate transaminase</t>
  </si>
  <si>
    <t xml:space="preserve">gln__L_c + f6p_c  -&gt; glu__L_c + gam6p_c </t>
  </si>
  <si>
    <t>2.6.1.16</t>
  </si>
  <si>
    <t>GLUCYS</t>
  </si>
  <si>
    <t>Gamma-glutamylcysteine synthetase</t>
  </si>
  <si>
    <t xml:space="preserve">cys__L_c + atp_c + glu__L_c  -&gt; h_c + adp_c + pi_c + glucys_c </t>
  </si>
  <si>
    <t>6.3.2.2</t>
  </si>
  <si>
    <t>GLUN</t>
  </si>
  <si>
    <t>Glutaminase</t>
  </si>
  <si>
    <t xml:space="preserve">gln__L_c + h2o_c  -&gt; nh4_c + glu__L_c </t>
  </si>
  <si>
    <t>3.5.1.2</t>
  </si>
  <si>
    <t>GLUPRT</t>
  </si>
  <si>
    <t>Glutamine phosphoribosyldiphosphate amidotransferase</t>
  </si>
  <si>
    <t xml:space="preserve">gln__L_c + h2o_c + prpp_c  -&gt; ppi_c + glu__L_c + pram_c </t>
  </si>
  <si>
    <t>2.4.2.14</t>
  </si>
  <si>
    <t>GMPR</t>
  </si>
  <si>
    <t>GMP reductase</t>
  </si>
  <si>
    <t xml:space="preserve">2 h_c + gmp_c + nadph_c  -&gt; imp_c + nh4_c + nadp_c </t>
  </si>
  <si>
    <t>1.7.1.7</t>
  </si>
  <si>
    <t>NADS1</t>
  </si>
  <si>
    <t>NAD synthase (nh3)</t>
  </si>
  <si>
    <t xml:space="preserve">nh4_c + atp_c + dnad_c  -&gt; h_c + nad_c + ppi_c + amp_c </t>
  </si>
  <si>
    <t>6.3.1.5</t>
  </si>
  <si>
    <t>NTRIR2x</t>
  </si>
  <si>
    <t>Nitrite Reductase (NADH)</t>
  </si>
  <si>
    <t xml:space="preserve">5 h_c + no2_c + 3 nadh_c  -&gt; 3 nad_c + nh4_c + 2 h2o_c </t>
  </si>
  <si>
    <t>1.7.1.15</t>
  </si>
  <si>
    <t>OCBT_f</t>
  </si>
  <si>
    <t>Ornithine carbamoyltransferase</t>
  </si>
  <si>
    <t xml:space="preserve">cbp_c + orn_c  -&gt; h_c + citr__L_c + pi_c </t>
  </si>
  <si>
    <t>2.1.3.3</t>
  </si>
  <si>
    <t>GARFT_f</t>
  </si>
  <si>
    <t>Phosphoribosylglycinamide formyltransferase</t>
  </si>
  <si>
    <t xml:space="preserve">10fthf_c + gar_c  -&gt; h_c + thf_c + fgam_c </t>
  </si>
  <si>
    <t>2.1.2.2</t>
  </si>
  <si>
    <t>GPDDA1</t>
  </si>
  <si>
    <t>Glycerophosphodiester phosphodiesterase (Glycerophosphocholine)</t>
  </si>
  <si>
    <t xml:space="preserve">g3pc_c + h2o_c  -&gt; h_c + glyc3p_c + chol_c </t>
  </si>
  <si>
    <t>3.1.4.46</t>
  </si>
  <si>
    <t>GPDDA2</t>
  </si>
  <si>
    <t>Glycerophosphodiester phosphodiesterase (Glycerophosphoethanolamine)</t>
  </si>
  <si>
    <t xml:space="preserve">g3pe_c + h2o_c  -&gt; h_c + glyc3p_c + etha_c </t>
  </si>
  <si>
    <t>PHETA1_f</t>
  </si>
  <si>
    <t>Phenylalanine transaminase</t>
  </si>
  <si>
    <t xml:space="preserve">akg_c + phe__L_c  -&gt; phpyr_c + glu__L_c </t>
  </si>
  <si>
    <t>2.6.1.42, 2.6.1.57</t>
  </si>
  <si>
    <t>PPND</t>
  </si>
  <si>
    <t>Prephenate dehydrogenase</t>
  </si>
  <si>
    <t xml:space="preserve">nad_c + pphn_c  -&gt; 34hpp_c + nadh_c + co2_c </t>
  </si>
  <si>
    <t>1.3.1.12</t>
  </si>
  <si>
    <t>TRPS1</t>
  </si>
  <si>
    <t xml:space="preserve">ser__L_c + 3ig3p_c  -&gt; g3p_c + trp__L_c + h2o_c </t>
  </si>
  <si>
    <t>PRAMPC</t>
  </si>
  <si>
    <t>Phosphoribosyl-AMP cyclohydrolase</t>
  </si>
  <si>
    <t xml:space="preserve">prbamp_c + h2o_c  -&gt; prfp_c </t>
  </si>
  <si>
    <t>3.5.4.19</t>
  </si>
  <si>
    <t>MCITL2_f</t>
  </si>
  <si>
    <t>Methylisocitrate lyase</t>
  </si>
  <si>
    <t xml:space="preserve">micit_c  -&gt; succ_c + pyr_c </t>
  </si>
  <si>
    <t>4.1.3.30</t>
  </si>
  <si>
    <t>DXYLK</t>
  </si>
  <si>
    <t>1-Deoxy-D-xylulose kinase</t>
  </si>
  <si>
    <t xml:space="preserve">dxyl_c + atp_c  -&gt; h_c + adp_c + dxyl5p_c </t>
  </si>
  <si>
    <t>2.7.1.17</t>
  </si>
  <si>
    <t>MDH3</t>
  </si>
  <si>
    <t>Malate dehydrogenase (menaquinone 8 as acceptor)</t>
  </si>
  <si>
    <t xml:space="preserve">mal__L_c + mqn8_c  -&gt; mql8_c + oaa_c </t>
  </si>
  <si>
    <t>1.1.5.4</t>
  </si>
  <si>
    <t>SOTA</t>
  </si>
  <si>
    <t>Succinylornithine transaminase</t>
  </si>
  <si>
    <t xml:space="preserve">akg_c + sucorn_c  -&gt; sucgsa_c + glu__L_c </t>
  </si>
  <si>
    <t>2.6.1.81</t>
  </si>
  <si>
    <t>SGSAD</t>
  </si>
  <si>
    <t>Succinylglutamic semialdehyde dehydrogenase</t>
  </si>
  <si>
    <t xml:space="preserve">sucgsa_c + nad_c + h2o_c  -&gt; 2 h_c + sucglu_c + nadh_c </t>
  </si>
  <si>
    <t>1.2.1.71</t>
  </si>
  <si>
    <t>PTA2</t>
  </si>
  <si>
    <t>Phosphate acetyltransferase</t>
  </si>
  <si>
    <t xml:space="preserve">pi_c + ppcoa_c  -&gt; ppap_c + coa_c </t>
  </si>
  <si>
    <t>MDH2</t>
  </si>
  <si>
    <t>Malate dehydrogenase (ubiquinone 8 as acceptor)</t>
  </si>
  <si>
    <t xml:space="preserve">mal__L_c + q8_c  -&gt; q8h2_c + oaa_c </t>
  </si>
  <si>
    <t>ACOTA_f</t>
  </si>
  <si>
    <t>Acetylornithine transaminase</t>
  </si>
  <si>
    <t xml:space="preserve">akg_c + acorn_c  -&gt; acg5sa_c + glu__L_c </t>
  </si>
  <si>
    <t>GPDDA5</t>
  </si>
  <si>
    <t>Glycerophosphodiester phosphodiesterase (Glycerophosphoinositol)</t>
  </si>
  <si>
    <t xml:space="preserve">h2o_c + g3pi_c  -&gt; h_c + glyc3p_c + inost_c </t>
  </si>
  <si>
    <t>PDX5PS</t>
  </si>
  <si>
    <t>Pyridoxine 5'-phosphate synthase</t>
  </si>
  <si>
    <t xml:space="preserve">nad_c + phthr_c + dxyl5p_c  -&gt; h_c + pi_c + pdx5p_c + 2 h2o_c + nadh_c + co2_c </t>
  </si>
  <si>
    <t>1.1.1.262</t>
  </si>
  <si>
    <t>PPBNGS</t>
  </si>
  <si>
    <t>Porphobilinogen synthase</t>
  </si>
  <si>
    <t xml:space="preserve">2 5aop_c  -&gt; h_c + 2 h2o_c + ppbng_c </t>
  </si>
  <si>
    <t>4.2.1.24</t>
  </si>
  <si>
    <t>PPNCL2</t>
  </si>
  <si>
    <t>Phosphopantothenate-cysteine ligase</t>
  </si>
  <si>
    <t xml:space="preserve">ctp_c + cys__L_c + 4ppan_c  -&gt; h_c + ppi_c + cmp_c + 4ppcys_c </t>
  </si>
  <si>
    <t>6.3.2.5</t>
  </si>
  <si>
    <t>PRAGSr_f</t>
  </si>
  <si>
    <t>Phosphoribosylglycinamide synthase</t>
  </si>
  <si>
    <t xml:space="preserve">atp_c + gly_c + pram_c  -&gt; h_c + adp_c + pi_c + gar_c </t>
  </si>
  <si>
    <t>6.3.4.13</t>
  </si>
  <si>
    <t>PRFGS</t>
  </si>
  <si>
    <t>Phosphoribosylformylglycinamidine synthase</t>
  </si>
  <si>
    <t xml:space="preserve">atp_c + gln__L_c + h2o_c + fgam_c  -&gt; fpram_c + h_c + adp_c + pi_c + glu__L_c </t>
  </si>
  <si>
    <t>6.3.5.3</t>
  </si>
  <si>
    <t>ETHAAL</t>
  </si>
  <si>
    <t>Ethanolamine ammonia-lyase</t>
  </si>
  <si>
    <t xml:space="preserve">etha_c  -&gt; nh4_c + acald_c </t>
  </si>
  <si>
    <t>4.3.1.7</t>
  </si>
  <si>
    <t>MAN1PT2</t>
  </si>
  <si>
    <t>Mannose-1-phosphate guanylyltransferase (GDP)</t>
  </si>
  <si>
    <t xml:space="preserve">h_c + man1p_c + gdp_c  -&gt; pi_c + gdpmann_c </t>
  </si>
  <si>
    <t>2.7.7.13</t>
  </si>
  <si>
    <t>AP4AH</t>
  </si>
  <si>
    <t>Ap4A hydrolase</t>
  </si>
  <si>
    <t xml:space="preserve">h2o_c + ap4a_c  -&gt; 2 h_c + 2 adp_c </t>
  </si>
  <si>
    <t>AP5AH</t>
  </si>
  <si>
    <t>Ap5A hydrolase</t>
  </si>
  <si>
    <t xml:space="preserve">h2o_c + ap5a_c  -&gt; 2 h_c + adp_c + atp_c </t>
  </si>
  <si>
    <t>ADNCYC</t>
  </si>
  <si>
    <t>Adenylate cyclase</t>
  </si>
  <si>
    <t xml:space="preserve">atp_c  -&gt; ppi_c + camp_c </t>
  </si>
  <si>
    <t>4.6.1.1</t>
  </si>
  <si>
    <t>MI1PP</t>
  </si>
  <si>
    <t>Myo-inositol 1-phosphatase</t>
  </si>
  <si>
    <t xml:space="preserve">mi1p__D_c + h2o_c  -&gt; pi_c + inost_c </t>
  </si>
  <si>
    <t>3.1.3.25</t>
  </si>
  <si>
    <t>MCITS</t>
  </si>
  <si>
    <t>2-methylcitrate synthase</t>
  </si>
  <si>
    <t xml:space="preserve">ppcoa_c + h2o_c + oaa_c  -&gt; h_c + 2mcit_c + coa_c </t>
  </si>
  <si>
    <t>2.3.3.5</t>
  </si>
  <si>
    <t>PPAKr_f</t>
  </si>
  <si>
    <t>Propionate kinase</t>
  </si>
  <si>
    <t xml:space="preserve">ppap_c + adp_c  -&gt; atp_c + ppa_c </t>
  </si>
  <si>
    <t>2.7.2.15</t>
  </si>
  <si>
    <t>NTP3</t>
  </si>
  <si>
    <t>Nucleoside-triphosphatase (GTP)</t>
  </si>
  <si>
    <t xml:space="preserve">h2o_c + gtp_c  -&gt; h_c + pi_c + gdp_c </t>
  </si>
  <si>
    <t>3.6.5.-</t>
  </si>
  <si>
    <t>PPM2_f</t>
  </si>
  <si>
    <t>Phosphopentomutase 2 (deoxyribose)</t>
  </si>
  <si>
    <t xml:space="preserve">2dr1p_c  -&gt; 2dr5p_c </t>
  </si>
  <si>
    <t>MOAT2</t>
  </si>
  <si>
    <t xml:space="preserve">ckdo_c + kdolipid4_c  -&gt; h_c + cmp_c + kdo2lipid4_c </t>
  </si>
  <si>
    <t>2.4.99.13</t>
  </si>
  <si>
    <t>G6PDH2r_f</t>
  </si>
  <si>
    <t>Glucose 6-phosphate dehydrogenase</t>
  </si>
  <si>
    <t xml:space="preserve">nadp_c + g6p_c  -&gt; h_c + 6pgl_c + nadph_c </t>
  </si>
  <si>
    <t>1.1.1.49</t>
  </si>
  <si>
    <t>NADH5</t>
  </si>
  <si>
    <t>NADH dehydrogenase (ubiquinone-8 )</t>
  </si>
  <si>
    <t xml:space="preserve">h_c + q8_c + nadh_c  -&gt; nad_c + q8h2_c </t>
  </si>
  <si>
    <t>MOHMT</t>
  </si>
  <si>
    <t>3-methyl-2-oxobutanoate hydroxymethyltransferase</t>
  </si>
  <si>
    <t xml:space="preserve">3mob_c + mlthf_c + h2o_c  -&gt; thf_c + 2dhp_c </t>
  </si>
  <si>
    <t>2.1.2.11</t>
  </si>
  <si>
    <t>GMPS</t>
  </si>
  <si>
    <t xml:space="preserve">nh4_c + atp_c + xmp_c  -&gt; 2 h_c + ppi_c + gmp_c + amp_c </t>
  </si>
  <si>
    <t>UDPGD</t>
  </si>
  <si>
    <t>UDPglucose 6-dehydrogenase</t>
  </si>
  <si>
    <t xml:space="preserve">2 nad_c + udpg_c + h2o_c  -&gt; 3 h_c + 2 nadh_c + udpglcur_c </t>
  </si>
  <si>
    <t>1.1.1.22</t>
  </si>
  <si>
    <t>GLCRD</t>
  </si>
  <si>
    <t>Glucarate dehydratase</t>
  </si>
  <si>
    <t xml:space="preserve">glcr_c  -&gt; 5dh4dglc_c + h2o_c </t>
  </si>
  <si>
    <t>4.2.1.40</t>
  </si>
  <si>
    <t>PPPNDO</t>
  </si>
  <si>
    <t>Phenylpropanoate Dioxygenase</t>
  </si>
  <si>
    <t xml:space="preserve">h_c + o2_c + pppn_c + nadh_c  -&gt; nad_c + cechddd_c </t>
  </si>
  <si>
    <t>CHRPL</t>
  </si>
  <si>
    <t>Chorismate pyruvate lyase</t>
  </si>
  <si>
    <t xml:space="preserve">chor_c  -&gt; 4hbz_c + pyr_c </t>
  </si>
  <si>
    <t>TDPAGTA</t>
  </si>
  <si>
    <t>DTDP-4-amino-4,6-dideoxy-D-glucose transaminase</t>
  </si>
  <si>
    <t xml:space="preserve">dtdp4d6dg_c + glu__L_c  -&gt; akg_c + dtdp4addg_c </t>
  </si>
  <si>
    <t>2.6.1.59</t>
  </si>
  <si>
    <t>UACMAMO</t>
  </si>
  <si>
    <t>UDP-N-acetyl-D-mannosamine oxidoreductase</t>
  </si>
  <si>
    <t xml:space="preserve">2 nad_c + uacmam_c + h2o_c  -&gt; 3 h_c + uacmamu_c + 2 nadh_c </t>
  </si>
  <si>
    <t>1.1.1.336</t>
  </si>
  <si>
    <t>FBA3_f</t>
  </si>
  <si>
    <t>Sedoheptulose 1,7-bisphosphate D-glyceraldehyde-3-phosphate-lyase</t>
  </si>
  <si>
    <t xml:space="preserve">s17bp_c  -&gt; dhap_c + e4p_c </t>
  </si>
  <si>
    <t>PMPK</t>
  </si>
  <si>
    <t>Phosphomethylpyrimidine kinase</t>
  </si>
  <si>
    <t xml:space="preserve">4ampm_c + atp_c  -&gt; adp_c + 2mahmp_c </t>
  </si>
  <si>
    <t>2.7.4.7</t>
  </si>
  <si>
    <t>LCADi</t>
  </si>
  <si>
    <t>Lactaldehyde dehydrogenase</t>
  </si>
  <si>
    <t xml:space="preserve">nad_c + lald__L_c + h2o_c  -&gt; 2 h_c + lac__L_c + nadh_c </t>
  </si>
  <si>
    <t>1.2.1.22</t>
  </si>
  <si>
    <t>ADK3_f</t>
  </si>
  <si>
    <t>Adentylate kinase (GTP)</t>
  </si>
  <si>
    <t xml:space="preserve">gtp_c + amp_c  -&gt; adp_c + gdp_c </t>
  </si>
  <si>
    <t>GLUDC</t>
  </si>
  <si>
    <t>Glutamate Decarboxylase</t>
  </si>
  <si>
    <t xml:space="preserve">h_c + glu__L_c  -&gt; 4abut_c + co2_c </t>
  </si>
  <si>
    <t>4.1.1.15</t>
  </si>
  <si>
    <t>BSORy</t>
  </si>
  <si>
    <t>Biotin sulfoxide reductase</t>
  </si>
  <si>
    <t xml:space="preserve">h_c + nadph_c + btnso_c  -&gt; nadp_c + h2o_c + btn_c </t>
  </si>
  <si>
    <t>1.-.-.-</t>
  </si>
  <si>
    <t>ADSK</t>
  </si>
  <si>
    <t>Adenylyl-sulfate kinase</t>
  </si>
  <si>
    <t xml:space="preserve">atp_c + aps_c  -&gt; h_c + adp_c + paps_c </t>
  </si>
  <si>
    <t>2.7.1.25</t>
  </si>
  <si>
    <t>HSDy_f</t>
  </si>
  <si>
    <t>Homoserine dehydrogenase (NADPH)</t>
  </si>
  <si>
    <t xml:space="preserve">hom__L_c + nadp_c  -&gt; h_c + aspsa_c + nadph_c </t>
  </si>
  <si>
    <t>1.1.1.3</t>
  </si>
  <si>
    <t>CYSTL</t>
  </si>
  <si>
    <t>Cystathionine b-lyase</t>
  </si>
  <si>
    <t xml:space="preserve">cyst__L_c + h2o_c  -&gt; nh4_c + pyr_c + hcys__L_c </t>
  </si>
  <si>
    <t>4.4.1.8</t>
  </si>
  <si>
    <t>SHSL1</t>
  </si>
  <si>
    <t>O-succinylhomoserine lyase (L-cysteine)</t>
  </si>
  <si>
    <t xml:space="preserve">cys__L_c + suchms_c  -&gt; h_c + cyst__L_c + succ_c </t>
  </si>
  <si>
    <t>2.5.1.48</t>
  </si>
  <si>
    <t>SSALy</t>
  </si>
  <si>
    <t>Succinate-semialdehyde dehydrogenase (NADP)</t>
  </si>
  <si>
    <t xml:space="preserve">nadp_c + h2o_c + sucsal_c  -&gt; 2 h_c + succ_c + nadph_c </t>
  </si>
  <si>
    <t>3HCINNMH</t>
  </si>
  <si>
    <t>3-hydroxycinnamate hydroxylase</t>
  </si>
  <si>
    <t xml:space="preserve">h_c + o2_c + 3hcinnm_c + nadh_c  -&gt; nad_c + dhcinnm_c + h2o_c </t>
  </si>
  <si>
    <t>BSORx</t>
  </si>
  <si>
    <t xml:space="preserve">h_c + nadh_c + btnso_c  -&gt; nad_c + h2o_c + btn_c </t>
  </si>
  <si>
    <t>GLUtex_f</t>
  </si>
  <si>
    <t>L-glutamate transport via diffusion (extracellular to periplasm)</t>
  </si>
  <si>
    <t xml:space="preserve">glu__L_e  -&gt; glu__L_p </t>
  </si>
  <si>
    <t>GLYtex_f</t>
  </si>
  <si>
    <t>Glycine transport via diffusion (extracellular to periplasm)</t>
  </si>
  <si>
    <t xml:space="preserve">gly_e  -&gt; gly_p </t>
  </si>
  <si>
    <t>GLYALDtex_f</t>
  </si>
  <si>
    <t>Glyceraldehyde transport via diffusion (extracellular to periplasm)</t>
  </si>
  <si>
    <t xml:space="preserve">glyald_e  -&gt; glyald_p </t>
  </si>
  <si>
    <t>GLYBtex_f</t>
  </si>
  <si>
    <t>Glycine betaine transport via diffusion (extracellular to periplasm)</t>
  </si>
  <si>
    <t xml:space="preserve">glyb_e  -&gt; glyb_p </t>
  </si>
  <si>
    <t>GLYCtex_f</t>
  </si>
  <si>
    <t>Glycerol transport via diffusion (extracellular to periplasm)</t>
  </si>
  <si>
    <t xml:space="preserve">glyc_e  -&gt; glyc_p </t>
  </si>
  <si>
    <t>GLYC3Ptex_f</t>
  </si>
  <si>
    <t>Glycerol-3-phosphate transport via diffusion (extracellular to periplasm)</t>
  </si>
  <si>
    <t xml:space="preserve">glyc3p_e  -&gt; glyc3p_p </t>
  </si>
  <si>
    <t>GLYCLTtex_f</t>
  </si>
  <si>
    <t>Glycolate transport via diffusion (extracellular to periplasm)</t>
  </si>
  <si>
    <t xml:space="preserve">glyclt_e  -&gt; glyclt_p </t>
  </si>
  <si>
    <t>GTPtex_f</t>
  </si>
  <si>
    <t>GTP transport via diffusion (extracellular to periplasm)</t>
  </si>
  <si>
    <t xml:space="preserve">gtp_e  -&gt; gtp_p </t>
  </si>
  <si>
    <t>GUAtex_f</t>
  </si>
  <si>
    <t>Guanine transport via diffusion (extracellular to periplasm)</t>
  </si>
  <si>
    <t xml:space="preserve">gua_e  -&gt; gua_p </t>
  </si>
  <si>
    <t>Htex_f</t>
  </si>
  <si>
    <t>Proton transport via diffusion (extracellular to periplasm)</t>
  </si>
  <si>
    <t xml:space="preserve">h_e  -&gt; h_p </t>
  </si>
  <si>
    <t>H2tex_f</t>
  </si>
  <si>
    <t>Hydrogen transport via diffusion (extracellular to periplasm)</t>
  </si>
  <si>
    <t xml:space="preserve">h2_e  -&gt; h2_p </t>
  </si>
  <si>
    <t>H2Otex_f</t>
  </si>
  <si>
    <t>H2O transport via diffusion (extracellular to periplasm)</t>
  </si>
  <si>
    <t xml:space="preserve">h2o_e  -&gt; h2o_p </t>
  </si>
  <si>
    <t>FACOAL160t2pp</t>
  </si>
  <si>
    <t>Fatty-acid-CoA ligase (hexadecanoate transport via vectoral Co-A coupling)</t>
  </si>
  <si>
    <t xml:space="preserve">hdca_p + h_p + atp_c + coa_c  -&gt; h_c + ppi_c + pmtcoa_c + amp_c </t>
  </si>
  <si>
    <t>6.2.1.3</t>
  </si>
  <si>
    <t>FACOAL180t2pp</t>
  </si>
  <si>
    <t>Fatty-acid-CoA ligase (octadecanoate transport via vectoral Co-A coupling)</t>
  </si>
  <si>
    <t xml:space="preserve">h_p + atp_c + ocdca_p + coa_c  -&gt; h_c + ppi_c + stcoa_c + amp_c </t>
  </si>
  <si>
    <t>SPODMpp</t>
  </si>
  <si>
    <t xml:space="preserve">2 h_p + 2 o2s_p  -&gt; o2_p + h2o2_p </t>
  </si>
  <si>
    <t>NO3R1bpp</t>
  </si>
  <si>
    <t>Nitrate reductase (Ubiquinol-8)</t>
  </si>
  <si>
    <t xml:space="preserve">q8h2_c + no3_p  -&gt; h2o_p + no2_p + q8_c </t>
  </si>
  <si>
    <t>1.9.6.1</t>
  </si>
  <si>
    <t>PHYTSpp</t>
  </si>
  <si>
    <t>Phytase (periplasm)</t>
  </si>
  <si>
    <t xml:space="preserve">6 h2o_p + minohp_p  -&gt; inost_p + 6 pi_p </t>
  </si>
  <si>
    <t>3.1.3.26</t>
  </si>
  <si>
    <t>PPTHpp</t>
  </si>
  <si>
    <t>Phosphonate hydrogenase (periplasm)</t>
  </si>
  <si>
    <t xml:space="preserve">ppt_p + h2o_p  -&gt; pi_p + h2_p </t>
  </si>
  <si>
    <t>3.1.3.1</t>
  </si>
  <si>
    <t>NO3R2pp</t>
  </si>
  <si>
    <t>Nitrate reductase (Menaquinol-8) (periplasm)</t>
  </si>
  <si>
    <t xml:space="preserve">2 h_c + mql8_c + no3_c  -&gt; 2 h_p + h2o_c + mqn8_c + no2_c </t>
  </si>
  <si>
    <t>1.7.5.1</t>
  </si>
  <si>
    <t>NTP3pp</t>
  </si>
  <si>
    <t>Nucleoside-triphosphatase (GTP) (periplasm)</t>
  </si>
  <si>
    <t xml:space="preserve">h2o_p + gtp_p  -&gt; h_p + gdp_p + pi_p </t>
  </si>
  <si>
    <t>3.1.3.2, 3.1.3.26</t>
  </si>
  <si>
    <t>NO3R2bpp</t>
  </si>
  <si>
    <t xml:space="preserve">mql8_c + no3_p  -&gt; h2o_p + no2_p + mqn8_c </t>
  </si>
  <si>
    <t>THD2pp</t>
  </si>
  <si>
    <t>NAD(P) transhydrogenase (periplasm)</t>
  </si>
  <si>
    <t xml:space="preserve">2 h_p + nadp_c + nadh_c  -&gt; 2 h_c + nad_c + nadph_c </t>
  </si>
  <si>
    <t>1.6.1.2</t>
  </si>
  <si>
    <t>TMAOR1pp</t>
  </si>
  <si>
    <t>Trimethylamine N-oxide reductase (menaquinol 8) (periplasm)</t>
  </si>
  <si>
    <t xml:space="preserve">h_p + tmao_p + mql8_c  -&gt; h2o_p + tma_p + mqn8_c </t>
  </si>
  <si>
    <t>1.7.2.3</t>
  </si>
  <si>
    <t>TMAOR2pp</t>
  </si>
  <si>
    <t>Trimethylamine N-oxide reductase (demethylmenaquinol 8) (periplasm)</t>
  </si>
  <si>
    <t xml:space="preserve">h_p + tmao_p + 2dmmql8_c  -&gt; h2o_p + tma_p + 2dmmq8_c </t>
  </si>
  <si>
    <t>DAPtex_f</t>
  </si>
  <si>
    <t>1,5-Diaminopentane transport via diffusion (extracellular to periplasm)</t>
  </si>
  <si>
    <t xml:space="preserve">15dap_e  -&gt; 15dap_p </t>
  </si>
  <si>
    <t>12PPDStex_f</t>
  </si>
  <si>
    <t>(S)-Propane-1,2-diol transport via diffusion (extracellular to periplasm)</t>
  </si>
  <si>
    <t xml:space="preserve">12ppd__S_e  -&gt; 12ppd__S_p </t>
  </si>
  <si>
    <t>DDGLCNtex_f</t>
  </si>
  <si>
    <t>2-dehydro-3-deoxy-D-gluconate transport via diffusion (extracellular to periplasm)</t>
  </si>
  <si>
    <t xml:space="preserve">2ddglcn_e  -&gt; 2ddglcn_p </t>
  </si>
  <si>
    <t>26DAHtex_f</t>
  </si>
  <si>
    <t>Meso-2,6-Diaminoheptanedioate transport via diffusion (extracellular to periplasm)</t>
  </si>
  <si>
    <t xml:space="preserve">26dap__M_e  -&gt; 26dap__M_p </t>
  </si>
  <si>
    <t>HCINNMtex_f</t>
  </si>
  <si>
    <t>3-hydroxycinnamic acid transport via diffusion (extracellular to periplasm)</t>
  </si>
  <si>
    <t xml:space="preserve">3hcinnm_e  -&gt; 3hcinnm_p </t>
  </si>
  <si>
    <t>HPPPNtex_f</t>
  </si>
  <si>
    <t>3-(3-hydroxyphenyl)propionate transport via diffusion (extracellular to periplasm)</t>
  </si>
  <si>
    <t xml:space="preserve">3hpppn_e  -&gt; 3hpppn_p </t>
  </si>
  <si>
    <t>ACtex_f</t>
  </si>
  <si>
    <t>Acetate transport via diffusion (extracellular to periplasm)</t>
  </si>
  <si>
    <t xml:space="preserve">ac_e  -&gt; ac_p </t>
  </si>
  <si>
    <t>ACALDtex_f</t>
  </si>
  <si>
    <t>Acetaldehyde transport via diffusion (extracellular to periplasm)</t>
  </si>
  <si>
    <t xml:space="preserve">acald_e  -&gt; acald_p </t>
  </si>
  <si>
    <t>ACMANAtex_f</t>
  </si>
  <si>
    <t>N-acetyl-D-mannosamine transport via diffusion (extracellular to periplasm)</t>
  </si>
  <si>
    <t xml:space="preserve">acmana_e  -&gt; acmana_p </t>
  </si>
  <si>
    <t>ACMUMtex</t>
  </si>
  <si>
    <t>N-acetylmuramate transport via diffusion (extracellular to periplasm)</t>
  </si>
  <si>
    <t xml:space="preserve">acmum_e  -&gt; acmum_p </t>
  </si>
  <si>
    <t>ACACT7r_f</t>
  </si>
  <si>
    <t>Acetyl-CoA C-acyltransferase (tetradecanoyl-CoA) (r)</t>
  </si>
  <si>
    <t xml:space="preserve">accoa_c + tdcoa_c  -&gt; 3ohdcoa_c + coa_c </t>
  </si>
  <si>
    <t>2.3.1.16</t>
  </si>
  <si>
    <t>PSP_L</t>
  </si>
  <si>
    <t>Phosphoserine phosphatase (L-serine)</t>
  </si>
  <si>
    <t xml:space="preserve">pser__L_c + h2o_c  -&gt; ser__L_c + pi_c </t>
  </si>
  <si>
    <t>3.1.3.3</t>
  </si>
  <si>
    <t>ACACT2r_f</t>
  </si>
  <si>
    <t>Acetyl-CoA C-acyltransferase (butanoyl-CoA) (r)</t>
  </si>
  <si>
    <t xml:space="preserve">accoa_c + btcoa_c  -&gt; 3ohcoa_c + coa_c </t>
  </si>
  <si>
    <t>ACACT3r_f</t>
  </si>
  <si>
    <t>Acetyl-CoA C-acyltransferase (hexanoyl-CoA) (r)</t>
  </si>
  <si>
    <t xml:space="preserve">accoa_c + hxcoa_c  -&gt; 3oocoa_c + coa_c </t>
  </si>
  <si>
    <t>ACACT4r_f</t>
  </si>
  <si>
    <t>Acetyl-CoA C-acyltransferase (octanoyl-CoA) (r)</t>
  </si>
  <si>
    <t xml:space="preserve">accoa_c + occoa_c  -&gt; 3odcoa_c + coa_c </t>
  </si>
  <si>
    <t>SUCCt2_2pp</t>
  </si>
  <si>
    <t>Succinate transport via proton symport (2 H) (periplasm)</t>
  </si>
  <si>
    <t xml:space="preserve">2 h_p + succ_p  -&gt; 2 h_c + succ_c </t>
  </si>
  <si>
    <t>SUCFUMtpp_f</t>
  </si>
  <si>
    <t>Succinate:fumarate antiporter (periplasm)</t>
  </si>
  <si>
    <t xml:space="preserve">fum_p + succ_c  -&gt; succ_p + fum_c </t>
  </si>
  <si>
    <t>SUCptspp</t>
  </si>
  <si>
    <t>Sucrose transport via PEP:Pyr  (periplasm)</t>
  </si>
  <si>
    <t xml:space="preserve">pep_c + sucr_p  -&gt; pyr_c + suc6p_c </t>
  </si>
  <si>
    <t>2.7.1.-, 2.7.1.192</t>
  </si>
  <si>
    <t>SULabcpp</t>
  </si>
  <si>
    <t>Sulfate transport via ABC system (periplasm)</t>
  </si>
  <si>
    <t xml:space="preserve">atp_c + h2o_c + so4_p  -&gt; h_c + adp_c + pi_c + so4_c </t>
  </si>
  <si>
    <t>3.6.3.25, 3.6.3.29</t>
  </si>
  <si>
    <t>TSULabcpp</t>
  </si>
  <si>
    <t>Thiosulfate transport via ABC system (periplasm)</t>
  </si>
  <si>
    <t xml:space="preserve">atp_c + h2o_c + tsul_p  -&gt; h_c + adp_c + pi_c + tsul_c </t>
  </si>
  <si>
    <t>3.6.3.25</t>
  </si>
  <si>
    <t>TARTRt7pp_f</t>
  </si>
  <si>
    <t>Tartrate/succinate antiporter (periplasm)</t>
  </si>
  <si>
    <t xml:space="preserve">tartr__L_p + succ_c  -&gt; tartr__L_c + succ_p </t>
  </si>
  <si>
    <t>AHGDx_f</t>
  </si>
  <si>
    <t>(S)-alpha-hydroxyglutarate dehydrogenase</t>
  </si>
  <si>
    <t xml:space="preserve">nad_c + S2hglut_c  -&gt; h_c + akg_c + nadh_c </t>
  </si>
  <si>
    <t>1.1.1.95</t>
  </si>
  <si>
    <t>TAURabcpp</t>
  </si>
  <si>
    <t>Taurine transport via ABC system (periplasm)</t>
  </si>
  <si>
    <t xml:space="preserve">atp_c + h2o_c + taur_p  -&gt; h_c + adp_c + pi_c + taur_c </t>
  </si>
  <si>
    <t>3.6.3.36</t>
  </si>
  <si>
    <t>THMDt2pp_copy1</t>
  </si>
  <si>
    <t>Thymidine transport in via proton symport (periplasm)</t>
  </si>
  <si>
    <t xml:space="preserve">h_p + thymd_p  -&gt; h_c + thymd_c </t>
  </si>
  <si>
    <t>Kt2pp</t>
  </si>
  <si>
    <t>Potassium transport in via proton symport (periplasm)</t>
  </si>
  <si>
    <t xml:space="preserve">h_p + k_p  -&gt; h_c + k_c </t>
  </si>
  <si>
    <t>AKGt2rpp_f</t>
  </si>
  <si>
    <t>2-oxoglutarate reversible transport via symport (periplasm)</t>
  </si>
  <si>
    <t xml:space="preserve">h_p + akg_p  -&gt; h_c + akg_c </t>
  </si>
  <si>
    <t>XYLt2pp</t>
  </si>
  <si>
    <t>D-xylose transport in via proton symport (periplasm)</t>
  </si>
  <si>
    <t xml:space="preserve">h_p + xyl__D_p  -&gt; h_c + xyl__D_c </t>
  </si>
  <si>
    <t>THMabcpp</t>
  </si>
  <si>
    <t>Thiamine transport via ABC system (periplasm)</t>
  </si>
  <si>
    <t xml:space="preserve">atp_c + h2o_c + thm_p  -&gt; h_c + adp_c + pi_c + thm_c </t>
  </si>
  <si>
    <t>3.6.3.-</t>
  </si>
  <si>
    <t>THMDt2pp_copy2_f</t>
  </si>
  <si>
    <t>THRabcpp</t>
  </si>
  <si>
    <t>L-threonine transport via ABC system (periplasm)</t>
  </si>
  <si>
    <t xml:space="preserve">atp_c + thr__L_p + h2o_c  -&gt; h_c + thr__L_c + adp_c + pi_c </t>
  </si>
  <si>
    <t>TREptspp</t>
  </si>
  <si>
    <t>Trehalose transport via PEP:Pyr PTS (periplasm)</t>
  </si>
  <si>
    <t xml:space="preserve">pep_c + tre_p  -&gt; tre6p_c + pyr_c </t>
  </si>
  <si>
    <t>2.7.1.-, 2.7.1.201</t>
  </si>
  <si>
    <t>TRPt2rpp_f</t>
  </si>
  <si>
    <t>L-tryptophan reversible transport via proton symport (periplasm)</t>
  </si>
  <si>
    <t xml:space="preserve">h_p + trp__L_p  -&gt; h_c + trp__L_c </t>
  </si>
  <si>
    <t>TYRt2rpp_f</t>
  </si>
  <si>
    <t>L-tyrosine reversible transport via proton symport (periplasm)</t>
  </si>
  <si>
    <t xml:space="preserve">tyr__L_p + h_p  -&gt; h_c + tyr__L_c </t>
  </si>
  <si>
    <t>URIt2pp_copy1</t>
  </si>
  <si>
    <t>Uridine transport in via proton symport (periplasm)</t>
  </si>
  <si>
    <t xml:space="preserve">uri_p + h_p  -&gt; h_c + uri_c </t>
  </si>
  <si>
    <t>URIt2pp_copy2_f</t>
  </si>
  <si>
    <t>VALabcpp</t>
  </si>
  <si>
    <t>L-valine transport via ABC system (periplasm)</t>
  </si>
  <si>
    <t xml:space="preserve">val__L_p + atp_c + h2o_c  -&gt; h_c + adp_c + pi_c + val__L_c </t>
  </si>
  <si>
    <t>XTSNt2rpp_f</t>
  </si>
  <si>
    <t>Xanthosine transport via proton symport (periplasm)</t>
  </si>
  <si>
    <t xml:space="preserve">h_p + xtsn_p  -&gt; h_c + xtsn_c </t>
  </si>
  <si>
    <t>XYLabcpp</t>
  </si>
  <si>
    <t>D-xylose transport via ABC system (periplasm)</t>
  </si>
  <si>
    <t xml:space="preserve">atp_c + xyl__D_p + h2o_c  -&gt; h_c + adp_c + pi_c + xyl__D_c </t>
  </si>
  <si>
    <t>3.6.3.17</t>
  </si>
  <si>
    <t>XYLUt2pp</t>
  </si>
  <si>
    <t>L-xylulose transport in via proton symport (periplasm)</t>
  </si>
  <si>
    <t xml:space="preserve">h_p + xylu__L_p  -&gt; h_c + xylu__L_c </t>
  </si>
  <si>
    <t>THRt4pp</t>
  </si>
  <si>
    <t>L-threonine  via sodium symport (periplasm)</t>
  </si>
  <si>
    <t xml:space="preserve">na1_p + thr__L_p  -&gt; thr__L_c + na1_c </t>
  </si>
  <si>
    <t>GALtex_f</t>
  </si>
  <si>
    <t>D-galactose transport via diffusion (extracellular to periplasm)</t>
  </si>
  <si>
    <t xml:space="preserve">gal_e  -&gt; gal_p </t>
  </si>
  <si>
    <t>GALCTtex_f</t>
  </si>
  <si>
    <t>D-galactarte transport via diffusion (extracellular to periplasm)</t>
  </si>
  <si>
    <t xml:space="preserve">galct__D_e  -&gt; galct__D_p </t>
  </si>
  <si>
    <t>GALCTNtex_f</t>
  </si>
  <si>
    <t>D-galactonate transport via diffusion (extracellular to periplasm)</t>
  </si>
  <si>
    <t xml:space="preserve">galctn__D_e  -&gt; galctn__D_p </t>
  </si>
  <si>
    <t>GALTtex_f</t>
  </si>
  <si>
    <t>Galactitol transport via diffusion (extracellular to periplasm)</t>
  </si>
  <si>
    <t xml:space="preserve">galt_e  -&gt; galt_p </t>
  </si>
  <si>
    <t>GALURtex_f</t>
  </si>
  <si>
    <t>D-galacturonate transport via diffusion (extracellular to periplasm)</t>
  </si>
  <si>
    <t xml:space="preserve">galur_e  -&gt; galur_p </t>
  </si>
  <si>
    <t>GTPCI</t>
  </si>
  <si>
    <t>GTP cyclohydrolase I</t>
  </si>
  <si>
    <t xml:space="preserve">h2o_c + gtp_c  -&gt; h_c + ahdt_c + for_c </t>
  </si>
  <si>
    <t>3.5.4.16</t>
  </si>
  <si>
    <t>FDMO</t>
  </si>
  <si>
    <t>FMNH2-dependent monooxygenase</t>
  </si>
  <si>
    <t xml:space="preserve">o2_c + isetac_c + fmnh2_c  -&gt; h_c + so3_c + h2o_c + fmn_c + gcald_c </t>
  </si>
  <si>
    <t>1.14.14.5</t>
  </si>
  <si>
    <t>FEOXAMabcpp</t>
  </si>
  <si>
    <t>Ferroxamine transport via ABC system (periplasm)</t>
  </si>
  <si>
    <t xml:space="preserve">atp_c + h2o_c + feoxam_p  -&gt; h_c + adp_c + pi_c + feoxam_c </t>
  </si>
  <si>
    <t>3.6.3.34</t>
  </si>
  <si>
    <t>CBL1abcpp</t>
  </si>
  <si>
    <t>Cob(1)alamin transport via ABC system (periplasm)</t>
  </si>
  <si>
    <t xml:space="preserve">atp_c + h2o_c + cbl1_p  -&gt; h_c + cbl1_c + adp_c + pi_c </t>
  </si>
  <si>
    <t>3.6.3.33</t>
  </si>
  <si>
    <t>ACACt2pp_f</t>
  </si>
  <si>
    <t>Acetoacetate transport via proton symport  (periplasm)</t>
  </si>
  <si>
    <t xml:space="preserve">h_p + acac_p  -&gt; h_c + acac_c </t>
  </si>
  <si>
    <t>ACGAptspp</t>
  </si>
  <si>
    <t>N-Acetyl-D-glucosamine transport via PEP:Pyr PTS  (periplasm)</t>
  </si>
  <si>
    <t xml:space="preserve">pep_c + acgam_p  -&gt; acgam6p_c + pyr_c </t>
  </si>
  <si>
    <t>2.7.3.9</t>
  </si>
  <si>
    <t>ACMANAptspp</t>
  </si>
  <si>
    <t>N-acetyl-D-mannosamine transport via PTS  (periplasm)</t>
  </si>
  <si>
    <t xml:space="preserve">pep_c + acmana_p  -&gt; acmanap_c + pyr_c </t>
  </si>
  <si>
    <t>2.7.1.191</t>
  </si>
  <si>
    <t>ACNAMt2pp</t>
  </si>
  <si>
    <t>N-acetylneuraminate proton symport (periplasm)</t>
  </si>
  <si>
    <t xml:space="preserve">acnam_p + h_p  -&gt; h_c + acnam_c </t>
  </si>
  <si>
    <t>CHOLD</t>
  </si>
  <si>
    <t>Choline dehydrogenase</t>
  </si>
  <si>
    <t xml:space="preserve">nad_c + chol_c  -&gt; h_c + betald_c + nadh_c </t>
  </si>
  <si>
    <t>1.1.99.1</t>
  </si>
  <si>
    <t>DRPA</t>
  </si>
  <si>
    <t>Deoxyribose-phosphate aldolase</t>
  </si>
  <si>
    <t xml:space="preserve">2dr5p_c  -&gt; g3p_c + acald_c </t>
  </si>
  <si>
    <t>4.1.2.4</t>
  </si>
  <si>
    <t>TKT2_f</t>
  </si>
  <si>
    <t xml:space="preserve">xu5p__D_c + e4p_c  -&gt; g3p_c + f6p_c </t>
  </si>
  <si>
    <t>FEENTERabcpp</t>
  </si>
  <si>
    <t>Fe-enterobactin transport via ABC system (periplasm)</t>
  </si>
  <si>
    <t xml:space="preserve">atp_c + feenter_p + h2o_c  -&gt; h_c + adp_c + pi_c + feenter_c </t>
  </si>
  <si>
    <t>FECRMabcpp</t>
  </si>
  <si>
    <t>Ferrichrome transport via ABC system (periplasm)</t>
  </si>
  <si>
    <t xml:space="preserve">atp_c + fecrm_p + h2o_c  -&gt; h_c + adp_c + pi_c + fecrm_c </t>
  </si>
  <si>
    <t>GAMtex_f</t>
  </si>
  <si>
    <t>D-glucosamine transport via diffusion (extracellular to periplasm)</t>
  </si>
  <si>
    <t xml:space="preserve">gam_e  -&gt; gam_p </t>
  </si>
  <si>
    <t>GBBTNtex_f</t>
  </si>
  <si>
    <t>Gamma-butyrobetaine transport via diffusion (extracellular to periplasm)</t>
  </si>
  <si>
    <t xml:space="preserve">gbbtn_e  -&gt; gbbtn_p </t>
  </si>
  <si>
    <t>ARBt2rpp_f</t>
  </si>
  <si>
    <t>L-arabinose transport via proton symport (periplasm)</t>
  </si>
  <si>
    <t xml:space="preserve">h_p + arab__L_p  -&gt; h_c + arab__L_c </t>
  </si>
  <si>
    <t>DMSOR1pp</t>
  </si>
  <si>
    <t>Dimethyl sulfoxide reductase (Menaquinol 8) (periplasm)</t>
  </si>
  <si>
    <t xml:space="preserve">dmso_p + mql8_c  -&gt; h2o_p + dms_p + mqn8_c </t>
  </si>
  <si>
    <t>ARGabcpp</t>
  </si>
  <si>
    <t>L-arginine transport via ABC system (periplasm)</t>
  </si>
  <si>
    <t xml:space="preserve">atp_c + h2o_c + arg__L_p  -&gt; h_c + arg__L_c + adp_c + pi_c </t>
  </si>
  <si>
    <t>3.6.3.-, 3.6.3.21</t>
  </si>
  <si>
    <t>ARGAGMt7pp_f</t>
  </si>
  <si>
    <t>Arginine/agmatine antiport (periplasm)</t>
  </si>
  <si>
    <t xml:space="preserve">agm_c + arg__L_p  -&gt; arg__L_c + agm_p </t>
  </si>
  <si>
    <t>ASCBptspp</t>
  </si>
  <si>
    <t>L-ascorbate transport via PEP:Pyr PTS (periplasm)</t>
  </si>
  <si>
    <t xml:space="preserve">pep_c + ascb__L_p  -&gt; ascb6p_c + pyr_c </t>
  </si>
  <si>
    <t>2.7.1.194</t>
  </si>
  <si>
    <t>ASNt2rpp_f</t>
  </si>
  <si>
    <t>L-asparagine reversible transport via proton symport (periplasm)</t>
  </si>
  <si>
    <t xml:space="preserve">h_p + asn__L_p  -&gt; h_c + asn__L_c </t>
  </si>
  <si>
    <t>ASPabcpp</t>
  </si>
  <si>
    <t>L-aspartate transport via ABC system (periplasm)</t>
  </si>
  <si>
    <t xml:space="preserve">atp_c + asp__L_p + h2o_c  -&gt; h_c + adp_c + asp__L_c + pi_c </t>
  </si>
  <si>
    <t>3.6.3.21</t>
  </si>
  <si>
    <t>ASPt2pp</t>
  </si>
  <si>
    <t>L-aspartate transport in via proton symport (periplasm)</t>
  </si>
  <si>
    <t xml:space="preserve">h_p + asp__L_p  -&gt; h_c + asp__L_c </t>
  </si>
  <si>
    <t>ASPt2_2pp</t>
  </si>
  <si>
    <t>Aspartate transport via proton symport (2 H) (periplasm)</t>
  </si>
  <si>
    <t xml:space="preserve">2 h_p + asp__L_p  -&gt; 2 h_c + asp__L_c </t>
  </si>
  <si>
    <t>ASPt2_3pp</t>
  </si>
  <si>
    <t>L-asparate transport via proton symport (3 H) (periplasm)</t>
  </si>
  <si>
    <t xml:space="preserve">3 h_p + asp__L_p  -&gt; 3 h_c + asp__L_c </t>
  </si>
  <si>
    <t>HIStex_f</t>
  </si>
  <si>
    <t>L-histidine transport via diffusion (extracellular to periplasm)</t>
  </si>
  <si>
    <t xml:space="preserve">his__L_e  -&gt; his__L_p </t>
  </si>
  <si>
    <t>HXAtex_f</t>
  </si>
  <si>
    <t>Hexanoate transport via diffusion (extracellular to periplasm)</t>
  </si>
  <si>
    <t xml:space="preserve">hxa_e  -&gt; hxa_p </t>
  </si>
  <si>
    <t>HYXNtex_f</t>
  </si>
  <si>
    <t>Hypoxanthine transport via diffusion (extracellular to periplasm)</t>
  </si>
  <si>
    <t xml:space="preserve">hxan_e  -&gt; hxan_p </t>
  </si>
  <si>
    <t>IDONtex_f</t>
  </si>
  <si>
    <t>L-idonate transport via diffusion (extracellular to periplasm)</t>
  </si>
  <si>
    <t xml:space="preserve">idon__L_e  -&gt; idon__L_p </t>
  </si>
  <si>
    <t>ILEtex_f</t>
  </si>
  <si>
    <t>L-isoleucine transport via diffusion (extracellular to periplasm)</t>
  </si>
  <si>
    <t xml:space="preserve">ile__L_e  -&gt; ile__L_p </t>
  </si>
  <si>
    <t>INSTtex_f</t>
  </si>
  <si>
    <t>Inositol transport via diffusion (extracellular to periplasm)</t>
  </si>
  <si>
    <t xml:space="preserve">inost_e  -&gt; inost_p </t>
  </si>
  <si>
    <t>INStex_f</t>
  </si>
  <si>
    <t>Inosine transport via diffusion (extracellular to periplasm)</t>
  </si>
  <si>
    <t xml:space="preserve">ins_e  -&gt; ins_p </t>
  </si>
  <si>
    <t>Ktex_f</t>
  </si>
  <si>
    <t>Potassium transport via diffusion (extracellular to periplasm)</t>
  </si>
  <si>
    <t xml:space="preserve">k_e  -&gt; k_p </t>
  </si>
  <si>
    <t>D_LACtex_f</t>
  </si>
  <si>
    <t>D-lactate transport via diffusion (extracellular to periplasm)</t>
  </si>
  <si>
    <t xml:space="preserve">lac__D_e  -&gt; lac__D_p </t>
  </si>
  <si>
    <t>NTD8pp</t>
  </si>
  <si>
    <t>5'-nucleotidase (dGMP)</t>
  </si>
  <si>
    <t xml:space="preserve">h2o_p + dgmp_p  -&gt; dgsn_p + pi_p </t>
  </si>
  <si>
    <t>FRULYStex_f</t>
  </si>
  <si>
    <t>Fructoselysine transporter via diffusion (extracellular)</t>
  </si>
  <si>
    <t xml:space="preserve">frulys_e  -&gt; frulys_p </t>
  </si>
  <si>
    <t>GALCTt2rpp_f</t>
  </si>
  <si>
    <t>D-galactarte transport via proton symport, reversible (periplasm)</t>
  </si>
  <si>
    <t xml:space="preserve">h_p + galct__D_p  -&gt; h_c + galct__D_c </t>
  </si>
  <si>
    <t>GALt2pp</t>
  </si>
  <si>
    <t>D-galactose transport in via proton symport (periplasm)</t>
  </si>
  <si>
    <t xml:space="preserve">h_p + gal_p  -&gt; h_c + gal_c </t>
  </si>
  <si>
    <t>ASPtex_f</t>
  </si>
  <si>
    <t>L-aspartate transport via diffusion (extracellular to periplasm)</t>
  </si>
  <si>
    <t xml:space="preserve">asp__L_e  -&gt; asp__L_p </t>
  </si>
  <si>
    <t>ABUTt2pp</t>
  </si>
  <si>
    <t>4-aminobutyrate transport in via proton symport (periplasm)</t>
  </si>
  <si>
    <t xml:space="preserve">h_p + 4abut_p  -&gt; h_c + 4abut_c </t>
  </si>
  <si>
    <t>CYSabcpp</t>
  </si>
  <si>
    <t>L-cysteine uptake via ABC system (periplasm)</t>
  </si>
  <si>
    <t xml:space="preserve">atp_c + cys__L_p + h2o_c  -&gt; h_c + adp_c + pi_c + cys__L_c </t>
  </si>
  <si>
    <t>SBTptspp</t>
  </si>
  <si>
    <t>D-sorbitol transport via PEP:Pyr PTS (periplasm)</t>
  </si>
  <si>
    <t xml:space="preserve">pep_c + sbt__D_p  -&gt; sbt6p_c + pyr_c </t>
  </si>
  <si>
    <t>2.7.1.198</t>
  </si>
  <si>
    <t>TREHpp</t>
  </si>
  <si>
    <t>Alpha,alpha-trehalase (periplasm)</t>
  </si>
  <si>
    <t xml:space="preserve">h2o_p + tre_p  -&gt; 2 glc__D_p </t>
  </si>
  <si>
    <t>CYTBDpp</t>
  </si>
  <si>
    <t>Cytochrome oxidase bd (ubiquinol-8: 2 protons) (periplasm)</t>
  </si>
  <si>
    <t xml:space="preserve">2 h_c + 0.5 o2_c + q8h2_c  -&gt; 2 h_p + h2o_c + q8_c </t>
  </si>
  <si>
    <t>1.10.3.10</t>
  </si>
  <si>
    <t>CYTBD2pp</t>
  </si>
  <si>
    <t>Cytochrome oxidase bd (menaquinol-8: 2 protons) (periplasm)</t>
  </si>
  <si>
    <t xml:space="preserve">2 h_c + 0.5 o2_c + mql8_c  -&gt; 2 h_p + h2o_c + mqn8_c </t>
  </si>
  <si>
    <t>ACt2rpp_f</t>
  </si>
  <si>
    <t>Acetate reversible transport via proton symport (periplasm)</t>
  </si>
  <si>
    <t xml:space="preserve">h_p + ac_p  -&gt; h_c + ac_c </t>
  </si>
  <si>
    <t>ATPS4rpp_f</t>
  </si>
  <si>
    <t>ATP synthase (four protons for one ATP) (periplasm)</t>
  </si>
  <si>
    <t xml:space="preserve">4 h_p + adp_c + pi_c  -&gt; 3 h_c + atp_c + h2o_c </t>
  </si>
  <si>
    <t>3.6.3.14</t>
  </si>
  <si>
    <t>INDOLEtex_f</t>
  </si>
  <si>
    <t>Indole transport via diffusion (extracellular to periplasm)</t>
  </si>
  <si>
    <t xml:space="preserve">indole_e  -&gt; indole_p </t>
  </si>
  <si>
    <t>L_LACtex_f</t>
  </si>
  <si>
    <t>L-lactate transport via diffusion (extracellular to periplasm)</t>
  </si>
  <si>
    <t xml:space="preserve">lac__L_e  -&gt; lac__L_p </t>
  </si>
  <si>
    <t>ACt4pp</t>
  </si>
  <si>
    <t>Na+/Acetate symport (periplasm)</t>
  </si>
  <si>
    <t xml:space="preserve">na1_p + ac_p  -&gt; ac_c + na1_c </t>
  </si>
  <si>
    <t>ADEt2rpp_f</t>
  </si>
  <si>
    <t>Adenine transport via proton symport (reversible) (periplasm)</t>
  </si>
  <si>
    <t xml:space="preserve">h_p + ade_p  -&gt; h_c + ade_c </t>
  </si>
  <si>
    <t>ADNt2pp_copy1</t>
  </si>
  <si>
    <t>Adenosine transport in via proton symport (periplasm)</t>
  </si>
  <si>
    <t xml:space="preserve">h_p + adn_p  -&gt; h_c + adn_c </t>
  </si>
  <si>
    <t>ADNt2pp_copy2_f</t>
  </si>
  <si>
    <t>ALAabcpp</t>
  </si>
  <si>
    <t>L-alanine transport via ABC system (periplasm)</t>
  </si>
  <si>
    <t xml:space="preserve">atp_c + h2o_c + ala__L_p  -&gt; h_c + adp_c + pi_c + ala__L_c </t>
  </si>
  <si>
    <t>ALLabcpp</t>
  </si>
  <si>
    <t>D-allose transport via ABC system (periplasm)</t>
  </si>
  <si>
    <t xml:space="preserve">all__D_p + atp_c + h2o_c  -&gt; h_c + all__D_c + adp_c + pi_c </t>
  </si>
  <si>
    <t>ALLTNt2rpp_f</t>
  </si>
  <si>
    <t>Allantoin transport in via proton symport (periplasm)</t>
  </si>
  <si>
    <t xml:space="preserve">h_p + alltn_p  -&gt; h_c + alltn_c </t>
  </si>
  <si>
    <t>ARBabcpp</t>
  </si>
  <si>
    <t>L-arabinose transport via ABC system (periplasm)</t>
  </si>
  <si>
    <t xml:space="preserve">atp_c + h2o_c + arab__L_p  -&gt; h_c + adp_c + pi_c + arab__L_c </t>
  </si>
  <si>
    <t>ECOAH8_f</t>
  </si>
  <si>
    <t>3-hydroxyacyl-CoA dehydratase (3-hydroxyoctadecanoyl-CoA)</t>
  </si>
  <si>
    <t xml:space="preserve">3hodcoa_c  -&gt; od2coa_c + h2o_c </t>
  </si>
  <si>
    <t>GLCDpp</t>
  </si>
  <si>
    <t>Glucose dehydrogenase (ubiquinone-8 as acceptor) (periplasm)</t>
  </si>
  <si>
    <t xml:space="preserve">h2o_p + q8_c + glc__D_p  -&gt; h_p + glcn_p + q8h2_c </t>
  </si>
  <si>
    <t>1.1.5.2</t>
  </si>
  <si>
    <t>GUAtpp_f</t>
  </si>
  <si>
    <t>Guanine transport via diffusion (periplasm)</t>
  </si>
  <si>
    <t xml:space="preserve">gua_p  -&gt; gua_c </t>
  </si>
  <si>
    <t>HYD2pp</t>
  </si>
  <si>
    <t>Hydrogenase (menaquinone8: 2 protons) (periplasm)</t>
  </si>
  <si>
    <t xml:space="preserve">2 h_c + mqn8_c + h2_c  -&gt; 2 h_p + mql8_c </t>
  </si>
  <si>
    <t>1.12.99.6</t>
  </si>
  <si>
    <t>HYXNtpp_f</t>
  </si>
  <si>
    <t>Hypoxanthine transport (periplasm)</t>
  </si>
  <si>
    <t xml:space="preserve">hxan_p  -&gt; hxan_c </t>
  </si>
  <si>
    <t>FE3DCITabcpp</t>
  </si>
  <si>
    <t>Iron transport from ferric-dicitrate via ABC system (periplasm)</t>
  </si>
  <si>
    <t xml:space="preserve">atp_c + h2o_c + fe3dcit_p  -&gt; h_c + adp_c + pi_c + fe3_c + 2 cit_c </t>
  </si>
  <si>
    <t>CPGNtonex</t>
  </si>
  <si>
    <t>Coprogen transport via ton system (extracellular)</t>
  </si>
  <si>
    <t xml:space="preserve">h_p + cpgn_e  -&gt; h_c + cpgn_p </t>
  </si>
  <si>
    <t>GLCRtex_f</t>
  </si>
  <si>
    <t>D-glucarate transport via diffusion (extracellular to periplasm)</t>
  </si>
  <si>
    <t xml:space="preserve">glcr_e  -&gt; glcr_p </t>
  </si>
  <si>
    <t>GLCNtex_f</t>
  </si>
  <si>
    <t>D-gluconate transport via diffusion (extracellular to periplasm)</t>
  </si>
  <si>
    <t xml:space="preserve">glcn_e  -&gt; glcn_p </t>
  </si>
  <si>
    <t>GLCURtex_f</t>
  </si>
  <si>
    <t>D-glucuronat transport via diffusion (extracellular to periplasm)</t>
  </si>
  <si>
    <t xml:space="preserve">glcur_e  -&gt; glcur_p </t>
  </si>
  <si>
    <t>GLNtex_f</t>
  </si>
  <si>
    <t>L-glutamine transport via diffusion (extracellular to periplasm)</t>
  </si>
  <si>
    <t xml:space="preserve">gln__L_e  -&gt; gln__L_p </t>
  </si>
  <si>
    <t>O2tex_f</t>
  </si>
  <si>
    <t>Oxygen transport via diffusion (extracellular to periplasm)</t>
  </si>
  <si>
    <t xml:space="preserve">o2_e  -&gt; o2_p </t>
  </si>
  <si>
    <t>OCTAtex_f</t>
  </si>
  <si>
    <t>Octanoate transport via diffusion (extracellular to periplasm)</t>
  </si>
  <si>
    <t xml:space="preserve">octa_e  -&gt; octa_p </t>
  </si>
  <si>
    <t>ORNtex_f</t>
  </si>
  <si>
    <t>Ornithine transport via diffusion (extracellular to periplasm)</t>
  </si>
  <si>
    <t xml:space="preserve">orn_e  -&gt; orn_p </t>
  </si>
  <si>
    <t>ECOAH5_f</t>
  </si>
  <si>
    <t>3-hydroxyacyl-CoA dehydratase (3-hydroxydodecanoyl-CoA)</t>
  </si>
  <si>
    <t xml:space="preserve">3hddcoa_c  -&gt; h2o_c + dd2coa_c </t>
  </si>
  <si>
    <t>DHFS</t>
  </si>
  <si>
    <t>Dihydrofolate synthase</t>
  </si>
  <si>
    <t xml:space="preserve">atp_c + glu__L_c + dhpt_c  -&gt; h_c + adp_c + pi_c + dhf_c </t>
  </si>
  <si>
    <t>6.3.2.17</t>
  </si>
  <si>
    <t>CITt7pp</t>
  </si>
  <si>
    <t>Citrate transport via succinate antiport (periplasm)</t>
  </si>
  <si>
    <t xml:space="preserve">cit_p + succ_c  -&gt; succ_p + cit_c </t>
  </si>
  <si>
    <t>CRNt7pp</t>
  </si>
  <si>
    <t>Carnitine/butyrobetaine antiporter (periplasm)</t>
  </si>
  <si>
    <t xml:space="preserve">gbbtn_c + crn_p  -&gt; gbbtn_p + crn_c </t>
  </si>
  <si>
    <t>CHLabcpp</t>
  </si>
  <si>
    <t>Choline transport via ABC system (periplasm)</t>
  </si>
  <si>
    <t xml:space="preserve">atp_c + chol_p + h2o_c  -&gt; h_c + chol_c + adp_c + pi_c </t>
  </si>
  <si>
    <t>DGSNt2pp</t>
  </si>
  <si>
    <t>Deoxyguanosine transport in via proton symport (periplasm)</t>
  </si>
  <si>
    <t xml:space="preserve">h_p + dgsn_p  -&gt; h_c + dgsn_c </t>
  </si>
  <si>
    <t>DINSt2pp</t>
  </si>
  <si>
    <t>Deoxyinosine transport in via proton symport (periplasm)</t>
  </si>
  <si>
    <t xml:space="preserve">din_p + h_p  -&gt; h_c + din_c </t>
  </si>
  <si>
    <t>DURIt2pp</t>
  </si>
  <si>
    <t>Deoxyuridine transport in via proton symport (periplasm)</t>
  </si>
  <si>
    <t xml:space="preserve">h_p + duri_p  -&gt; h_c + duri_c </t>
  </si>
  <si>
    <t>FE2abcpp</t>
  </si>
  <si>
    <t>Iron (II) transport via ABC system (periplasm)</t>
  </si>
  <si>
    <t xml:space="preserve">fe2_p + atp_c + h2o_c  -&gt; h_c + adp_c + pi_c + fe2_c </t>
  </si>
  <si>
    <t>FRUptspp</t>
  </si>
  <si>
    <t>D-fructose transport via PEP:Pyr PTS (periplasm)</t>
  </si>
  <si>
    <t xml:space="preserve">pep_c + fru_p  -&gt; f1p_c + pyr_c </t>
  </si>
  <si>
    <t>2.7.1.202</t>
  </si>
  <si>
    <t>FUCtpp_f</t>
  </si>
  <si>
    <t>L-fucose transport via proton symport (periplasm)</t>
  </si>
  <si>
    <t xml:space="preserve">h_p + fuc__L_p  -&gt; h_c + fuc__L_c </t>
  </si>
  <si>
    <t>FUMt2_2pp</t>
  </si>
  <si>
    <t>Fumarate transport via proton symport (2 H) (periplasm)</t>
  </si>
  <si>
    <t xml:space="preserve">fum_p + 2 h_p  -&gt; 2 h_c + fum_c </t>
  </si>
  <si>
    <t>FUMt2_3pp</t>
  </si>
  <si>
    <t>Fumarate transport via proton symport (3 H) (periplasm)</t>
  </si>
  <si>
    <t xml:space="preserve">fum_p + 3 h_p  -&gt; 3 h_c + fum_c </t>
  </si>
  <si>
    <t>FEENTERtonex</t>
  </si>
  <si>
    <t>Fe-enterobactin transport via ton system (extracellular)</t>
  </si>
  <si>
    <t xml:space="preserve">feenter_e + h_p  -&gt; h_c + feenter_p </t>
  </si>
  <si>
    <t>CSNt2pp</t>
  </si>
  <si>
    <t>Cytosine transport in via proton symport (periplasm)</t>
  </si>
  <si>
    <t xml:space="preserve">h_p + csn_p  -&gt; h_c + csn_c </t>
  </si>
  <si>
    <t>CYNTt2pp</t>
  </si>
  <si>
    <t>Cyanate transport via proton symport (periplasm)</t>
  </si>
  <si>
    <t xml:space="preserve">h_p + cynt_p  -&gt; h_c + cynt_c </t>
  </si>
  <si>
    <t>CYTDt2pp_copy1</t>
  </si>
  <si>
    <t>Cytidine transport in via proton symport (periplasm)</t>
  </si>
  <si>
    <t xml:space="preserve">h_p + cytd_p  -&gt; h_c + cytd_c </t>
  </si>
  <si>
    <t>CYTDt2pp_copy2_f</t>
  </si>
  <si>
    <t>DADNt2pp</t>
  </si>
  <si>
    <t>Deoxyadenosine transport in via proton symport (periplasm)</t>
  </si>
  <si>
    <t xml:space="preserve">h_p + dad_2_p  -&gt; h_c + dad_2_c </t>
  </si>
  <si>
    <t>DCYTt2pp</t>
  </si>
  <si>
    <t>Deoxycytidine transport in via proton symport (periplasm)</t>
  </si>
  <si>
    <t xml:space="preserve">dcyt_p + h_p  -&gt; h_c + dcyt_c </t>
  </si>
  <si>
    <t>DDGLCNt2rpp_f</t>
  </si>
  <si>
    <t>2-dehydro-3-deoxy-D-gluconate transport via proton symport, reversible (periplasm)</t>
  </si>
  <si>
    <t xml:space="preserve">h_p + 2ddglcn_p  -&gt; h_c + 2ddglcn_c </t>
  </si>
  <si>
    <t>RMNtex_f</t>
  </si>
  <si>
    <t>L-rhamnose transport via diffusion (extracellular to periplasm)</t>
  </si>
  <si>
    <t xml:space="preserve">rmn_e  -&gt; rmn_p </t>
  </si>
  <si>
    <t>MALTTRtexi</t>
  </si>
  <si>
    <t>Maltotriose transport via diffusion (extracellular to periplasm) irreversible</t>
  </si>
  <si>
    <t xml:space="preserve">malttr_e  -&gt; malttr_p </t>
  </si>
  <si>
    <t>MALTTTRtexi</t>
  </si>
  <si>
    <t>MaltotetraoseMaltotriose transport via diffusion (extracellular to periplasm) irreversible</t>
  </si>
  <si>
    <t xml:space="preserve">maltttr_e  -&gt; maltttr_p </t>
  </si>
  <si>
    <t>MALTPTtexi</t>
  </si>
  <si>
    <t>MaltopentaoseMaltotriose transport via diffusion (extracellular to periplasm) irreversible</t>
  </si>
  <si>
    <t xml:space="preserve">maltpt_e  -&gt; maltpt_p </t>
  </si>
  <si>
    <t>MALTtexi</t>
  </si>
  <si>
    <t>MaltoseMaltotriose transport via diffusion (extracellular to periplasm) irreversible</t>
  </si>
  <si>
    <t xml:space="preserve">malt_e  -&gt; malt_p </t>
  </si>
  <si>
    <t>GLCtex_copy1</t>
  </si>
  <si>
    <t>Glucose transport via diffusion (extracellular to periplasm)</t>
  </si>
  <si>
    <t xml:space="preserve">glc__D_e  -&gt; glc__D_p </t>
  </si>
  <si>
    <t>FE3DCITtonex</t>
  </si>
  <si>
    <t>Ferric-dicitrate transport via ton system (extracellular)</t>
  </si>
  <si>
    <t xml:space="preserve">h_p + fe3dcit_e  -&gt; h_c + fe3dcit_p </t>
  </si>
  <si>
    <t>PHEtex_f</t>
  </si>
  <si>
    <t>L-phenylalanine transport via diffusion (extracellular to periplasm)</t>
  </si>
  <si>
    <t xml:space="preserve">phe__L_e  -&gt; phe__L_p </t>
  </si>
  <si>
    <t>PItex_f</t>
  </si>
  <si>
    <t>Phosphate transport via diffusion (extracellular to periplasm)</t>
  </si>
  <si>
    <t xml:space="preserve">pi_e  -&gt; pi_p </t>
  </si>
  <si>
    <t>ACGAMK</t>
  </si>
  <si>
    <t>N-acetylglucosamine kinase</t>
  </si>
  <si>
    <t xml:space="preserve">atp_c + acgam_c  -&gt; h_c + acgam6p_c + adp_c </t>
  </si>
  <si>
    <t>2.7.1.59</t>
  </si>
  <si>
    <t>METS</t>
  </si>
  <si>
    <t>Methionine synthase</t>
  </si>
  <si>
    <t xml:space="preserve">5mthf_c + hcys__L_c  -&gt; h_c + met__L_c + thf_c </t>
  </si>
  <si>
    <t>2.1.1.13</t>
  </si>
  <si>
    <t>CYSabc2pp</t>
  </si>
  <si>
    <t>L-cysteine export via ABC system (cytoplasm to periplasm)</t>
  </si>
  <si>
    <t xml:space="preserve">cys__L_c + atp_c + h2o_c  -&gt; h_c + adp_c + pi_c + cys__L_p </t>
  </si>
  <si>
    <t>PRASCSi</t>
  </si>
  <si>
    <t>Phosphoribosylaminoimidazolesuccinocarboxamide synthase</t>
  </si>
  <si>
    <t xml:space="preserve">5aizc_c + asp__L_c + atp_c  -&gt; h_c + adp_c + pi_c + 25aics_c </t>
  </si>
  <si>
    <t>6.3.2.6</t>
  </si>
  <si>
    <t>TRSARr_f</t>
  </si>
  <si>
    <t>Tartronate semialdehyde reductase</t>
  </si>
  <si>
    <t xml:space="preserve">h_c + 2h3oppan_c + nadh_c  -&gt; nad_c + glyc__R_c </t>
  </si>
  <si>
    <t>1.1.1.60</t>
  </si>
  <si>
    <t>LYXI</t>
  </si>
  <si>
    <t>Lyxose isomerase</t>
  </si>
  <si>
    <t xml:space="preserve">lyx__L_c  -&gt; xylu__L_c </t>
  </si>
  <si>
    <t>PNTOtex_f</t>
  </si>
  <si>
    <t>Pantothenate transport via diffusion (extracellular to periplasm)</t>
  </si>
  <si>
    <t xml:space="preserve">pnto__R_e  -&gt; pnto__R_p </t>
  </si>
  <si>
    <t>PPPNtex_f</t>
  </si>
  <si>
    <t>3-phenylpropionate transport via diffusion (extracellular to periplasm)</t>
  </si>
  <si>
    <t xml:space="preserve">pppn_e  -&gt; pppn_p </t>
  </si>
  <si>
    <t>PPTtex_f</t>
  </si>
  <si>
    <t>Phosphonate transport via diffusion (extracellular to periplasm)</t>
  </si>
  <si>
    <t xml:space="preserve">ppt_e  -&gt; ppt_p </t>
  </si>
  <si>
    <t>PTRCtex_f</t>
  </si>
  <si>
    <t>Putrescine transport via diffusion (extracellular to periplasm)</t>
  </si>
  <si>
    <t xml:space="preserve">ptrc_e  -&gt; ptrc_p </t>
  </si>
  <si>
    <t>PYRtex_f</t>
  </si>
  <si>
    <t>Pyruvate transport via diffusion (extracellular to periplasm)</t>
  </si>
  <si>
    <t xml:space="preserve">pyr_e  -&gt; pyr_p </t>
  </si>
  <si>
    <t>DSERtex_f</t>
  </si>
  <si>
    <t>D-serine transport via diffusion (extracellular to periplasm)</t>
  </si>
  <si>
    <t xml:space="preserve">ser__D_e  -&gt; ser__D_p </t>
  </si>
  <si>
    <t>SERtex_f</t>
  </si>
  <si>
    <t>L-serine transport via diffusion (extracellular to periplasm)</t>
  </si>
  <si>
    <t xml:space="preserve">ser__L_e  -&gt; ser__L_p </t>
  </si>
  <si>
    <t>SO4tex_f</t>
  </si>
  <si>
    <t>Sulfate transport via diffusion (extracellular to periplasm)</t>
  </si>
  <si>
    <t xml:space="preserve">so4_e  -&gt; so4_p </t>
  </si>
  <si>
    <t>SPMDtex_f</t>
  </si>
  <si>
    <t>Spermidine transport via diffusion (extracellular to periplasm)</t>
  </si>
  <si>
    <t xml:space="preserve">spmd_e  -&gt; spmd_p </t>
  </si>
  <si>
    <t>SUCCtex_f</t>
  </si>
  <si>
    <t>Succinate transport via diffusion (extracellular to periplasm)</t>
  </si>
  <si>
    <t xml:space="preserve">succ_e  -&gt; succ_p </t>
  </si>
  <si>
    <t>SUCRtex_f</t>
  </si>
  <si>
    <t>Sucrose transport transport via diffusion (extracellular to periplasm)</t>
  </si>
  <si>
    <t xml:space="preserve">sucr_e  -&gt; sucr_p </t>
  </si>
  <si>
    <t>TARTRtex_f</t>
  </si>
  <si>
    <t>Tartrate transport via diffusion (extracellular to periplasm)</t>
  </si>
  <si>
    <t xml:space="preserve">tartr__L_e  -&gt; tartr__L_p </t>
  </si>
  <si>
    <t>TAURtex_f</t>
  </si>
  <si>
    <t>Taurine transport via diffusion (extracellular to periplasm)</t>
  </si>
  <si>
    <t xml:space="preserve">taur_e  -&gt; taur_p </t>
  </si>
  <si>
    <t>THRtex_f</t>
  </si>
  <si>
    <t>L-threonine transport via diffusion (extracellular to periplasm)</t>
  </si>
  <si>
    <t xml:space="preserve">thr__L_e  -&gt; thr__L_p </t>
  </si>
  <si>
    <t>THMDtex_f</t>
  </si>
  <si>
    <t>Thymidine transport via diffusion (extracellular to periplasm)</t>
  </si>
  <si>
    <t xml:space="preserve">thymd_e  -&gt; thymd_p </t>
  </si>
  <si>
    <t>CBIuabcpp</t>
  </si>
  <si>
    <t>Cobinamide transport via ABC system (uptake, periplasm)</t>
  </si>
  <si>
    <t xml:space="preserve">cbi_p + atp_c + h2o_c  -&gt; h_c + adp_c + pi_c + cbi_c </t>
  </si>
  <si>
    <t>METDtex_f</t>
  </si>
  <si>
    <t>D-methionine transport via diffusion (extracellular to periplasm)</t>
  </si>
  <si>
    <t xml:space="preserve">met__D_e  -&gt; met__D_p </t>
  </si>
  <si>
    <t>METtex_f</t>
  </si>
  <si>
    <t>L-methionine transport via diffusion (extracellular to periplasm)</t>
  </si>
  <si>
    <t xml:space="preserve">met__L_e  -&gt; met__L_p </t>
  </si>
  <si>
    <t>MNLtex_f</t>
  </si>
  <si>
    <t>Mannitol transport via diffusion (extracellular to periplasm)</t>
  </si>
  <si>
    <t xml:space="preserve">mnl_e  -&gt; mnl_p </t>
  </si>
  <si>
    <t>NAtex_f</t>
  </si>
  <si>
    <t>Sodium transport via diffusion (extracellular to periplasm)</t>
  </si>
  <si>
    <t xml:space="preserve">na1_e  -&gt; na1_p </t>
  </si>
  <si>
    <t>NACtex_f</t>
  </si>
  <si>
    <t>Nicotinic acid transport via diffusion (extracellular to periplasm)</t>
  </si>
  <si>
    <t xml:space="preserve">nac_e  -&gt; nac_p </t>
  </si>
  <si>
    <t>NH4tex_f</t>
  </si>
  <si>
    <t>Ammonia transport via diffusion (extracellular to periplasm)</t>
  </si>
  <si>
    <t xml:space="preserve">nh4_e  -&gt; nh4_p </t>
  </si>
  <si>
    <t>URIH</t>
  </si>
  <si>
    <t>Uridine hydrolase</t>
  </si>
  <si>
    <t xml:space="preserve">uri_c + h2o_c  -&gt; rib__D_c + ura_c </t>
  </si>
  <si>
    <t>XTSNH</t>
  </si>
  <si>
    <t>Xanthosine hydrolase</t>
  </si>
  <si>
    <t xml:space="preserve">xtsn_c + h2o_c  -&gt; rib__D_c + xan_c </t>
  </si>
  <si>
    <t>INSH</t>
  </si>
  <si>
    <t>Inosine hydrolase</t>
  </si>
  <si>
    <t xml:space="preserve">ins_c + h2o_c  -&gt; rib__D_c + hxan_c </t>
  </si>
  <si>
    <t>BUTtex_f</t>
  </si>
  <si>
    <t>Butyrate transport via diffusion (extracellular to periplasm)</t>
  </si>
  <si>
    <t xml:space="preserve">but_e  -&gt; but_p </t>
  </si>
  <si>
    <t>CHLtex_f</t>
  </si>
  <si>
    <t>Choline transport via diffusion (extracellular to periplasm)</t>
  </si>
  <si>
    <t xml:space="preserve">chol_e  -&gt; chol_p </t>
  </si>
  <si>
    <t>CO2tex_f</t>
  </si>
  <si>
    <t>CO2 transport via diffusion (extracellular to periplasm)</t>
  </si>
  <si>
    <t xml:space="preserve">co2_e  -&gt; co2_p </t>
  </si>
  <si>
    <t>CRNtex_f</t>
  </si>
  <si>
    <t>L-carnitine transport via diffusion (extracellular to periplasm)</t>
  </si>
  <si>
    <t xml:space="preserve">crn_e  -&gt; crn_p </t>
  </si>
  <si>
    <t>PPK2</t>
  </si>
  <si>
    <t>Polyphosphate kinase</t>
  </si>
  <si>
    <t xml:space="preserve">atp_c + ppi_c  -&gt; pppi_c + adp_c </t>
  </si>
  <si>
    <t>2.7.4.1</t>
  </si>
  <si>
    <t>DINStex_f</t>
  </si>
  <si>
    <t>Deoxyinosine transport via diffusion (extracellular to periplasm)</t>
  </si>
  <si>
    <t xml:space="preserve">din_e  -&gt; din_p </t>
  </si>
  <si>
    <t>DMStex_f</t>
  </si>
  <si>
    <t>Dimethyl sulfide transport via diffusion (extracellular to periplasm)</t>
  </si>
  <si>
    <t xml:space="preserve">dms_e  -&gt; dms_p </t>
  </si>
  <si>
    <t>CSNtex_f</t>
  </si>
  <si>
    <t>Cytosine transport via diffusion (extracellular to periplasm)</t>
  </si>
  <si>
    <t xml:space="preserve">csn_e  -&gt; csn_p </t>
  </si>
  <si>
    <t>CYNTtex_f</t>
  </si>
  <si>
    <t>Cyanate transport via diffusion (extracellular to periplasm)</t>
  </si>
  <si>
    <t xml:space="preserve">cynt_e  -&gt; cynt_p </t>
  </si>
  <si>
    <t>CYStex_f</t>
  </si>
  <si>
    <t>L-cysteine transport via diffusion (extracellular to periplasm)</t>
  </si>
  <si>
    <t xml:space="preserve">cys__L_e  -&gt; cys__L_p </t>
  </si>
  <si>
    <t>CYTDtex_f</t>
  </si>
  <si>
    <t>Cytidine transport via diffusion (extracellular to periplasm)</t>
  </si>
  <si>
    <t xml:space="preserve">cytd_e  -&gt; cytd_p </t>
  </si>
  <si>
    <t>DCAtex_f</t>
  </si>
  <si>
    <t>Decanoate transport via diffusion (extracellular to periplasm)</t>
  </si>
  <si>
    <t xml:space="preserve">dca_e  -&gt; dca_p </t>
  </si>
  <si>
    <t>DCYTtex_f</t>
  </si>
  <si>
    <t>Deoxycytidine transport via diffusion (extracellular to periplasm)</t>
  </si>
  <si>
    <t xml:space="preserve">dcyt_e  -&gt; dcyt_p </t>
  </si>
  <si>
    <t>DGSNtex_f</t>
  </si>
  <si>
    <t>Deoxyguanosine transport via diffusion (extracellular to periplasm)</t>
  </si>
  <si>
    <t xml:space="preserve">dgsn_e  -&gt; dgsn_p </t>
  </si>
  <si>
    <t>MTHFR2</t>
  </si>
  <si>
    <t>5,10-methylenetetrahydrofolate reductase (NADH)</t>
  </si>
  <si>
    <t xml:space="preserve">2 h_c + mlthf_c + nadh_c  -&gt; nad_c + 5mthf_c </t>
  </si>
  <si>
    <t>1.5.1.20</t>
  </si>
  <si>
    <t>ASPO3</t>
  </si>
  <si>
    <t>L-aspartate oxidase</t>
  </si>
  <si>
    <t xml:space="preserve">asp__L_c + q8_c  -&gt; h_c + q8h2_c + iasp_c </t>
  </si>
  <si>
    <t>1.4.3.16</t>
  </si>
  <si>
    <t>ASPO5</t>
  </si>
  <si>
    <t xml:space="preserve">asp__L_c + fum_c  -&gt; h_c + iasp_c + succ_c </t>
  </si>
  <si>
    <t>ASPO4</t>
  </si>
  <si>
    <t xml:space="preserve">asp__L_c + mqn8_c  -&gt; h_c + iasp_c + mql8_c </t>
  </si>
  <si>
    <t>ASPO6</t>
  </si>
  <si>
    <t xml:space="preserve">asp__L_c + o2_c  -&gt; h_c + h2o2_c + iasp_c </t>
  </si>
  <si>
    <t>LCTStex_f</t>
  </si>
  <si>
    <t>Lactose transport via diffusion (extracellular to periplasm)</t>
  </si>
  <si>
    <t xml:space="preserve">lcts_e  -&gt; lcts_p </t>
  </si>
  <si>
    <t>LEUtex_f</t>
  </si>
  <si>
    <t>L-leucine transport via diffusion (extracellular to periplasm)</t>
  </si>
  <si>
    <t xml:space="preserve">leu__L_e  -&gt; leu__L_p </t>
  </si>
  <si>
    <t>LYStex_f</t>
  </si>
  <si>
    <t>L-lysine transport via diffusion (extracellular to periplasm)</t>
  </si>
  <si>
    <t xml:space="preserve">lys__L_e  -&gt; lys__L_p </t>
  </si>
  <si>
    <t>LYXtex_f</t>
  </si>
  <si>
    <t>L-Lyxose transport via diffusion (extracellular to periplasm)</t>
  </si>
  <si>
    <t xml:space="preserve">lyx__L_e  -&gt; lyx__L_p </t>
  </si>
  <si>
    <t>MANtex_f</t>
  </si>
  <si>
    <t>D-mannose transport via diffusion (extracellular to periplasm)</t>
  </si>
  <si>
    <t xml:space="preserve">man_e  -&gt; man_p </t>
  </si>
  <si>
    <t>MAN6Ptex_f</t>
  </si>
  <si>
    <t>Mannose 6-phosphate transport via diffusion (extracellular to periplasm)</t>
  </si>
  <si>
    <t xml:space="preserve">man6p_e  -&gt; man6p_p </t>
  </si>
  <si>
    <t>MELIBtex_f</t>
  </si>
  <si>
    <t>Melibiose transport via diffusion (extracellular to periplasm)</t>
  </si>
  <si>
    <t xml:space="preserve">melib_e  -&gt; melib_p </t>
  </si>
  <si>
    <t>DMSOtex_f</t>
  </si>
  <si>
    <t>Dimethyl sulfoxide transport via diffusion (extracellular to periplasm)</t>
  </si>
  <si>
    <t xml:space="preserve">dmso_e  -&gt; dmso_p </t>
  </si>
  <si>
    <t>DURItex_f</t>
  </si>
  <si>
    <t>Deoxyuridine transport via diffusion (extracellular to periplasm)</t>
  </si>
  <si>
    <t xml:space="preserve">duri_e  -&gt; duri_p </t>
  </si>
  <si>
    <t>FRUtex_f</t>
  </si>
  <si>
    <t>D-fructose transport via diffusion (extracellular to periplasm)</t>
  </si>
  <si>
    <t xml:space="preserve">fru_e  -&gt; fru_p </t>
  </si>
  <si>
    <t>FUCtex_f</t>
  </si>
  <si>
    <t>L-fucose transport via diffusion (extracellular to periplasm)</t>
  </si>
  <si>
    <t xml:space="preserve">fuc__L_e  -&gt; fuc__L_p </t>
  </si>
  <si>
    <t>FUMtex_f</t>
  </si>
  <si>
    <t>Fumarate transport via diffusion (extracellular to periplasm)</t>
  </si>
  <si>
    <t xml:space="preserve">fum_e  -&gt; fum_p </t>
  </si>
  <si>
    <t>ACACT5r_f</t>
  </si>
  <si>
    <t>Acetyl-CoA C-acyltransferase (decanoyl-CoA) (r)</t>
  </si>
  <si>
    <t xml:space="preserve">accoa_c + dcacoa_c  -&gt; 3oddcoa_c + coa_c </t>
  </si>
  <si>
    <t>MALDDH</t>
  </si>
  <si>
    <t>Malate decarboxylating oxidoreductase (decarboxylating)</t>
  </si>
  <si>
    <t xml:space="preserve">nad_c + mal__D_c  -&gt; pyr_c + nadh_c + co2_c </t>
  </si>
  <si>
    <t>1.1.1.83</t>
  </si>
  <si>
    <t>FE2tex_f</t>
  </si>
  <si>
    <t>Iron (II) transport via diffusion (extracellular to periplasm)</t>
  </si>
  <si>
    <t xml:space="preserve">fe2_e  -&gt; fe2_p </t>
  </si>
  <si>
    <t>NMNtex_f</t>
  </si>
  <si>
    <t>NMN transport via diffusion (extracellular to periplasm)</t>
  </si>
  <si>
    <t xml:space="preserve">nmn_e  -&gt; nmn_p </t>
  </si>
  <si>
    <t>NO2tex_f</t>
  </si>
  <si>
    <t>Nitrite transport via diffusion (extracellular to periplasm)</t>
  </si>
  <si>
    <t xml:space="preserve">no2_e  -&gt; no2_p </t>
  </si>
  <si>
    <t>DHPS2</t>
  </si>
  <si>
    <t>Dihydropteroate synthase</t>
  </si>
  <si>
    <t xml:space="preserve">6hmhptpp_c + 4abz_c  -&gt; ppi_c + dhpt_c </t>
  </si>
  <si>
    <t>2.5.1.15</t>
  </si>
  <si>
    <t>MTHFC_f</t>
  </si>
  <si>
    <t>Methenyltetrahydrofolate cyclohydrolase</t>
  </si>
  <si>
    <t xml:space="preserve">h2o_c + methf_c  -&gt; h_c + 10fthf_c </t>
  </si>
  <si>
    <t>3.5.4.9</t>
  </si>
  <si>
    <t>MTHFD_f</t>
  </si>
  <si>
    <t>Methylenetetrahydrofolate dehydrogenase (NADP)</t>
  </si>
  <si>
    <t xml:space="preserve">nadp_c + mlthf_c  -&gt; methf_c + nadph_c </t>
  </si>
  <si>
    <t>1.5.1.5</t>
  </si>
  <si>
    <t>BUTt2rpp_f</t>
  </si>
  <si>
    <t>Butyrate transport via proton symport, reversible (periplasm)</t>
  </si>
  <si>
    <t xml:space="preserve">h_p + but_p  -&gt; h_c + but_c </t>
  </si>
  <si>
    <t>CADVtpp</t>
  </si>
  <si>
    <t>Lysine/Cadaverine antiporter (periplasm)</t>
  </si>
  <si>
    <t xml:space="preserve">h_p + 15dap_c + lys__L_p  -&gt; h_c + 15dap_p + lys__L_c </t>
  </si>
  <si>
    <t>QULNS</t>
  </si>
  <si>
    <t>Quinolinate synthase</t>
  </si>
  <si>
    <t xml:space="preserve">dhap_c + iasp_c  -&gt; quln_c + pi_c + 2 h2o_c </t>
  </si>
  <si>
    <t>2.5.1.72</t>
  </si>
  <si>
    <t>ALKP</t>
  </si>
  <si>
    <t>Alkaline phosphatase</t>
  </si>
  <si>
    <t xml:space="preserve">dhap_c + h2o_c  -&gt; pi_c + dha_c </t>
  </si>
  <si>
    <t>3.1.3.-</t>
  </si>
  <si>
    <t>GDPtex_f</t>
  </si>
  <si>
    <t>GDP transport via diffusion (extracellular to periplasm)</t>
  </si>
  <si>
    <t xml:space="preserve">gdp_e  -&gt; gdp_p </t>
  </si>
  <si>
    <t>TMAtex_f</t>
  </si>
  <si>
    <t>Trimethylamine transport via diffusion (extracellular to periplasm)</t>
  </si>
  <si>
    <t xml:space="preserve">tma_e  -&gt; tma_p </t>
  </si>
  <si>
    <t>TMAOtex_f</t>
  </si>
  <si>
    <t>Trimethylamine N-oxide transport via diffusion (extracellular to periplasm)</t>
  </si>
  <si>
    <t xml:space="preserve">tmao_e  -&gt; tmao_p </t>
  </si>
  <si>
    <t>TREtex_f</t>
  </si>
  <si>
    <t>Trehalose transport via diffusion (extracellular to periplasm)</t>
  </si>
  <si>
    <t xml:space="preserve">tre_e  -&gt; tre_p </t>
  </si>
  <si>
    <t>L_LACD3</t>
  </si>
  <si>
    <t>L-Lactate dehydrogenase (menaquinone)</t>
  </si>
  <si>
    <t xml:space="preserve">mqn8_c + lac__L_c  -&gt; mql8_c + pyr_c </t>
  </si>
  <si>
    <t>1.1.-.-</t>
  </si>
  <si>
    <t>L_LACD2</t>
  </si>
  <si>
    <t>L-Lactate dehydrogenase (ubiquinone)</t>
  </si>
  <si>
    <t xml:space="preserve">q8_c + lac__L_c  -&gt; q8h2_c + pyr_c </t>
  </si>
  <si>
    <t>ACACT6r_f</t>
  </si>
  <si>
    <t>Acetyl-CoA C-acyltransferase (dodecanoyl-CoA) (r)</t>
  </si>
  <si>
    <t xml:space="preserve">accoa_c + ddcacoa_c  -&gt; 3otdcoa_c + coa_c </t>
  </si>
  <si>
    <t>TRPtex_f</t>
  </si>
  <si>
    <t>L-tryptophan transport via diffusion (extracellular to periplasm)</t>
  </si>
  <si>
    <t xml:space="preserve">trp__L_e  -&gt; trp__L_p </t>
  </si>
  <si>
    <t>TSULtex_f</t>
  </si>
  <si>
    <t>Thiosulfate transport via diffusion (extracellular to periplasm)</t>
  </si>
  <si>
    <t xml:space="preserve">tsul_e  -&gt; tsul_p </t>
  </si>
  <si>
    <t>TYRtex_f</t>
  </si>
  <si>
    <t>L-tyrosine transport via diffusion (extracellular to periplasm)</t>
  </si>
  <si>
    <t xml:space="preserve">tyr__L_e  -&gt; tyr__L_p </t>
  </si>
  <si>
    <t>URAtex_f</t>
  </si>
  <si>
    <t>Uracil transport via diffusion (extracellular to periplasm)</t>
  </si>
  <si>
    <t xml:space="preserve">ura_e  -&gt; ura_p </t>
  </si>
  <si>
    <t>UREAtex_f</t>
  </si>
  <si>
    <t>Urea transport via diffusion (extracellular to periplasm)</t>
  </si>
  <si>
    <t xml:space="preserve">urea_e  -&gt; urea_p </t>
  </si>
  <si>
    <t>URItex_f</t>
  </si>
  <si>
    <t>Uridine transport via diffusion (extracellular to periplasm)</t>
  </si>
  <si>
    <t xml:space="preserve">uri_e  -&gt; uri_p </t>
  </si>
  <si>
    <t>VALtex_f</t>
  </si>
  <si>
    <t>L-valine transport via diffusion (extracellular to periplasm)</t>
  </si>
  <si>
    <t xml:space="preserve">val__L_e  -&gt; val__L_p </t>
  </si>
  <si>
    <t>XANtex_f</t>
  </si>
  <si>
    <t>Xanthine transport via diffusion (extracellular to periplasm)</t>
  </si>
  <si>
    <t xml:space="preserve">xan_e  -&gt; xan_p </t>
  </si>
  <si>
    <t>XYLtex_f</t>
  </si>
  <si>
    <t>D-xylose transport via diffusion (extracellular to periplasm)</t>
  </si>
  <si>
    <t xml:space="preserve">xyl__D_e  -&gt; xyl__D_p </t>
  </si>
  <si>
    <t>ABUTtex_f</t>
  </si>
  <si>
    <t>4-aminobutyrate transport via diffusion (extracellular to periplasm)</t>
  </si>
  <si>
    <t xml:space="preserve">4abut_e  -&gt; 4abut_p </t>
  </si>
  <si>
    <t>FORtppi</t>
  </si>
  <si>
    <t>Formate transport via diffusion (cytoplasm to periplasm)</t>
  </si>
  <si>
    <t xml:space="preserve">for_c  -&gt; for_p </t>
  </si>
  <si>
    <t>GLCTR1</t>
  </si>
  <si>
    <t>Glucosyltransferase I (LPS core synthesis)</t>
  </si>
  <si>
    <t xml:space="preserve">icolipa_c + udpg_c  -&gt; h_c + gicolipa_c + udp_c </t>
  </si>
  <si>
    <t>2.4.-.-</t>
  </si>
  <si>
    <t>LIPAabcpp</t>
  </si>
  <si>
    <t>Lipid A transport via ABC system (periplasm)</t>
  </si>
  <si>
    <t xml:space="preserve">lipa_c + atp_c + h2o_c  -&gt; h_c + adp_c + pi_c + lipa_p </t>
  </si>
  <si>
    <t>LIPACabcpp</t>
  </si>
  <si>
    <t>Lipid (cold) A transport via ABC system (periplasm)</t>
  </si>
  <si>
    <t xml:space="preserve">atp_c + h2o_c + lipa_cold_c  -&gt; h_c + adp_c + lipa_cold_p + pi_c </t>
  </si>
  <si>
    <t>GGGABADr_f</t>
  </si>
  <si>
    <t>Gamma-glutamyl-gamma aminobutyric acid dehydrogenase</t>
  </si>
  <si>
    <t xml:space="preserve">nadp_c + h2o_c + ggbutal_c  -&gt; gg4abut_c + 2 h_c + nadph_c </t>
  </si>
  <si>
    <t>1.2.1.5</t>
  </si>
  <si>
    <t>GLYOX3</t>
  </si>
  <si>
    <t>Glyoxalase III</t>
  </si>
  <si>
    <t xml:space="preserve">mthgxl_c + h2o_c  -&gt; h_c + lac__D_c </t>
  </si>
  <si>
    <t>4.2.1.130</t>
  </si>
  <si>
    <t>FDMO3</t>
  </si>
  <si>
    <t>FMNH2-dependent monooxygenase (ethanesulfonate)</t>
  </si>
  <si>
    <t xml:space="preserve">o2_c + fmnh2_c + ethso3_c  -&gt; h_c + so3_c + h2o_c + fmn_c + acald_c </t>
  </si>
  <si>
    <t>FDMO4</t>
  </si>
  <si>
    <t>FMNH2-dependent monooxygenase (butanesulfonate)</t>
  </si>
  <si>
    <t xml:space="preserve">o2_c + butso3_c + fmnh2_c  -&gt; h_c + btal_c + so3_c + h2o_c + fmn_c </t>
  </si>
  <si>
    <t>BUTSO3abcpp</t>
  </si>
  <si>
    <t>Butanesulfonate transport via ABC system (periplasm)</t>
  </si>
  <si>
    <t xml:space="preserve">atp_c + butso3_p + h2o_c  -&gt; h_c + adp_c + pi_c + butso3_c </t>
  </si>
  <si>
    <t>3.6.3.-, 3.6.3.36</t>
  </si>
  <si>
    <t>ETHSO3abcpp</t>
  </si>
  <si>
    <t>Ethanesulfonate transport via ABC system (periplasm)</t>
  </si>
  <si>
    <t xml:space="preserve">atp_c + h2o_c + ethso3_p  -&gt; h_c + adp_c + pi_c + ethso3_c </t>
  </si>
  <si>
    <t>O16GLCT1</t>
  </si>
  <si>
    <t>Glucosyltransferase I (LPS O16 antigen biosynthesis)</t>
  </si>
  <si>
    <t xml:space="preserve">udpg_c + aragund_c  -&gt; h_c + garagund_c + udp_c </t>
  </si>
  <si>
    <t>O16AP2pp</t>
  </si>
  <si>
    <t>O16 antigen polymerase (periplasm)</t>
  </si>
  <si>
    <t xml:space="preserve">o16aund_p + o16a2und_p  -&gt; udcpdp_p + h_p + o16a3und_p </t>
  </si>
  <si>
    <t>2.4.1.-</t>
  </si>
  <si>
    <t>O16AP3pp</t>
  </si>
  <si>
    <t xml:space="preserve">o16aund_p + o16a3und_p  -&gt; udcpdp_p + h_p + o16a4und_p </t>
  </si>
  <si>
    <t>O16A4Lpp</t>
  </si>
  <si>
    <t>O16 anitgen (x4) ligase (periplasm)</t>
  </si>
  <si>
    <t xml:space="preserve">o16a4und_p + colipa_p  -&gt; udcpdp_p + h_p + o16a4colipa_p </t>
  </si>
  <si>
    <t>MALTATr_f</t>
  </si>
  <si>
    <t>Maltose O-acetyltransferase</t>
  </si>
  <si>
    <t xml:space="preserve">accoa_c + malt_c  -&gt; acmalt_c + coa_c </t>
  </si>
  <si>
    <t>2.3.1.79</t>
  </si>
  <si>
    <t>ENTERES</t>
  </si>
  <si>
    <t>Enterochelin Esterase</t>
  </si>
  <si>
    <t xml:space="preserve">3 h2o_c + enter_c  -&gt; 3 h_c + 3 23dhbzs_c </t>
  </si>
  <si>
    <t>3.1.1</t>
  </si>
  <si>
    <t>23CAMPtex_f</t>
  </si>
  <si>
    <t>23cAMP transport via diffusion (extracellular to periplasm)</t>
  </si>
  <si>
    <t xml:space="preserve">23camp_e  -&gt; 23camp_p </t>
  </si>
  <si>
    <t>23CCMPtex_f</t>
  </si>
  <si>
    <t>23cCMP transport via diffusion (extracellular to periplasm)</t>
  </si>
  <si>
    <t xml:space="preserve">23ccmp_e  -&gt; 23ccmp_p </t>
  </si>
  <si>
    <t>23CUMPtex_f</t>
  </si>
  <si>
    <t>23cUMP transport via diffusion (extracellular to periplasm)</t>
  </si>
  <si>
    <t xml:space="preserve">23cump_e  -&gt; 23cump_p </t>
  </si>
  <si>
    <t>23CGMPtex_f</t>
  </si>
  <si>
    <t>23cGMP transport via diffusion (extracellular to periplasm)</t>
  </si>
  <si>
    <t xml:space="preserve">23cgmp_e  -&gt; 23cgmp_p </t>
  </si>
  <si>
    <t>3AMPtex_f</t>
  </si>
  <si>
    <t>3AMP transport via diffusion (extracellular to periplasm)</t>
  </si>
  <si>
    <t xml:space="preserve">3amp_e  -&gt; 3amp_p </t>
  </si>
  <si>
    <t>3CMPtex_f</t>
  </si>
  <si>
    <t>3CMP transport via diffusion (extracellular to periplasm)</t>
  </si>
  <si>
    <t xml:space="preserve">3cmp_e  -&gt; 3cmp_p </t>
  </si>
  <si>
    <t>LADGMDH</t>
  </si>
  <si>
    <t>L-alanyl-gamma-D-glutamyl-meso-diaminopimelate hydrolase</t>
  </si>
  <si>
    <t xml:space="preserve">h2o_c + LalaDgluMdap_c  -&gt; 26dap__M_c + LalaDglu_c </t>
  </si>
  <si>
    <t>ALAGLUE_f</t>
  </si>
  <si>
    <t>L-alanyl-gamma-glutamate epimerase</t>
  </si>
  <si>
    <t xml:space="preserve">LalaDglu_c  -&gt; LalaLglu_c </t>
  </si>
  <si>
    <t>5.1.1.20</t>
  </si>
  <si>
    <t>FEENTERtpp</t>
  </si>
  <si>
    <t>Enterochelin transport (secretion)</t>
  </si>
  <si>
    <t xml:space="preserve">h_p + enter_c  -&gt; h_c + enter_p </t>
  </si>
  <si>
    <t>FEENTERtex</t>
  </si>
  <si>
    <t>Enterochelin transport (secretion periplasm)</t>
  </si>
  <si>
    <t xml:space="preserve">h_p + enter_p  -&gt; h_c + enter_e </t>
  </si>
  <si>
    <t>PTRCt2pp</t>
  </si>
  <si>
    <t>Putrescine transport in via proton symport</t>
  </si>
  <si>
    <t xml:space="preserve">ptrc_p + h_p  -&gt; h_c + ptrc_c </t>
  </si>
  <si>
    <t>GGGABAH</t>
  </si>
  <si>
    <t>Gamma-glutamyl-gamma-aminobutyric acid hydrolase</t>
  </si>
  <si>
    <t xml:space="preserve">gg4abut_c + h2o_c  -&gt; glu__L_c + 4abut_c </t>
  </si>
  <si>
    <t>3.5.1.94</t>
  </si>
  <si>
    <t>FRULYSK</t>
  </si>
  <si>
    <t>Fructoselysine Kinase</t>
  </si>
  <si>
    <t xml:space="preserve">atp_c + frulys_c  -&gt; h_c + frulysp_c + adp_c </t>
  </si>
  <si>
    <t>2.7.1.218</t>
  </si>
  <si>
    <t>FDMO6</t>
  </si>
  <si>
    <t>FMNH2-dependent monooxygenase (sulfoacetate)</t>
  </si>
  <si>
    <t xml:space="preserve">sulfac_c + o2_c + fmnh2_c  -&gt; h_c + glx_c + so3_c + h2o_c + fmn_c </t>
  </si>
  <si>
    <t>SULFACabcpp</t>
  </si>
  <si>
    <t>Sulfoacetate transport via ABC system (periplasm)</t>
  </si>
  <si>
    <t xml:space="preserve">atp_c + h2o_c + sulfac_p  -&gt; h_c + sulfac_c + adp_c + pi_c </t>
  </si>
  <si>
    <t>ETHSO3tex_f</t>
  </si>
  <si>
    <t>Ethanesulfonate transport via diffusion (extracellular to periplasm)</t>
  </si>
  <si>
    <t xml:space="preserve">ethso3_e  -&gt; ethso3_p </t>
  </si>
  <si>
    <t>BUTSO3tex_f</t>
  </si>
  <si>
    <t>Butanesulfonate transport via diffusion (extracellular to periplasm)</t>
  </si>
  <si>
    <t xml:space="preserve">butso3_e  -&gt; butso3_p </t>
  </si>
  <si>
    <t>LIPOtex_f</t>
  </si>
  <si>
    <t>Lipoate transport via diffusion (extracellular to periplasm)</t>
  </si>
  <si>
    <t xml:space="preserve">lipoate_e  -&gt; lipoate_p </t>
  </si>
  <si>
    <t>CYANSTpp</t>
  </si>
  <si>
    <t>Cyanide sulfurtransferase (periplasmic)</t>
  </si>
  <si>
    <t xml:space="preserve">cyan_p + tsul_p  -&gt; tcynt_p + h_p + so3_p </t>
  </si>
  <si>
    <t>MCPST</t>
  </si>
  <si>
    <t>3-mercaptopyruvate sulfurtransferase</t>
  </si>
  <si>
    <t xml:space="preserve">cyan_c + mercppyr_c  -&gt; h_c + tcynt_c + pyr_c </t>
  </si>
  <si>
    <t>2.8.1.2</t>
  </si>
  <si>
    <t>PHEMEabcpp</t>
  </si>
  <si>
    <t>Protoheme transport via ABC system (periplasm)</t>
  </si>
  <si>
    <t xml:space="preserve">atp_c + h2o_c + pheme_c  -&gt; h_c + pheme_p + adp_c + pi_c </t>
  </si>
  <si>
    <t>3.6.3.41</t>
  </si>
  <si>
    <t>GALBDtex_f</t>
  </si>
  <si>
    <t>Beta D-galactose transport via diffusion (extracellular to periplasm)</t>
  </si>
  <si>
    <t xml:space="preserve">gal_bD_e  -&gt; gal_bD_p </t>
  </si>
  <si>
    <t>LIPAHT2ex</t>
  </si>
  <si>
    <t>Core oligosaccharide lipid A:hexadecanoate transferase (n-C16:0) (extracellular membrane)</t>
  </si>
  <si>
    <t xml:space="preserve">h_e + colipa_e + hdca_e  -&gt; hacolipa_e + h2o_e </t>
  </si>
  <si>
    <t>2.3.1.251</t>
  </si>
  <si>
    <t>LIPAHTex</t>
  </si>
  <si>
    <t>Lipid A:hexadecanoate transferase (n-C16:0) (extracellular membrane)</t>
  </si>
  <si>
    <t xml:space="preserve">h_e + lipa_e + hdca_e  -&gt; halipa_e + h2o_e </t>
  </si>
  <si>
    <t>ECAP1pp</t>
  </si>
  <si>
    <t>Enterobacterial common antigen polymerase (periplasm)</t>
  </si>
  <si>
    <t xml:space="preserve">2 unagamuf_p  -&gt; udcpdp_p + h_p + eca2und_p </t>
  </si>
  <si>
    <t>UDCPDPpp</t>
  </si>
  <si>
    <t>Undecaprenyl-diphosphatase (periplasm)</t>
  </si>
  <si>
    <t xml:space="preserve">udcpdp_p + h2o_p  -&gt; h_p + udcpp_p + pi_p </t>
  </si>
  <si>
    <t>ECAP2pp</t>
  </si>
  <si>
    <t xml:space="preserve">unagamuf_p + eca2und_p  -&gt; udcpdp_p + h_p + eca3und_p </t>
  </si>
  <si>
    <t>ECA4OALpp</t>
  </si>
  <si>
    <t>Enterobacterial common antigen (x4) O-antigen ligase (periplasm)</t>
  </si>
  <si>
    <t xml:space="preserve">eca4und_p + colipa_p  -&gt; udcpdp_p + h_p + eca4colipa_p </t>
  </si>
  <si>
    <t>FE3Ri</t>
  </si>
  <si>
    <t>Fe(III) reduction</t>
  </si>
  <si>
    <t xml:space="preserve">fadh2_c + 2 fe3_c  -&gt; 2 h_c + 2 fe2_c + fad_c </t>
  </si>
  <si>
    <t>1.16.1.3, 1.5.1.41</t>
  </si>
  <si>
    <t>SULFACtex_f</t>
  </si>
  <si>
    <t>Sulfoaceate transport via diffusion (extracellular to periplasm)</t>
  </si>
  <si>
    <t xml:space="preserve">sulfac_e  -&gt; sulfac_p </t>
  </si>
  <si>
    <t>NODOy</t>
  </si>
  <si>
    <t>Nitric oxide dioxygenase</t>
  </si>
  <si>
    <t xml:space="preserve">2 o2_c + 2 no_c + nadph_c  -&gt; h_c + nadp_c + 2 no3_c </t>
  </si>
  <si>
    <t>1.14.12.17</t>
  </si>
  <si>
    <t>GALM2pp</t>
  </si>
  <si>
    <t>Aldose-1-epimerase</t>
  </si>
  <si>
    <t xml:space="preserve">gal_bD_p  -&gt; gal_p </t>
  </si>
  <si>
    <t>5.1.3.3</t>
  </si>
  <si>
    <t>CU1abcpp</t>
  </si>
  <si>
    <t>Copper (Cu +1) ABC transporter (periplasm)</t>
  </si>
  <si>
    <t xml:space="preserve">atp_c + h2o_c + cu_c  -&gt; h_c + adp_c + pi_c + cu_p </t>
  </si>
  <si>
    <t>3.6.3.54</t>
  </si>
  <si>
    <t>HG2abcpp</t>
  </si>
  <si>
    <t>Mercury (Hg+2) ABC transporter (periplasm)</t>
  </si>
  <si>
    <t xml:space="preserve">hg2_c + atp_c + h2o_c  -&gt; h_c + adp_c + pi_c + hg2_p </t>
  </si>
  <si>
    <t>3.6.3.5</t>
  </si>
  <si>
    <t>GLCTR3</t>
  </si>
  <si>
    <t>Glucosyltransferase III (LPS core synthesis)</t>
  </si>
  <si>
    <t xml:space="preserve">ggagicolipa_c + udpg_c  -&gt; h_c + gggagicolipa_c + udp_c </t>
  </si>
  <si>
    <t>2.4.1.58</t>
  </si>
  <si>
    <t>HEPT4</t>
  </si>
  <si>
    <t>Heptosyltransferase IV (LPS core synthesis)</t>
  </si>
  <si>
    <t xml:space="preserve">adphep_LD_c + gggagicolipa_c  -&gt; h_c + adp_c + colipa_c </t>
  </si>
  <si>
    <t>2.4.1.56</t>
  </si>
  <si>
    <t>LA4NTpp</t>
  </si>
  <si>
    <t>4-amino-4-deoxy-L-arabinotransferase (LPS lipid A modification, periplasmic face of membrane))</t>
  </si>
  <si>
    <t xml:space="preserve">colipa_p + uLa4n_p  -&gt; udcpp_p + acolipa_p </t>
  </si>
  <si>
    <t>2.4.2.43</t>
  </si>
  <si>
    <t>NODOx</t>
  </si>
  <si>
    <t xml:space="preserve">2 o2_c + 2 no_c + nadh_c  -&gt; h_c + nad_c + 2 no3_c </t>
  </si>
  <si>
    <t>NOtex_f</t>
  </si>
  <si>
    <t>Nitric oxide transport via diffusion (extracellular to periplasm)</t>
  </si>
  <si>
    <t xml:space="preserve">no_e  -&gt; no_p </t>
  </si>
  <si>
    <t>NHFRBO</t>
  </si>
  <si>
    <t>NADH:flavorubredoxin oxidoreductase</t>
  </si>
  <si>
    <t xml:space="preserve">h_c + 2 no_c + nadh_c  -&gt; nad_c + n2o_c + h2o_c </t>
  </si>
  <si>
    <t>1.18.1.-</t>
  </si>
  <si>
    <t>N2Otex_f</t>
  </si>
  <si>
    <t>Nitrious oxide transport via diffusion (extracellular to periplasm)</t>
  </si>
  <si>
    <t xml:space="preserve">n2o_e  -&gt; n2o_p </t>
  </si>
  <si>
    <t>CRNt8pp</t>
  </si>
  <si>
    <t>L-carnitine/D-carnitine antiporter (periplasm)</t>
  </si>
  <si>
    <t xml:space="preserve">crn_p + crn__D_c  -&gt; crn__D_p + crn_c </t>
  </si>
  <si>
    <t>CRNt2rpp_f</t>
  </si>
  <si>
    <t>L-carnitine outward transport (H+ antiport)</t>
  </si>
  <si>
    <t xml:space="preserve">h_p + crn_p  -&gt; h_c + crn_c </t>
  </si>
  <si>
    <t>CRNDt2rpp_f</t>
  </si>
  <si>
    <t>D-carnitine outward transport (H+ antiport)</t>
  </si>
  <si>
    <t xml:space="preserve">h_p + crn__D_p  -&gt; h_c + crn__D_c </t>
  </si>
  <si>
    <t>CTBTt2rpp_f</t>
  </si>
  <si>
    <t>Cronobetaine outward transport (H+ antiport)</t>
  </si>
  <si>
    <t xml:space="preserve">ctbt_p + h_p  -&gt; h_c + ctbt_c </t>
  </si>
  <si>
    <t>42A12BOOXpp</t>
  </si>
  <si>
    <t>4-(2-Aminoethyl)-1,2-benzenediol:oxygen oxidoreductase(deaminating)(flavin-containing)</t>
  </si>
  <si>
    <t xml:space="preserve">h2o_p + o2_p + dopa_p  -&gt; nh4_p + 34dhpac_p + h2o2_p </t>
  </si>
  <si>
    <t>1.4.3.21</t>
  </si>
  <si>
    <t>TYROXDApp</t>
  </si>
  <si>
    <t>Tyramine:oxygen oxidoreductase(deaminating)(flavin-containing) (periplasm)</t>
  </si>
  <si>
    <t xml:space="preserve">h2o_p + o2_p + tym_p  -&gt; nh4_p + h2o2_p + 4hoxpacd_p </t>
  </si>
  <si>
    <t>PEAMNtex_f</t>
  </si>
  <si>
    <t>Phenethylamine transport via diffusion (extracellular to periplasm)</t>
  </si>
  <si>
    <t xml:space="preserve">peamn_e  -&gt; peamn_p </t>
  </si>
  <si>
    <t>PACALDtex_f</t>
  </si>
  <si>
    <t>Phenethylacetaldehyde transport via diffusion (extracellular to periplasm)</t>
  </si>
  <si>
    <t xml:space="preserve">pacald_e  -&gt; pacald_p </t>
  </si>
  <si>
    <t>NTRIR4pp</t>
  </si>
  <si>
    <t>Nitrite Reductase (Menaquinole-8, periplasm)</t>
  </si>
  <si>
    <t xml:space="preserve">2 h_p + no2_p + 3 mql8_c  -&gt; 2 h2o_p + nh4_p + 3 mqn8_c </t>
  </si>
  <si>
    <t>1.7.2.2</t>
  </si>
  <si>
    <t>NTRIR3pp</t>
  </si>
  <si>
    <t>Nitrite Reductase (Ubiquinole-8, periplasm)</t>
  </si>
  <si>
    <t xml:space="preserve">2 h_p + no2_p + 3 q8h2_c  -&gt; 2 h2o_p + nh4_p + 3 q8_c </t>
  </si>
  <si>
    <t>INOSTt4pp</t>
  </si>
  <si>
    <t>Na+/myo-inositol symporter (periplasm)</t>
  </si>
  <si>
    <t xml:space="preserve">na1_p + inost_p  -&gt; inost_c + na1_c </t>
  </si>
  <si>
    <t>AGM3PA</t>
  </si>
  <si>
    <t>N-Acetyl-D-glucosamine(anhydrous)N-Acetylmuramyl-tripeptide amidase</t>
  </si>
  <si>
    <t xml:space="preserve">anhgm3p_c + h2o_c  -&gt; anhgm_c + LalaDgluMdap_c </t>
  </si>
  <si>
    <t>3.5.1.28</t>
  </si>
  <si>
    <t>CYANtex_f</t>
  </si>
  <si>
    <t>Cyanide transport via diffusion (extracellular to periplasm)</t>
  </si>
  <si>
    <t xml:space="preserve">cyan_e  -&gt; cyan_p </t>
  </si>
  <si>
    <t>SO3tex_f</t>
  </si>
  <si>
    <t>Sulfite transport via diffusion (extracellular to periplasm)</t>
  </si>
  <si>
    <t xml:space="preserve">so3_e  -&gt; so3_p </t>
  </si>
  <si>
    <t>TCYNTtex_f</t>
  </si>
  <si>
    <t>Thiocyanate transport via diffusion (extracellular to periplasm)</t>
  </si>
  <si>
    <t xml:space="preserve">tcynt_e  -&gt; tcynt_p </t>
  </si>
  <si>
    <t>ACANTHAT</t>
  </si>
  <si>
    <t>Acetyl-CoA:anthranilate acetyltransferase</t>
  </si>
  <si>
    <t xml:space="preserve">accoa_c + anth_c  -&gt; acanth_c + coa_c </t>
  </si>
  <si>
    <t>2.3.1.118</t>
  </si>
  <si>
    <t>METSOX1tex_f</t>
  </si>
  <si>
    <t>L-methionine S-oxide diffusion (extracellular)</t>
  </si>
  <si>
    <t xml:space="preserve">metsox_S__L_e  -&gt; metsox_S__L_p </t>
  </si>
  <si>
    <t>METSOX2tex_f</t>
  </si>
  <si>
    <t>L-methionine R-oxide diffusion (extracellular)</t>
  </si>
  <si>
    <t xml:space="preserve">metsox_R__L_e  -&gt; metsox_R__L_p </t>
  </si>
  <si>
    <t>3UMPtex_f</t>
  </si>
  <si>
    <t>3UMP transport via diffusion (extracellular to periplasm)</t>
  </si>
  <si>
    <t xml:space="preserve">3ump_e  -&gt; 3ump_p </t>
  </si>
  <si>
    <t>3GMPtex_f</t>
  </si>
  <si>
    <t>3GMP transport via diffusion (extracellular to periplasm)</t>
  </si>
  <si>
    <t xml:space="preserve">3gmp_e  -&gt; 3gmp_p </t>
  </si>
  <si>
    <t>METSOXR1</t>
  </si>
  <si>
    <t>L-methionine-S-oxide reductase</t>
  </si>
  <si>
    <t xml:space="preserve">trdrd_c + metsox_S__L_c  -&gt; met__L_c + trdox_c + h2o_c </t>
  </si>
  <si>
    <t>1.8.4.11</t>
  </si>
  <si>
    <t>METSOXR2</t>
  </si>
  <si>
    <t>L-methionine-R-sulfoxide reductase</t>
  </si>
  <si>
    <t xml:space="preserve">trdrd_c + metsox_R__L_c  -&gt; met__L_c + trdox_c + h2o_c </t>
  </si>
  <si>
    <t>1.8.4.12, 1.8.4.14</t>
  </si>
  <si>
    <t>DAPAL</t>
  </si>
  <si>
    <t>2,3-diaminopropionate amonnia lyase</t>
  </si>
  <si>
    <t xml:space="preserve">23dappa_c + h2o_c  -&gt; 2 nh4_c + pyr_c </t>
  </si>
  <si>
    <t>4.3.1.15</t>
  </si>
  <si>
    <t>AMPTASECG</t>
  </si>
  <si>
    <t>Alanyl aminopeptidase (cys-gly)</t>
  </si>
  <si>
    <t xml:space="preserve">cgly_c + h2o_c  -&gt; cys__L_c + gly_c </t>
  </si>
  <si>
    <t>3.4.11.1</t>
  </si>
  <si>
    <t>DOPAtex_f</t>
  </si>
  <si>
    <t>Dopamine transport via diffusion (extracellular to periplasm)</t>
  </si>
  <si>
    <t xml:space="preserve">dopa_e  -&gt; dopa_p </t>
  </si>
  <si>
    <t>4HOXPACDtex_f</t>
  </si>
  <si>
    <t>4-hydroxyphenylacetaldehyde transport via diffusion (extracellular to periplasm)</t>
  </si>
  <si>
    <t xml:space="preserve">4hoxpacd_e  -&gt; 4hoxpacd_p </t>
  </si>
  <si>
    <t>LACZpp</t>
  </si>
  <si>
    <t xml:space="preserve">h2o_p + lcts_p  -&gt; gal_p + glc__D_p </t>
  </si>
  <si>
    <t>3.2.1.21</t>
  </si>
  <si>
    <t>GPDDA1pp</t>
  </si>
  <si>
    <t xml:space="preserve">h2o_p + g3pc_p  -&gt; h_p + chol_p + glyc3p_p </t>
  </si>
  <si>
    <t>GPDDA5pp</t>
  </si>
  <si>
    <t xml:space="preserve">h2o_p + g3pi_p  -&gt; h_p + inost_p + glyc3p_p </t>
  </si>
  <si>
    <t>ETHAtex_f</t>
  </si>
  <si>
    <t>Ethanolamine transport via diffusion (extracellular)</t>
  </si>
  <si>
    <t xml:space="preserve">etha_e  -&gt; etha_p </t>
  </si>
  <si>
    <t>G3PStex_f</t>
  </si>
  <si>
    <t>Glycerophosphserine transport via diffusion (extracellular to periplasm)</t>
  </si>
  <si>
    <t xml:space="preserve">g3ps_e  -&gt; g3ps_p </t>
  </si>
  <si>
    <t>FLVR</t>
  </si>
  <si>
    <t>Flavin reductase</t>
  </si>
  <si>
    <t xml:space="preserve">h_c + ribflv_c + nadph_c  -&gt; nadp_c + rbflvrd_c </t>
  </si>
  <si>
    <t>FDMO2</t>
  </si>
  <si>
    <t>FMNH2-dependent monooxygenase (methanesulfonate)</t>
  </si>
  <si>
    <t xml:space="preserve">o2_c + fmnh2_c + mso3_c  -&gt; h_c + fald_c + so3_c + h2o_c + fmn_c </t>
  </si>
  <si>
    <t>LALGP</t>
  </si>
  <si>
    <t>L-alanyl-gamma-L-glutamate peptidase</t>
  </si>
  <si>
    <t xml:space="preserve">h2o_c + LalaLglu_c  -&gt; glu__L_c + ala__L_c </t>
  </si>
  <si>
    <t>3.4.13.18</t>
  </si>
  <si>
    <t>AGM4PApp</t>
  </si>
  <si>
    <t>N-Acetyl-D-glucosamine(anhydrous)N-Acetylmuramyl-tetrapeptide amidase (periplasm)</t>
  </si>
  <si>
    <t xml:space="preserve">h2o_p + anhgm4p_p  -&gt; LalaDgluMdapDala_p + anhgm_p </t>
  </si>
  <si>
    <t>AGM4PA</t>
  </si>
  <si>
    <t>N-Acetyl-D-glucosamine(anhydrous)N-Acetylmuramyl-tetrapeptide amidase</t>
  </si>
  <si>
    <t xml:space="preserve">anhgm4p_c + h2o_c  -&gt; LalaDgluMdapDala_c + anhgm_c </t>
  </si>
  <si>
    <t>RNDR3b</t>
  </si>
  <si>
    <t>Ribonucleoside-diphosphate reductase (CDP) (glutaredoxin)</t>
  </si>
  <si>
    <t xml:space="preserve">grxrd_c + cdp_c  -&gt; h2o_c + dcdp_c + grxox_c </t>
  </si>
  <si>
    <t>RNDR4b</t>
  </si>
  <si>
    <t>Ribonucleoside-diphosphate reductase (UDP) (glutaredoxin)</t>
  </si>
  <si>
    <t xml:space="preserve">grxrd_c + udp_c  -&gt; dudp_c + h2o_c + grxox_c </t>
  </si>
  <si>
    <t>ACGAL1Ptex_f</t>
  </si>
  <si>
    <t>N-acetyl-D-galactosamine 1-phosphate transport via diffusion (extracellular to periplasm)</t>
  </si>
  <si>
    <t xml:space="preserve">acgal1p_e  -&gt; acgal1p_p </t>
  </si>
  <si>
    <t>ACGALtex_f</t>
  </si>
  <si>
    <t>N-acetyl-D-galactosamine transport via diffusion (extracellular to periplasm)</t>
  </si>
  <si>
    <t xml:space="preserve">acgal_e  -&gt; acgal_p </t>
  </si>
  <si>
    <t>GLCUR1Ptex_f</t>
  </si>
  <si>
    <t>D-glucuronate 1-phosphate transport via diffusion (extracellular to periplasm)</t>
  </si>
  <si>
    <t xml:space="preserve">glcur1p_e  -&gt; glcur1p_p </t>
  </si>
  <si>
    <t>UDPGLCURtex_f</t>
  </si>
  <si>
    <t>UDP-D-glucuronate transport via diffusion (extracellular to periplasm)</t>
  </si>
  <si>
    <t xml:space="preserve">udpglcur_e  -&gt; udpglcur_p </t>
  </si>
  <si>
    <t>UDPGALPpp</t>
  </si>
  <si>
    <t>UDPgalactose pyrophosphohydrolase</t>
  </si>
  <si>
    <t xml:space="preserve">h2o_p + udpgal_p  -&gt; gal1p_p + 2 h_p + ump_p </t>
  </si>
  <si>
    <t>3.6.1.45</t>
  </si>
  <si>
    <t>UACGAMPpp</t>
  </si>
  <si>
    <t>UDP-N-acetyl-D-glucosamine pyrophosphohydrolase (periplasm)</t>
  </si>
  <si>
    <t xml:space="preserve">h2o_p + uacgam_p  -&gt; 2 h_p + acgam1p_p + ump_p </t>
  </si>
  <si>
    <t>UACGALPpp</t>
  </si>
  <si>
    <t>UDP-N-acetyl-D-galactosamine pyrophosphohydrolase (periplasm)</t>
  </si>
  <si>
    <t xml:space="preserve">h2o_p + udpacgal_p  -&gt; 2 h_p + acgal1p_p + ump_p </t>
  </si>
  <si>
    <t>UGLCURPpp</t>
  </si>
  <si>
    <t>UDP-D-glucuronate pyrophosphohydrolase (periplasm)</t>
  </si>
  <si>
    <t xml:space="preserve">h2o_p + udpglcur_p  -&gt; 2 h_p + glcur1p_p + ump_p </t>
  </si>
  <si>
    <t>3.1.3.5, 3.6.1.45</t>
  </si>
  <si>
    <t>FEROpp</t>
  </si>
  <si>
    <t>Ferroxidase</t>
  </si>
  <si>
    <t xml:space="preserve">4 fe2_p + 4 h_p + o2_p  -&gt; 2 h2o_p + 4 fe3_p </t>
  </si>
  <si>
    <t>1.16.3.1</t>
  </si>
  <si>
    <t>ISETACabcpp</t>
  </si>
  <si>
    <t>Isethionate transport via ABC system (periplasm)</t>
  </si>
  <si>
    <t xml:space="preserve">isetac_p + atp_c + h2o_c  -&gt; h_c + adp_c + pi_c + isetac_c </t>
  </si>
  <si>
    <t>ISETACtex_f</t>
  </si>
  <si>
    <t>Isethionate transport via diffusion (extracellular to periplasm)</t>
  </si>
  <si>
    <t xml:space="preserve">isetac_e  -&gt; isetac_p </t>
  </si>
  <si>
    <t>UDPGtex_f</t>
  </si>
  <si>
    <t>UDPglucose transport via diffusion (extracellular to periplasm)</t>
  </si>
  <si>
    <t xml:space="preserve">udpg_e  -&gt; udpg_p </t>
  </si>
  <si>
    <t>UDPGALtex_f</t>
  </si>
  <si>
    <t>UDPgalactose transport via diffusion (extracellular to periplasm)</t>
  </si>
  <si>
    <t xml:space="preserve">udpgal_e  -&gt; udpgal_p </t>
  </si>
  <si>
    <t>ACGAM1Ptex_f</t>
  </si>
  <si>
    <t>N-acetyl-D-glucosamine 1-phosphate transport via diffusion (extracellular to periplasm)</t>
  </si>
  <si>
    <t xml:space="preserve">acgam1p_e  -&gt; acgam1p_p </t>
  </si>
  <si>
    <t>UACGAMtex_f</t>
  </si>
  <si>
    <t>UDP-N-acetyl-D-glucosamine transport via diffusion (extracellular to periplasm)</t>
  </si>
  <si>
    <t xml:space="preserve">uacgam_e  -&gt; uacgam_p </t>
  </si>
  <si>
    <t>UDPACGALtex_f</t>
  </si>
  <si>
    <t>UDP-N-acetyl-D-galactosamine transport via diffusion (extracellular to periplasm)</t>
  </si>
  <si>
    <t xml:space="preserve">udpacgal_e  -&gt; udpacgal_p </t>
  </si>
  <si>
    <t>AM4PCP</t>
  </si>
  <si>
    <t>Anhydrous-N-Acetylmuramyl-tetrapeptide L,D-carboxypeptidase</t>
  </si>
  <si>
    <t xml:space="preserve">anhm4p_c + h2o_c  -&gt; anhm3p_c + ala__D_c </t>
  </si>
  <si>
    <t>3.4.17.13</t>
  </si>
  <si>
    <t>AM3PA</t>
  </si>
  <si>
    <t>Anhydrous-N-Acetylmuramyl-tripeptide amidase</t>
  </si>
  <si>
    <t xml:space="preserve">anhm3p_c + h2o_c  -&gt; anhm_c + LalaDgluMdap_c </t>
  </si>
  <si>
    <t>UM4PCP</t>
  </si>
  <si>
    <t>UDP-N-acetylmuramoyl-L-alanyl-D-gamma-glutamyl-meso-2,6-diaminopimelate-D-alanine L,D-carboxypeptidase</t>
  </si>
  <si>
    <t xml:space="preserve">um4p_c + h2o_c  -&gt; ugmd_c + ala__D_c </t>
  </si>
  <si>
    <t>CBLAT_f</t>
  </si>
  <si>
    <t>Cob(I)alamin adenosyltransferase</t>
  </si>
  <si>
    <t xml:space="preserve">h_c + cbl1_c + atp_c  -&gt; adocbl_c + pppi_c </t>
  </si>
  <si>
    <t>2.5.1.17</t>
  </si>
  <si>
    <t>MSO3abcpp</t>
  </si>
  <si>
    <t>Methanesulfonate transport via ABC system (periplasm)</t>
  </si>
  <si>
    <t xml:space="preserve">atp_c + h2o_c + mso3_p  -&gt; h_c + adp_c + pi_c + mso3_c </t>
  </si>
  <si>
    <t>MSO3tex_f</t>
  </si>
  <si>
    <t>Methanesulfonate transport via diffusion (extracellular to periplasm)</t>
  </si>
  <si>
    <t xml:space="preserve">mso3_e  -&gt; mso3_p </t>
  </si>
  <si>
    <t>TDP</t>
  </si>
  <si>
    <t>Thiamin pyrophosphatase</t>
  </si>
  <si>
    <t xml:space="preserve">thmpp_c + h2o_c  -&gt; h_c + pi_c + thmmp_c </t>
  </si>
  <si>
    <t>3PEPTabcpp</t>
  </si>
  <si>
    <t>Tripeptide (LalaDgluMdap) transport via ABC system (periplasm)</t>
  </si>
  <si>
    <t xml:space="preserve">LalaDgluMdap_p + atp_c + h2o_c  -&gt; h_c + adp_c + pi_c + LalaDgluMdap_c </t>
  </si>
  <si>
    <t>4PEPTabcpp</t>
  </si>
  <si>
    <t>Tetrapeptide (LalaDgluMdapDala) transport via ABC system (periplasm)</t>
  </si>
  <si>
    <t xml:space="preserve">atp_c + h2o_c + LalaDgluMdapDala_p  -&gt; h_c + adp_c + pi_c + LalaDgluMdapDala_c </t>
  </si>
  <si>
    <t>AGM3Pt2pp</t>
  </si>
  <si>
    <t>GlcNAc-anhMurNAc tripeptide transport in via proton symport (periplasm)</t>
  </si>
  <si>
    <t xml:space="preserve">h_p + anhgm3p_p  -&gt; h_c + anhgm3p_c </t>
  </si>
  <si>
    <t>AGM4Pt2pp</t>
  </si>
  <si>
    <t>GlcNAc-anhMurNAc tetrapeptide transport in via proton symport (periplasm)</t>
  </si>
  <si>
    <t xml:space="preserve">h_p + anhgm4p_p  -&gt; h_c + anhgm4p_c </t>
  </si>
  <si>
    <t>AGMt2pp</t>
  </si>
  <si>
    <t>GlcNAc-anhMurNAc transport in via proton symport (periplasm)</t>
  </si>
  <si>
    <t xml:space="preserve">h_p + anhgm_p  -&gt; h_c + anhgm_c </t>
  </si>
  <si>
    <t>FEOXAMR1</t>
  </si>
  <si>
    <t>Ferroxamine reductase</t>
  </si>
  <si>
    <t xml:space="preserve">fadh2_c + 2 feoxam_c  -&gt; 2 h_c + 2 fe2_c + 2 feoxam_un_c + fad_c </t>
  </si>
  <si>
    <t>FEOXAMR2</t>
  </si>
  <si>
    <t xml:space="preserve">2 feoxam_c + fmnh2_c  -&gt; 2 h_c + 2 fe2_c + fmn_c + 2 feoxam_un_c </t>
  </si>
  <si>
    <t>FEOXAMR3</t>
  </si>
  <si>
    <t xml:space="preserve">2 feoxam_c + rbflvrd_c  -&gt; 2 h_c + 2 fe2_c + ribflv_c + 2 feoxam_un_c </t>
  </si>
  <si>
    <t>PTHRpp</t>
  </si>
  <si>
    <t>Phospho-L-threonine phosphatase (periplasmic)</t>
  </si>
  <si>
    <t xml:space="preserve">h2o_p + thrp_p  -&gt; thr__L_p + pi_p </t>
  </si>
  <si>
    <t>3.1.3.1, 3.1.3.2</t>
  </si>
  <si>
    <t>ARABDI_f</t>
  </si>
  <si>
    <t xml:space="preserve">arab__D_c  -&gt; rbl__D_c </t>
  </si>
  <si>
    <t>AGt3</t>
  </si>
  <si>
    <t>Silver transport out via proton antiport</t>
  </si>
  <si>
    <t xml:space="preserve">h_e + ag_c  -&gt; h_c + ag_e </t>
  </si>
  <si>
    <t>CD2t3pp</t>
  </si>
  <si>
    <t>Cadmium (Cd+2) transport out via proton antiport (periplasm)</t>
  </si>
  <si>
    <t xml:space="preserve">cd2_c + h_p  -&gt; h_c + cd2_p </t>
  </si>
  <si>
    <t>ZNabcpp</t>
  </si>
  <si>
    <t>Zinc (Zn+2) transport via ABC system (periplasm)</t>
  </si>
  <si>
    <t xml:space="preserve">zn2_p + atp_c + h2o_c  -&gt; h_c + adp_c + pi_c + zn2_c </t>
  </si>
  <si>
    <t>SKMt2pp</t>
  </si>
  <si>
    <t>Shikimate transport in via proton symport (periplasm)</t>
  </si>
  <si>
    <t xml:space="preserve">h_p + skm_p  -&gt; h_c + skm_c </t>
  </si>
  <si>
    <t>FE2t2pp</t>
  </si>
  <si>
    <t>Iron (II) transport in via proton symport (periplasm)</t>
  </si>
  <si>
    <t xml:space="preserve">fe2_p + h_p  -&gt; h_c + fe2_c </t>
  </si>
  <si>
    <t>R5PPpp</t>
  </si>
  <si>
    <t>Ribose 5-phosphate phosphatase</t>
  </si>
  <si>
    <t xml:space="preserve">h2o_p + r5p_p  -&gt; rib__D_p + pi_p </t>
  </si>
  <si>
    <t>PSP_Lpp</t>
  </si>
  <si>
    <t>Phospho-L-serine phosphatase (periplasmic)</t>
  </si>
  <si>
    <t xml:space="preserve">h2o_p + pser__L_p  -&gt; ser__L_p + pi_p </t>
  </si>
  <si>
    <t>TYRPpp</t>
  </si>
  <si>
    <t>Phospho-L-tyrosine phosphatase (periplasmic)</t>
  </si>
  <si>
    <t xml:space="preserve">h2o_p + tyrp_p  -&gt; tyr__L_p + pi_p </t>
  </si>
  <si>
    <t>3.1.3.2</t>
  </si>
  <si>
    <t>GLYC2Ptex_f</t>
  </si>
  <si>
    <t>Glycerol-2-phosphate transport via diffusion (extracellular to periplasm)</t>
  </si>
  <si>
    <t xml:space="preserve">glyc2p_e  -&gt; glyc2p_p </t>
  </si>
  <si>
    <t>PSERtex_f</t>
  </si>
  <si>
    <t>Phospho-L-serine transport via diffusion (extracellular to periplasm)</t>
  </si>
  <si>
    <t xml:space="preserve">pser__L_e  -&gt; pser__L_p </t>
  </si>
  <si>
    <t>R5Ptex_f</t>
  </si>
  <si>
    <t>Ribose 5-phosphate transport via diffusion (extracellular to periplasm)</t>
  </si>
  <si>
    <t xml:space="preserve">r5p_e  -&gt; r5p_p </t>
  </si>
  <si>
    <t>THRPtex_f</t>
  </si>
  <si>
    <t>Phospho-L-threonine transport via diffusion (extracellular to periplasm)</t>
  </si>
  <si>
    <t xml:space="preserve">thrp_e  -&gt; thrp_p </t>
  </si>
  <si>
    <t>TYRPtex_f</t>
  </si>
  <si>
    <t>Phopho-L-tyrosine transport via diffusion (extracellular to periplasm)</t>
  </si>
  <si>
    <t xml:space="preserve">tyrp_e  -&gt; tyrp_p </t>
  </si>
  <si>
    <t>PAPSR2</t>
  </si>
  <si>
    <t>Phosphoadenylyl-sulfate reductase (glutaredoxin)</t>
  </si>
  <si>
    <t xml:space="preserve">paps_c + grxrd_c  -&gt; 2 h_c + so3_c + pap_c + grxox_c </t>
  </si>
  <si>
    <t>GRXR</t>
  </si>
  <si>
    <t>Glutaredoxin reductase</t>
  </si>
  <si>
    <t xml:space="preserve">2 gthrd_c + grxox_c  -&gt; grxrd_c + gthox_c </t>
  </si>
  <si>
    <t>RNDR1b</t>
  </si>
  <si>
    <t>Ribonucleoside-diphosphate reductase (ADP) (glutaredoxin)</t>
  </si>
  <si>
    <t xml:space="preserve">adp_c + grxrd_c  -&gt; dadp_c + h2o_c + grxox_c </t>
  </si>
  <si>
    <t>RNDR2b</t>
  </si>
  <si>
    <t>Ribonucleoside-diphosphate reductase (GDP) (glutaredoxin)</t>
  </si>
  <si>
    <t xml:space="preserve">grxrd_c + gdp_c  -&gt; dgdp_c + h2o_c + grxox_c </t>
  </si>
  <si>
    <t>FACOAE181</t>
  </si>
  <si>
    <t>Fatty-acid-CoA thioesterase (octadecenoate)</t>
  </si>
  <si>
    <t xml:space="preserve">odecoa_c + h2o_c  -&gt; h_c + ocdcea_c + coa_c </t>
  </si>
  <si>
    <t>3.1.2.-</t>
  </si>
  <si>
    <t>FACOAE160</t>
  </si>
  <si>
    <t>Fatty-acid-CoA thioesterase (hexadecanoate)</t>
  </si>
  <si>
    <t xml:space="preserve">h2o_c + pmtcoa_c  -&gt; h_c + hdca_c + coa_c </t>
  </si>
  <si>
    <t>FACOAE140</t>
  </si>
  <si>
    <t>Fatty-acid-CoA thioesterase (tetradecanoate)</t>
  </si>
  <si>
    <t xml:space="preserve">tdcoa_c + h2o_c  -&gt; h_c + ttdca_c + coa_c </t>
  </si>
  <si>
    <t>AAMYL</t>
  </si>
  <si>
    <t>Alpha-amylase</t>
  </si>
  <si>
    <t xml:space="preserve">14glucan_c  -&gt; malthx_c </t>
  </si>
  <si>
    <t>3.2.1.1</t>
  </si>
  <si>
    <t>AAMYLpp</t>
  </si>
  <si>
    <t>Alpha-amylase (periplasm)</t>
  </si>
  <si>
    <t xml:space="preserve">14glucan_p  -&gt; malthx_p </t>
  </si>
  <si>
    <t>FACOAL80t2pp</t>
  </si>
  <si>
    <t>Fatty-acid-CoA ligase (octanoate transport via vectoral Co-A coupling)</t>
  </si>
  <si>
    <t xml:space="preserve">h_p + atp_c + octa_p + coa_c  -&gt; h_c + occoa_c + ppi_c + amp_c </t>
  </si>
  <si>
    <t>PPGPPDP</t>
  </si>
  <si>
    <t>Guanosine-3',5'-bis(diphosphate) 3'-diphosphatase</t>
  </si>
  <si>
    <t xml:space="preserve">h2o_c + ppgpp_c  -&gt; gdp_c + ppi_c </t>
  </si>
  <si>
    <t>3.1.7.2</t>
  </si>
  <si>
    <t>CPGNabcpp</t>
  </si>
  <si>
    <t>Coprogen transport via ABC system (periplasm)</t>
  </si>
  <si>
    <t xml:space="preserve">atp_c + h2o_c + cpgn_p  -&gt; h_c + adp_c + pi_c + cpgn_c </t>
  </si>
  <si>
    <t>CITtex_f</t>
  </si>
  <si>
    <t>Citrate transport via diffusion (extracellular to periplasm)</t>
  </si>
  <si>
    <t xml:space="preserve">cit_e  -&gt; cit_p </t>
  </si>
  <si>
    <t>ACGAtex_f</t>
  </si>
  <si>
    <t>N-Acetyl-D-glucosamine transport via diffusion (extracellular to periplasm)</t>
  </si>
  <si>
    <t xml:space="preserve">acgam_e  -&gt; acgam_p </t>
  </si>
  <si>
    <t>DDCAtexi</t>
  </si>
  <si>
    <t>Fatty acid (dodecanoate) transport via facilitated irreversible diffusion (extracellular to periplasm)</t>
  </si>
  <si>
    <t xml:space="preserve">ddca_e  -&gt; ddca_p </t>
  </si>
  <si>
    <t>TTDCAtexi</t>
  </si>
  <si>
    <t>Tetradecanoate transport via facilitated irreversible diffusion (extracellular to periplasm)</t>
  </si>
  <si>
    <t xml:space="preserve">ttdca_e  -&gt; ttdca_p </t>
  </si>
  <si>
    <t>HDCAtexi</t>
  </si>
  <si>
    <t>Hexadecanoate transport via facilitated irreversible diffusion (extracellular to periplasm)</t>
  </si>
  <si>
    <t xml:space="preserve">hdca_e  -&gt; hdca_p </t>
  </si>
  <si>
    <t>23PDE2pp</t>
  </si>
  <si>
    <t>2',3'-cyclic-nucleotide phosphodiesterase (UMP) (periplasm)</t>
  </si>
  <si>
    <t xml:space="preserve">h2o_p + 23cump_p  -&gt; h_p + 3ump_p </t>
  </si>
  <si>
    <t>3.1.4.16</t>
  </si>
  <si>
    <t>23PDE4pp</t>
  </si>
  <si>
    <t>2',3'-cyclic-nucleotide phosphodiesterase (CMP) (periplasm)</t>
  </si>
  <si>
    <t xml:space="preserve">h2o_p + 23ccmp_p  -&gt; h_p + 3cmp_p </t>
  </si>
  <si>
    <t>23PDE9pp</t>
  </si>
  <si>
    <t>2',3'-cyclic-nucleotide phosphodiesterase (GMP) (periplasm)</t>
  </si>
  <si>
    <t xml:space="preserve">h2o_p + 23cgmp_p  -&gt; h_p + 3gmp_p </t>
  </si>
  <si>
    <t>SARCOX</t>
  </si>
  <si>
    <t>Sarcosine oxidase</t>
  </si>
  <si>
    <t xml:space="preserve">o2_c + h2o_c + sarcs_c  -&gt; fald_c + gly_c + h2o2_c </t>
  </si>
  <si>
    <t>1.5.3.-</t>
  </si>
  <si>
    <t>MN6PP</t>
  </si>
  <si>
    <t>Mannose 6-phosphate phosphatase</t>
  </si>
  <si>
    <t xml:space="preserve">h2o_c + man6p_c  -&gt; pi_c + man_c </t>
  </si>
  <si>
    <t>3.1.3.23</t>
  </si>
  <si>
    <t>3KGK</t>
  </si>
  <si>
    <t>3-keto-L-gulonate kinase</t>
  </si>
  <si>
    <t xml:space="preserve">atp_c + 3dhguln_c  -&gt; h_c + 3dhgulnp_c + adp_c </t>
  </si>
  <si>
    <t>2.7.1.53</t>
  </si>
  <si>
    <t>F6PP</t>
  </si>
  <si>
    <t>D-fructose 6-phosphate phosphatase</t>
  </si>
  <si>
    <t xml:space="preserve">h2o_c + f6p_c  -&gt; fru_c + pi_c </t>
  </si>
  <si>
    <t>GDPMNH</t>
  </si>
  <si>
    <t>GDP-mannose mannosyl hydrolase</t>
  </si>
  <si>
    <t xml:space="preserve">gdpmann_c + h2o_c  -&gt; h_c + gdp_c + man_c </t>
  </si>
  <si>
    <t>FACOAL60t2pp</t>
  </si>
  <si>
    <t>Fatty-acid-CoA ligase (hexanoate transport via vectoral Co-A coupling)</t>
  </si>
  <si>
    <t xml:space="preserve">h_p + atp_c + hxa_p + coa_c  -&gt; h_c + ppi_c + hxcoa_c + amp_c </t>
  </si>
  <si>
    <t>IDONt2rpp_f</t>
  </si>
  <si>
    <t>L-idonate transport via proton symport, reversible (periplasm)</t>
  </si>
  <si>
    <t xml:space="preserve">h_p + idon__L_p  -&gt; h_c + idon__L_c </t>
  </si>
  <si>
    <t>3.6.3</t>
  </si>
  <si>
    <t>ILEabcpp</t>
  </si>
  <si>
    <t>L-isoleucine transport via ABC system (periplasm)</t>
  </si>
  <si>
    <t xml:space="preserve">atp_c + ile__L_p + h2o_c  -&gt; h_c + adp_c + pi_c + ile__L_c </t>
  </si>
  <si>
    <t>INDOLEt2pp</t>
  </si>
  <si>
    <t>Indole transport via proton symport, irreversible (periplasm)</t>
  </si>
  <si>
    <t xml:space="preserve">h_c + indole_c  -&gt; h_p + indole_p </t>
  </si>
  <si>
    <t>INSt2pp</t>
  </si>
  <si>
    <t>Inosine transport in via proton symport (periplasm)</t>
  </si>
  <si>
    <t xml:space="preserve">h_p + ins_p  -&gt; h_c + ins_c </t>
  </si>
  <si>
    <t>LYXt2pp</t>
  </si>
  <si>
    <t>L-Lyxose transport via proton symport (periplasm)</t>
  </si>
  <si>
    <t xml:space="preserve">h_p + lyx__L_p  -&gt; h_c + lyx__L_c </t>
  </si>
  <si>
    <t>GDPDPK</t>
  </si>
  <si>
    <t>GDP diphosphokinase</t>
  </si>
  <si>
    <t xml:space="preserve">atp_c + gdp_c  -&gt; h_c + ppgpp_c + amp_c </t>
  </si>
  <si>
    <t>OCDCAtexi</t>
  </si>
  <si>
    <t>Octadecanoate transport via facilitated irreversible diffusion (extracellular to periplasm)</t>
  </si>
  <si>
    <t xml:space="preserve">ocdca_e  -&gt; ocdca_p </t>
  </si>
  <si>
    <t>OCDCEAtexi</t>
  </si>
  <si>
    <t>Octadecenoate (n-C18:1) transport via facilitated irreversible diffusion (extracellular to periplasm)</t>
  </si>
  <si>
    <t xml:space="preserve">ocdcea_e  -&gt; ocdcea_p </t>
  </si>
  <si>
    <t>G6Ptex_f</t>
  </si>
  <si>
    <t>Glucose 6-phosphate transport via diffusion (extracellular to periplasm)</t>
  </si>
  <si>
    <t xml:space="preserve">g6p_e  -&gt; g6p_p </t>
  </si>
  <si>
    <t>TUNGSabcpp</t>
  </si>
  <si>
    <t>Tungstate transport via ABC system (periplasm)</t>
  </si>
  <si>
    <t xml:space="preserve">atp_c + tungs_p + h2o_c  -&gt; h_c + adp_c + pi_c + tungs_c </t>
  </si>
  <si>
    <t>3.6.3.29</t>
  </si>
  <si>
    <t>MOBDabcpp</t>
  </si>
  <si>
    <t>Molybdate transport via ABC system (periplasm)</t>
  </si>
  <si>
    <t xml:space="preserve">atp_c + mobd_p + h2o_c  -&gt; h_c + adp_c + pi_c + mobd_c </t>
  </si>
  <si>
    <t>MOBDtex_f</t>
  </si>
  <si>
    <t>Molybdate transport via diffusion (extracellular to periplasm)</t>
  </si>
  <si>
    <t xml:space="preserve">mobd_e  -&gt; mobd_p </t>
  </si>
  <si>
    <t>NI2uabcpp</t>
  </si>
  <si>
    <t>Nickel transport via ABC system (uptake, periplasm)</t>
  </si>
  <si>
    <t xml:space="preserve">atp_c + h2o_c + ni2_p  -&gt; h_c + ni2_c + adp_c + pi_c </t>
  </si>
  <si>
    <t>3.6.3.2, 3.6.3.24</t>
  </si>
  <si>
    <t>NI2tex_f</t>
  </si>
  <si>
    <t>Nickel transport via diffusion (extracellular to periplasm)</t>
  </si>
  <si>
    <t xml:space="preserve">ni2_e  -&gt; ni2_p </t>
  </si>
  <si>
    <t>R15BPK</t>
  </si>
  <si>
    <t>Ribose-1,5-bisphosphokinase</t>
  </si>
  <si>
    <t xml:space="preserve">r15bp_c + atp_c  -&gt; adp_c + prpp_c </t>
  </si>
  <si>
    <t>2.7.4.23</t>
  </si>
  <si>
    <t>Kabcpp</t>
  </si>
  <si>
    <t>Potassium ABC transporter (periplasm)</t>
  </si>
  <si>
    <t xml:space="preserve">atp_c + h2o_c + k_p  -&gt; h_c + adp_c + pi_c + k_c </t>
  </si>
  <si>
    <t>3.6.3.12</t>
  </si>
  <si>
    <t>LEUabcpp</t>
  </si>
  <si>
    <t>L-leucine transport via ABC system (periplasm)</t>
  </si>
  <si>
    <t xml:space="preserve">atp_c + h2o_c + leu__L_p  -&gt; h_c + adp_c + pi_c + leu__L_c </t>
  </si>
  <si>
    <t>L_LACt2rpp_f</t>
  </si>
  <si>
    <t>L-lactate reversible transport via proton symport (periplasm)</t>
  </si>
  <si>
    <t xml:space="preserve">h_p + lac__L_p  -&gt; h_c + lac__L_c </t>
  </si>
  <si>
    <t>MALt2_2pp</t>
  </si>
  <si>
    <t>Malate transport via proton symport (2 H) (periplasm)</t>
  </si>
  <si>
    <t xml:space="preserve">2 h_p + mal__L_p  -&gt; 2 h_c + mal__L_c </t>
  </si>
  <si>
    <t>MALt2_3pp</t>
  </si>
  <si>
    <t>Malate transport via proton symport (3 H) (periplasm)</t>
  </si>
  <si>
    <t xml:space="preserve">3 h_p + mal__L_p  -&gt; 3 h_c + mal__L_c </t>
  </si>
  <si>
    <t>MALTabcpp</t>
  </si>
  <si>
    <t>Maltose transport via ABC system (periplasm)</t>
  </si>
  <si>
    <t xml:space="preserve">malt_p + atp_c + h2o_c  -&gt; h_c + malt_c + adp_c + pi_c </t>
  </si>
  <si>
    <t>3.6.3.19</t>
  </si>
  <si>
    <t>MALTHXabcpp</t>
  </si>
  <si>
    <t>Maltohexaose transport via ABC system (periplasm)</t>
  </si>
  <si>
    <t xml:space="preserve">atp_c + h2o_c + malthx_p  -&gt; h_c + adp_c + pi_c + malthx_c </t>
  </si>
  <si>
    <t>MALTPTabcpp</t>
  </si>
  <si>
    <t>Maltopentaose transport via ABC system (periplasm)</t>
  </si>
  <si>
    <t xml:space="preserve">atp_c + h2o_c + maltpt_p  -&gt; h_c + adp_c + pi_c + maltpt_c </t>
  </si>
  <si>
    <t>MALTTRabcpp</t>
  </si>
  <si>
    <t>Maltotriose transport via ABC system (periplasm)</t>
  </si>
  <si>
    <t xml:space="preserve">atp_c + malttr_p + h2o_c  -&gt; h_c + adp_c + pi_c + malttr_c </t>
  </si>
  <si>
    <t>MALTTTRabcpp</t>
  </si>
  <si>
    <t>Maltotetraose transport via ABC system (periplasm)</t>
  </si>
  <si>
    <t xml:space="preserve">maltttr_p + atp_c + h2o_c  -&gt; h_c + adp_c + pi_c + maltttr_c </t>
  </si>
  <si>
    <t>MAN6Pt6_2pp</t>
  </si>
  <si>
    <t>Mannose-6-phosphate transport via phosphate antiport (periplasm)</t>
  </si>
  <si>
    <t xml:space="preserve">man6p_p + 2 pi_c  -&gt; man6p_c + 2 pi_p </t>
  </si>
  <si>
    <t>MANGLYCptspp</t>
  </si>
  <si>
    <t>2-O-alpha-mannosyl-D-glycerate transport via PEP:Pyr PTS (periplasm)</t>
  </si>
  <si>
    <t xml:space="preserve">pep_c + manglyc_p  -&gt; man6pglyc_c + pyr_c </t>
  </si>
  <si>
    <t>2.7.1.195</t>
  </si>
  <si>
    <t>MELIBt2pp</t>
  </si>
  <si>
    <t>Melibiose transport in via symport (periplasm)</t>
  </si>
  <si>
    <t xml:space="preserve">h_p + melib_p  -&gt; h_c + melib_c </t>
  </si>
  <si>
    <t>METabcpp</t>
  </si>
  <si>
    <t>L-methionine transport via ABC system (periplasm)</t>
  </si>
  <si>
    <t xml:space="preserve">atp_c + met__L_p + h2o_c  -&gt; h_c + adp_c + met__L_c + pi_c </t>
  </si>
  <si>
    <t>GGPTRCS</t>
  </si>
  <si>
    <t>Gamma glutamyl putrescine synthase</t>
  </si>
  <si>
    <t xml:space="preserve">atp_c + glu__L_c + ptrc_c  -&gt; h_c + adp_c + pi_c + ggptrc_c </t>
  </si>
  <si>
    <t>6.3.1.11</t>
  </si>
  <si>
    <t>RMNtpp</t>
  </si>
  <si>
    <t>L-rhamnose transport via proton symport (periplasm)</t>
  </si>
  <si>
    <t xml:space="preserve">h_p + rmn_p  -&gt; h_c + rmn_c </t>
  </si>
  <si>
    <t>SERt4pp</t>
  </si>
  <si>
    <t>L-serine via sodium symport (periplasm)</t>
  </si>
  <si>
    <t xml:space="preserve">na1_p + ser__L_p  -&gt; ser__L_c + na1_c </t>
  </si>
  <si>
    <t>SUCCt2_3pp</t>
  </si>
  <si>
    <t>Succintate transport via proton symport (3 H) (periplasm)</t>
  </si>
  <si>
    <t xml:space="preserve">3 h_p + succ_p  -&gt; 3 h_c + succ_c </t>
  </si>
  <si>
    <t>MNLptspp</t>
  </si>
  <si>
    <t>Mannitol transport via PEP:Pyr PTS (periplasm)</t>
  </si>
  <si>
    <t xml:space="preserve">pep_c + mnl_p  -&gt; mnl1p_c + pyr_c </t>
  </si>
  <si>
    <t>NAt3_1p5pp</t>
  </si>
  <si>
    <t>Sodium proton antiporter (H:NA is 1.5) (periplasm)</t>
  </si>
  <si>
    <t xml:space="preserve">3 h_p + 2 na1_c  -&gt; 3 h_c + 2 na1_p </t>
  </si>
  <si>
    <t>NAt3_2pp</t>
  </si>
  <si>
    <t>Sodium proton antiporter (H:NA is 2) (periplasm)</t>
  </si>
  <si>
    <t xml:space="preserve">2 h_p + na1_c  -&gt; 2 h_c + na1_p </t>
  </si>
  <si>
    <t>NH4tpp_f</t>
  </si>
  <si>
    <t>Ammonia reversible transport (periplasm)</t>
  </si>
  <si>
    <t xml:space="preserve">nh4_p  -&gt; nh4_c </t>
  </si>
  <si>
    <t>NMNPtpp</t>
  </si>
  <si>
    <t>NMN permease (periplasm)</t>
  </si>
  <si>
    <t xml:space="preserve">nmn_p  -&gt; nmn_c </t>
  </si>
  <si>
    <t>NO2t2rpp_f</t>
  </si>
  <si>
    <t>Nitrite transport in via proton symport, reversible (periplasm)</t>
  </si>
  <si>
    <t xml:space="preserve">h_p + no2_p  -&gt; h_c + no2_c </t>
  </si>
  <si>
    <t>NO3t7pp</t>
  </si>
  <si>
    <t>Nitrate transport in via nitrite antiport (periplasm)</t>
  </si>
  <si>
    <t xml:space="preserve">no3_p + no2_c  -&gt; no2_p + no3_c </t>
  </si>
  <si>
    <t>ORNabcpp</t>
  </si>
  <si>
    <t>Ornithine transport via ABC system (periplasm)</t>
  </si>
  <si>
    <t xml:space="preserve">atp_c + orn_p + h2o_c  -&gt; h_c + adp_c + pi_c + orn_c </t>
  </si>
  <si>
    <t>PIuabcpp</t>
  </si>
  <si>
    <t>Phosphate transport via ABC system (uptake, periplasm)</t>
  </si>
  <si>
    <t xml:space="preserve">atp_c + h2o_c + pi_p  -&gt; h_c + adp_c + 2 pi_c </t>
  </si>
  <si>
    <t>3.6.3.27</t>
  </si>
  <si>
    <t>PNTOt4pp</t>
  </si>
  <si>
    <t>Pantothenate sodium symporter (periplasm)</t>
  </si>
  <si>
    <t xml:space="preserve">pnto__R_p + na1_p  -&gt; pnto__R_c + na1_c </t>
  </si>
  <si>
    <t>FRULYSDG_f</t>
  </si>
  <si>
    <t>Fructoselysine phosphate deglycase</t>
  </si>
  <si>
    <t xml:space="preserve">frulysp_c + h2o_c  -&gt; lys__L_c + g6p_c </t>
  </si>
  <si>
    <t>3.5.-.-</t>
  </si>
  <si>
    <t>METDabcpp</t>
  </si>
  <si>
    <t>D-methionine transport via ABC system (periplasm)</t>
  </si>
  <si>
    <t xml:space="preserve">atp_c + h2o_c + met__D_p  -&gt; h_c + met__D_c + adp_c + pi_c </t>
  </si>
  <si>
    <t>PROabcpp</t>
  </si>
  <si>
    <t>L-proline transport via ABC system (periplasm)</t>
  </si>
  <si>
    <t xml:space="preserve">atp_c + pro__L_p + h2o_c  -&gt; h_c + adp_c + pi_c + pro__L_c </t>
  </si>
  <si>
    <t>3.6.3.32</t>
  </si>
  <si>
    <t>PROt2rpp_f</t>
  </si>
  <si>
    <t>L-proline reversible transport via proton symport (periplasm)</t>
  </si>
  <si>
    <t xml:space="preserve">h_p + pro__L_p  -&gt; h_c + pro__L_c </t>
  </si>
  <si>
    <t>PROt4pp</t>
  </si>
  <si>
    <t>Na+/Proline-L symporter (periplasm)</t>
  </si>
  <si>
    <t xml:space="preserve">na1_p + pro__L_p  -&gt; pro__L_c + na1_c </t>
  </si>
  <si>
    <t>PTRCabcpp</t>
  </si>
  <si>
    <t>Putrescine transport via ABC system (periplasm)</t>
  </si>
  <si>
    <t xml:space="preserve">ptrc_p + atp_c + h2o_c  -&gt; h_c + adp_c + pi_c + ptrc_c </t>
  </si>
  <si>
    <t>3.6.3.31</t>
  </si>
  <si>
    <t>ASNNpp</t>
  </si>
  <si>
    <t xml:space="preserve">h2o_p + asn__L_p  -&gt; nh4_p + asp__L_p </t>
  </si>
  <si>
    <t>GLUNpp</t>
  </si>
  <si>
    <t xml:space="preserve">h2o_p + gln__L_p  -&gt; nh4_p + glu__L_p </t>
  </si>
  <si>
    <t>NTD12</t>
  </si>
  <si>
    <t>5'-nucleotidase (dIMP)</t>
  </si>
  <si>
    <t xml:space="preserve">dimp_c + h2o_c  -&gt; pi_c + din_c </t>
  </si>
  <si>
    <t>FECRMtonex</t>
  </si>
  <si>
    <t>Ferrichrome transport via ton system (extracellular)</t>
  </si>
  <si>
    <t xml:space="preserve">h_p + fecrm_e  -&gt; h_c + fecrm_p </t>
  </si>
  <si>
    <t>ADOCBLabcpp</t>
  </si>
  <si>
    <t>Adenosylcobalamin transport via ABC system (periplasm)</t>
  </si>
  <si>
    <t xml:space="preserve">atp_c + adocbl_p + h2o_c  -&gt; h_c + adocbl_c + adp_c + pi_c </t>
  </si>
  <si>
    <t>CRNabcpp</t>
  </si>
  <si>
    <t>L-carnitine transport via ABC system (periplasm)</t>
  </si>
  <si>
    <t xml:space="preserve">atp_c + crn_p + h2o_c  -&gt; h_c + adp_c + pi_c + crn_c </t>
  </si>
  <si>
    <t>CRNDabcpp</t>
  </si>
  <si>
    <t>D-carnitine transport via ABC system (periplasm)</t>
  </si>
  <si>
    <t xml:space="preserve">crn__D_p + atp_c + h2o_c  -&gt; h_c + adp_c + pi_c + crn__D_c </t>
  </si>
  <si>
    <t>DNTPPA</t>
  </si>
  <si>
    <t>Dihydroneopterin triphosphate pyrophosphatase</t>
  </si>
  <si>
    <t xml:space="preserve">h2o_c + ahdt_c  -&gt; h_c + dhpmp_c + ppi_c </t>
  </si>
  <si>
    <t>3.6.1.67</t>
  </si>
  <si>
    <t>CTBTabcpp</t>
  </si>
  <si>
    <t>Crotonobetaine transport via ABC system (periplasm)</t>
  </si>
  <si>
    <t xml:space="preserve">ctbt_p + atp_c + h2o_c  -&gt; h_c + adp_c + ctbt_c + pi_c </t>
  </si>
  <si>
    <t>NTPP9</t>
  </si>
  <si>
    <t>Nucleoside triphosphate pyrophosphorylase (itp)</t>
  </si>
  <si>
    <t xml:space="preserve">h2o_c + itp_c  -&gt; h_c + imp_c + ppi_c </t>
  </si>
  <si>
    <t>3.6.1.66</t>
  </si>
  <si>
    <t>NTPP10</t>
  </si>
  <si>
    <t>Nucleoside triphosphate pyrophosphorylase (ditp)</t>
  </si>
  <si>
    <t xml:space="preserve">ditp_c + h2o_c  -&gt; h_c + dimp_c + ppi_c </t>
  </si>
  <si>
    <t>NTPP11</t>
  </si>
  <si>
    <t>Nucleoside triphosphate pyrophosphorylase (xtp)</t>
  </si>
  <si>
    <t xml:space="preserve">xtp_c + h2o_c  -&gt; h_c + ppi_c + xmp_c </t>
  </si>
  <si>
    <t>NTD10pp</t>
  </si>
  <si>
    <t xml:space="preserve">h2o_p + xmp_p  -&gt; xtsn_p + pi_p </t>
  </si>
  <si>
    <t>3.1.3.2, 3.1.3.5, 3.6.1.45</t>
  </si>
  <si>
    <t>NTD1pp</t>
  </si>
  <si>
    <t xml:space="preserve">dump_p + h2o_p  -&gt; duri_p + pi_p </t>
  </si>
  <si>
    <t>NTD2pp</t>
  </si>
  <si>
    <t xml:space="preserve">h2o_p + ump_p  -&gt; uri_p + pi_p </t>
  </si>
  <si>
    <t>NTD3pp</t>
  </si>
  <si>
    <t>5'-nucleotidase (dCMP)</t>
  </si>
  <si>
    <t xml:space="preserve">h2o_p + dcmp_p  -&gt; dcyt_p + pi_p </t>
  </si>
  <si>
    <t>NTD4pp</t>
  </si>
  <si>
    <t xml:space="preserve">h2o_p + cmp_p  -&gt; cytd_p + pi_p </t>
  </si>
  <si>
    <t>NTD5pp</t>
  </si>
  <si>
    <t xml:space="preserve">h2o_p + dtmp_p  -&gt; thymd_p + pi_p </t>
  </si>
  <si>
    <t>NTD6pp</t>
  </si>
  <si>
    <t xml:space="preserve">h2o_p + damp_p  -&gt; pi_p + dad_2_p </t>
  </si>
  <si>
    <t>NTD7pp</t>
  </si>
  <si>
    <t xml:space="preserve">h2o_p + amp_p  -&gt; adn_p + pi_p </t>
  </si>
  <si>
    <t>NTD9pp</t>
  </si>
  <si>
    <t xml:space="preserve">h2o_p + gmp_p  -&gt; gsn_p + pi_p </t>
  </si>
  <si>
    <t>PEAMNOpp</t>
  </si>
  <si>
    <t>Phenethylamine oxidase</t>
  </si>
  <si>
    <t xml:space="preserve">peamn_p + h2o_p + o2_p  -&gt; nh4_p + pacald_p + h2o2_p </t>
  </si>
  <si>
    <t>GAL1PPpp</t>
  </si>
  <si>
    <t>D-galactose 1-phosphatase</t>
  </si>
  <si>
    <t xml:space="preserve">h2o_p + gal1p_p  -&gt; gal_p + pi_p </t>
  </si>
  <si>
    <t>H2O2tex_f</t>
  </si>
  <si>
    <t>Hydrogen peroxide transport via diffusion (external)</t>
  </si>
  <si>
    <t xml:space="preserve">h2o2_e  -&gt; h2o2_p </t>
  </si>
  <si>
    <t>ARGDCpp</t>
  </si>
  <si>
    <t xml:space="preserve">h_p + arg__L_p  -&gt; agm_p + co2_p </t>
  </si>
  <si>
    <t>ALLPI_f</t>
  </si>
  <si>
    <t>Allose 6-phosphate isomerase</t>
  </si>
  <si>
    <t xml:space="preserve">all6p_c  -&gt; allul6p_c </t>
  </si>
  <si>
    <t>5.3.1.6</t>
  </si>
  <si>
    <t>ALLK</t>
  </si>
  <si>
    <t>Allose kinase</t>
  </si>
  <si>
    <t xml:space="preserve">all__D_c + atp_c  -&gt; h_c + adp_c + all6p_c </t>
  </si>
  <si>
    <t>2.7.1.55</t>
  </si>
  <si>
    <t>ALLULPE_f</t>
  </si>
  <si>
    <t>Allulose 6-phosphate epimerase</t>
  </si>
  <si>
    <t xml:space="preserve">allul6p_c  -&gt; f6p_c </t>
  </si>
  <si>
    <t>5.1.3.-</t>
  </si>
  <si>
    <t>ADEtex_f</t>
  </si>
  <si>
    <t>Adenine transport via diffusion (extracellular to periplasm)</t>
  </si>
  <si>
    <t xml:space="preserve">ade_e  -&gt; ade_p </t>
  </si>
  <si>
    <t>ADNtex_f</t>
  </si>
  <si>
    <t>Adenosine transport via diffusion (extracellular to periplasm)</t>
  </si>
  <si>
    <t xml:space="preserve">adn_e  -&gt; adn_p </t>
  </si>
  <si>
    <t>AGMtex_f</t>
  </si>
  <si>
    <t>Agmatine transport via diffusion (extracellular to periplasm)</t>
  </si>
  <si>
    <t xml:space="preserve">agm_e  -&gt; agm_p </t>
  </si>
  <si>
    <t>ALAtex_f</t>
  </si>
  <si>
    <t>L-alanine transport via diffusion (extracellular to periplasm)</t>
  </si>
  <si>
    <t xml:space="preserve">ala__L_e  -&gt; ala__L_p </t>
  </si>
  <si>
    <t>BALAtex_f</t>
  </si>
  <si>
    <t>Beta-alanine transport via diffusion (extracellular to periplasm)</t>
  </si>
  <si>
    <t xml:space="preserve">ala_B_e  -&gt; ala_B_p </t>
  </si>
  <si>
    <t>DALAtex_f</t>
  </si>
  <si>
    <t>D-Alanine transport via diffusion (extracellular to periplasm)</t>
  </si>
  <si>
    <t xml:space="preserve">ala__D_e  -&gt; ala__D_p </t>
  </si>
  <si>
    <t>AMPtex_f</t>
  </si>
  <si>
    <t>AMP transport via diffusion (extracellular to periplasm)</t>
  </si>
  <si>
    <t xml:space="preserve">amp_e  -&gt; amp_p </t>
  </si>
  <si>
    <t>ARBtex_f</t>
  </si>
  <si>
    <t>L-arabinose transport via diffusion (extracellular to periplasm)</t>
  </si>
  <si>
    <t xml:space="preserve">arab__L_e  -&gt; arab__L_p </t>
  </si>
  <si>
    <t>ARGtex_f</t>
  </si>
  <si>
    <t>L-arginine transport via diffusion (extracellular to periplasm)</t>
  </si>
  <si>
    <t xml:space="preserve">arg__L_e  -&gt; arg__L_p </t>
  </si>
  <si>
    <t>ASCBtex_f</t>
  </si>
  <si>
    <t>L-ascorbate transport via diffusion (extracellular to periplasm)</t>
  </si>
  <si>
    <t xml:space="preserve">ascb__L_e  -&gt; ascb__L_p </t>
  </si>
  <si>
    <t>FACOAL100t2pp</t>
  </si>
  <si>
    <t>Fatty-acid-CoA ligase (decanoate transport via vectoral Co-A coupling)</t>
  </si>
  <si>
    <t xml:space="preserve">h_p + atp_c + coa_c + dca_p  -&gt; h_c + ppi_c + dcacoa_c + amp_c </t>
  </si>
  <si>
    <t>RIBabcpp</t>
  </si>
  <si>
    <t>D-ribose transport via ABC system (periplasm)</t>
  </si>
  <si>
    <t xml:space="preserve">atp_c + rib__D_p + h2o_c  -&gt; h_c + rib__D_c + adp_c + pi_c </t>
  </si>
  <si>
    <t>GPDDA3pp</t>
  </si>
  <si>
    <t>Glycerophosphodiester phosphodiesterase (Glycerophosphoserine)</t>
  </si>
  <si>
    <t xml:space="preserve">h2o_p + g3ps_p  -&gt; h_p + ser__L_p + glyc3p_p </t>
  </si>
  <si>
    <t>GPDDA4pp</t>
  </si>
  <si>
    <t>Glycerophosphodiester phosphodiesterase (Glycerophosphoglycerol)</t>
  </si>
  <si>
    <t xml:space="preserve">h2o_p + g3pg_p  -&gt; h_p + glyc_p + glyc3p_p </t>
  </si>
  <si>
    <t>GPDDA2pp</t>
  </si>
  <si>
    <t xml:space="preserve">h2o_p + g3pe_p  -&gt; h_p + glyc3p_p + etha_p </t>
  </si>
  <si>
    <t>FACOAL120t2pp</t>
  </si>
  <si>
    <t>Fatty-acid-CoA ligase (dodecanoate transport via vectoral Co-A coupling)</t>
  </si>
  <si>
    <t xml:space="preserve">h_p + atp_c + ddca_p + coa_c  -&gt; h_c + ddcacoa_c + ppi_c + amp_c </t>
  </si>
  <si>
    <t>FACOAL140t2pp</t>
  </si>
  <si>
    <t>Fatty-acid-CoA ligase (tetradecanoate transport via vectoral Co-A coupling)</t>
  </si>
  <si>
    <t xml:space="preserve">h_p + atp_c + ttdca_p + coa_c  -&gt; h_c + tdcoa_c + ppi_c + amp_c </t>
  </si>
  <si>
    <t>FE3HOXtonex</t>
  </si>
  <si>
    <t>Fe(III)hydroxamine transport via ton system (extracellular)</t>
  </si>
  <si>
    <t xml:space="preserve">h_p + fe3hox_e  -&gt; h_c + fe3hox_p </t>
  </si>
  <si>
    <t>CU2abcpp</t>
  </si>
  <si>
    <t>Copper (Cu+2) ABC transporter (periplasm)</t>
  </si>
  <si>
    <t xml:space="preserve">atp_c + h2o_c + cu2_c  -&gt; h_c + cu2_p + adp_c + pi_c </t>
  </si>
  <si>
    <t>COBALT2abcpp</t>
  </si>
  <si>
    <t>Cobalt (Co+2) ABC transporter (periplasm)</t>
  </si>
  <si>
    <t xml:space="preserve">atp_c + cobalt2_c + h2o_c  -&gt; h_c + adp_c + pi_c + cobalt2_p </t>
  </si>
  <si>
    <t>NI2abcpp</t>
  </si>
  <si>
    <t>Nickle (Ni+2) ABC transporter (periplasm)</t>
  </si>
  <si>
    <t xml:space="preserve">ni2_c + atp_c + h2o_c  -&gt; h_c + adp_c + pi_c + ni2_p </t>
  </si>
  <si>
    <t>3.6.3.24</t>
  </si>
  <si>
    <t>MG2uabcpp</t>
  </si>
  <si>
    <t>Magnesium (Mg+2) ABC transporter (ubtake, periplasm)</t>
  </si>
  <si>
    <t xml:space="preserve">atp_c + mg2_p + h2o_c  -&gt; h_c + mg2_c + adp_c + pi_c </t>
  </si>
  <si>
    <t>3.6.3.2</t>
  </si>
  <si>
    <t>HCYSMT2</t>
  </si>
  <si>
    <t>Homocysteine Methyltransferase</t>
  </si>
  <si>
    <t xml:space="preserve">hcys__L_c + mmet_c  -&gt; h_c + 2 met__L_c </t>
  </si>
  <si>
    <t>MMETtex_f</t>
  </si>
  <si>
    <t>S-methyl-L-methionine transport via diffusion (extracellular to periplasm)</t>
  </si>
  <si>
    <t xml:space="preserve">mmet_e  -&gt; mmet_p </t>
  </si>
  <si>
    <t>FE3tex_f</t>
  </si>
  <si>
    <t>Iron (III) transport via diffusion (extracellular to periplasm)</t>
  </si>
  <si>
    <t xml:space="preserve">fe3_e  -&gt; fe3_p </t>
  </si>
  <si>
    <t>MG2tex_f</t>
  </si>
  <si>
    <t>Magnesium (Mg+2) transport via diffusion (extracellular to periplasm)</t>
  </si>
  <si>
    <t xml:space="preserve">mg2_e  -&gt; mg2_p </t>
  </si>
  <si>
    <t>Zn2tex_f</t>
  </si>
  <si>
    <t>Zinc (Zn+2) transport via diffusion (extracellular to periplasm)</t>
  </si>
  <si>
    <t xml:space="preserve">zn2_e  -&gt; zn2_p </t>
  </si>
  <si>
    <t>MMETt2pp</t>
  </si>
  <si>
    <t>S-methylmethionine permease (periplasm)</t>
  </si>
  <si>
    <t xml:space="preserve">h_p + mmet_p  -&gt; h_c + mmet_c </t>
  </si>
  <si>
    <t>CD2tex_f</t>
  </si>
  <si>
    <t>Cadmium (Cd+2) transport via diffusion (extracellular to periplasm)</t>
  </si>
  <si>
    <t xml:space="preserve">cd2_e  -&gt; cd2_p </t>
  </si>
  <si>
    <t>GLNabcpp</t>
  </si>
  <si>
    <t>L-glutamine transport via ABC system (periplasm)</t>
  </si>
  <si>
    <t xml:space="preserve">atp_c + gln__L_p + h2o_c  -&gt; h_c + adp_c + pi_c + gln__L_c </t>
  </si>
  <si>
    <t>GLUabcpp</t>
  </si>
  <si>
    <t>L-glutamate transport via ABC system (periplasm)</t>
  </si>
  <si>
    <t xml:space="preserve">atp_c + h2o_c + glu__L_p  -&gt; h_c + adp_c + pi_c + glu__L_c </t>
  </si>
  <si>
    <t>GLUABUTt7pp_f</t>
  </si>
  <si>
    <t>4-aminobutyrate/glutamate antiport (periplasm)</t>
  </si>
  <si>
    <t xml:space="preserve">4abut_c + glu__L_p  -&gt; 4abut_p + glu__L_c </t>
  </si>
  <si>
    <t>GLUt2rpp_f</t>
  </si>
  <si>
    <t>L-glutamate transport via proton symport, reversible (periplasm)</t>
  </si>
  <si>
    <t xml:space="preserve">h_p + glu__L_p  -&gt; h_c + glu__L_c </t>
  </si>
  <si>
    <t>GLUt4pp</t>
  </si>
  <si>
    <t>Na+/glutamate symport (periplasm)</t>
  </si>
  <si>
    <t xml:space="preserve">na1_p + glu__L_p  -&gt; glu__L_c + na1_c </t>
  </si>
  <si>
    <t>GLYALDtpp_f</t>
  </si>
  <si>
    <t>Glyceraldehyde facilitated diffusion (periplasm)</t>
  </si>
  <si>
    <t xml:space="preserve">glyald_p  -&gt; glyald_c </t>
  </si>
  <si>
    <t>ACGK</t>
  </si>
  <si>
    <t>Acetylglutamate kinase</t>
  </si>
  <si>
    <t xml:space="preserve">atp_c + acglu_c  -&gt; adp_c + acg5p_c </t>
  </si>
  <si>
    <t>2.7.2.8</t>
  </si>
  <si>
    <t>LCTSt3ipp</t>
  </si>
  <si>
    <t>Lactose transport via proton aniport (periplasm)</t>
  </si>
  <si>
    <t xml:space="preserve">lcts_c + h_p  -&gt; h_c + lcts_p </t>
  </si>
  <si>
    <t>ARBt3ipp</t>
  </si>
  <si>
    <t>L-arabinose transport via proton antiport (periplasm)</t>
  </si>
  <si>
    <t xml:space="preserve">h_p + arab__L_c  -&gt; h_c + arab__L_p </t>
  </si>
  <si>
    <t>14GLUCANabcpp</t>
  </si>
  <si>
    <t>1,4-alpha-D-glucan transport via ABC system (periplasm)</t>
  </si>
  <si>
    <t xml:space="preserve">14glucan_p + atp_c + h2o_c  -&gt; h_c + adp_c + pi_c + 14glucan_c </t>
  </si>
  <si>
    <t>14GLUCANtexi</t>
  </si>
  <si>
    <t>1,4-alpha-D-glucan transport via diffusion (extracellular to periplasm) irreversible</t>
  </si>
  <si>
    <t xml:space="preserve">14glucan_e  -&gt; 14glucan_p </t>
  </si>
  <si>
    <t>2.4.1.161</t>
  </si>
  <si>
    <t>DHPTPE_f</t>
  </si>
  <si>
    <t>Dihydroneopterin triphosphate 2'-epimerase</t>
  </si>
  <si>
    <t xml:space="preserve">ahdt_c  -&gt; dhmptp_c </t>
  </si>
  <si>
    <t>5.1.99.-</t>
  </si>
  <si>
    <t>NADPHQR2</t>
  </si>
  <si>
    <t>NADPH Quinone Reductase (Ubiquinone-8)</t>
  </si>
  <si>
    <t xml:space="preserve">h_c + q8_c + nadph_c  -&gt; q8h2_c + nadp_c </t>
  </si>
  <si>
    <t>NADPHQR3</t>
  </si>
  <si>
    <t>NADPH Quinone Reductase (Menaquinone-8)</t>
  </si>
  <si>
    <t xml:space="preserve">h_c + mqn8_c + nadph_c  -&gt; nadp_c + mql8_c </t>
  </si>
  <si>
    <t>NADPHQR4</t>
  </si>
  <si>
    <t>NADPH Quinone Reductase (2-Demethylmenaquinone-8)</t>
  </si>
  <si>
    <t xml:space="preserve">h_c + 2dmmq8_c + nadph_c  -&gt; nadp_c + 2dmmql8_c </t>
  </si>
  <si>
    <t>GLBRAN2</t>
  </si>
  <si>
    <t>1,4-alpha-glucan branching enzyme (glycogen -&gt; bglycogen)</t>
  </si>
  <si>
    <t xml:space="preserve">glycogen_c  -&gt; bglycogen_c </t>
  </si>
  <si>
    <t>2.4.1.18</t>
  </si>
  <si>
    <t>ASR</t>
  </si>
  <si>
    <t>Arsenate reductase</t>
  </si>
  <si>
    <t xml:space="preserve">2 gthrd_c + aso4_c  -&gt; aso3_c + h2o_c + gthox_c </t>
  </si>
  <si>
    <t>1.20.4.1</t>
  </si>
  <si>
    <t>ASO3tex_f</t>
  </si>
  <si>
    <t>Arsenite transport via diffusion (extracellular to periplasm)</t>
  </si>
  <si>
    <t xml:space="preserve">aso3_e  -&gt; aso3_p </t>
  </si>
  <si>
    <t>MANGLYCtex_f</t>
  </si>
  <si>
    <t>2-O-alpha-mannosyl-D-glycerate transport via diffusion (extracellular to periplasm)</t>
  </si>
  <si>
    <t xml:space="preserve">manglyc_e  -&gt; manglyc_p </t>
  </si>
  <si>
    <t>FRUURt2rpp_f</t>
  </si>
  <si>
    <t>D-fructuronate transport via proton symport, reversible (periplasm)</t>
  </si>
  <si>
    <t xml:space="preserve">h_p + fruur_p  -&gt; h_c + fruur_c </t>
  </si>
  <si>
    <t>FRUURtex_f</t>
  </si>
  <si>
    <t>D-fructuronate transport via diffusion (extracellular)</t>
  </si>
  <si>
    <t xml:space="preserve">fruur_e  -&gt; fruur_p </t>
  </si>
  <si>
    <t>ECAtpp</t>
  </si>
  <si>
    <t>Enterobacterial common antigen transferase (flippase, cytoplasm to periplasm)</t>
  </si>
  <si>
    <t xml:space="preserve">unagamuf_c  -&gt; unagamuf_p </t>
  </si>
  <si>
    <t>O16AT</t>
  </si>
  <si>
    <t>Rhamanosyl-N-acetylglucosamyl-undecaprenyl diphosphate O-acetyltransferase (LPS O16 antigen biosynthesis)</t>
  </si>
  <si>
    <t xml:space="preserve">accoa_c + ragund_c  -&gt; coa_c + aragund_c </t>
  </si>
  <si>
    <t>2.3.1.-</t>
  </si>
  <si>
    <t>O16GALFT</t>
  </si>
  <si>
    <t>Galactofuranosyltransferase (LPS O16 antigen biosynthesis)</t>
  </si>
  <si>
    <t xml:space="preserve">udpgalfur_c + garagund_c  -&gt; h_c + udp_c + gfgaragund_c </t>
  </si>
  <si>
    <t>O16AUNDtpp</t>
  </si>
  <si>
    <t>O16 antigen (flippase, cytoplasm to periplasm)</t>
  </si>
  <si>
    <t xml:space="preserve">o16aund_c  -&gt; o16aund_p </t>
  </si>
  <si>
    <t>O16AP1pp</t>
  </si>
  <si>
    <t xml:space="preserve">2 o16aund_p  -&gt; udcpdp_p + h_p + o16a2und_p </t>
  </si>
  <si>
    <t>GLYCAt2rpp_f</t>
  </si>
  <si>
    <t>D-glycerate transport via proton symport, reversible (periplasm)</t>
  </si>
  <si>
    <t xml:space="preserve">h_p + glyc__R_p  -&gt; h_c + glyc__R_c </t>
  </si>
  <si>
    <t>GLYCAtex_f</t>
  </si>
  <si>
    <t>D-glycerate transport via diffusion (extracellular to periplasm)</t>
  </si>
  <si>
    <t xml:space="preserve">glyc__R_e  -&gt; glyc__R_p </t>
  </si>
  <si>
    <t>AGM4PCP</t>
  </si>
  <si>
    <t>N-Acetyl-D-glucosamine(anhydrous)N-Acetylmuramyl-tetrapeptide L,D-carboxypeptidase</t>
  </si>
  <si>
    <t xml:space="preserve">anhgm4p_c + h2o_c  -&gt; anhgm3p_c + ala__D_c </t>
  </si>
  <si>
    <t>4PCP</t>
  </si>
  <si>
    <t>Tetrapeptide L,D-carboxypeptidase</t>
  </si>
  <si>
    <t xml:space="preserve">LalaDgluMdapDala_c + h2o_c  -&gt; ala__D_c + LalaDgluMdap_c </t>
  </si>
  <si>
    <t>4PCPpp</t>
  </si>
  <si>
    <t>Tetrapeptide L,D-carboxypeptidase (periplasm)</t>
  </si>
  <si>
    <t xml:space="preserve">h2o_p + LalaDgluMdapDala_p  -&gt; LalaDgluMdap_p + ala__D_p </t>
  </si>
  <si>
    <t>FALDH2_f</t>
  </si>
  <si>
    <t>Formaldehyde dehydrogenase</t>
  </si>
  <si>
    <t xml:space="preserve">nad_c + hmgth_c  -&gt; h_c + Sfglutth_c + nadh_c </t>
  </si>
  <si>
    <t>1.1.1.1, 1.1.1.284</t>
  </si>
  <si>
    <t>GLYBabcpp</t>
  </si>
  <si>
    <t>Glycine betaine transport via ABC system (periplasm)</t>
  </si>
  <si>
    <t xml:space="preserve">atp_c + h2o_c + glyb_p  -&gt; h_c + glyb_c + adp_c + pi_c </t>
  </si>
  <si>
    <t>GLYC3Pt6pp</t>
  </si>
  <si>
    <t>Glycerol-3-phosphate : phosphate antiporter (periplasm)</t>
  </si>
  <si>
    <t xml:space="preserve">pi_c + glyc3p_p  -&gt; glyc3p_c + pi_p </t>
  </si>
  <si>
    <t>GLYCLTt4pp</t>
  </si>
  <si>
    <t>Glycolate transport via sodium symport (periplasm)</t>
  </si>
  <si>
    <t xml:space="preserve">na1_p + glyclt_p  -&gt; glyclt_c + na1_c </t>
  </si>
  <si>
    <t>GLYCtpp_f</t>
  </si>
  <si>
    <t>Glycerol transport via channel (periplasm)</t>
  </si>
  <si>
    <t xml:space="preserve">glyc_c  -&gt; glyc_p </t>
  </si>
  <si>
    <t>H2Otpp_f</t>
  </si>
  <si>
    <t>H2O transport via diffusion (periplasm)</t>
  </si>
  <si>
    <t xml:space="preserve">h2o_p  -&gt; h2o_c </t>
  </si>
  <si>
    <t>HCINNMt2rpp_f</t>
  </si>
  <si>
    <t>3-hydroxycinnamic acid transport via proton symport, reversible (periplasm)</t>
  </si>
  <si>
    <t xml:space="preserve">h_p + 3hcinnm_p  -&gt; h_c + 3hcinnm_c </t>
  </si>
  <si>
    <t>HISabcpp</t>
  </si>
  <si>
    <t>L-histidine transport via ABC system (periplasm)</t>
  </si>
  <si>
    <t xml:space="preserve">his__L_p + atp_c + h2o_c  -&gt; h_c + adp_c + pi_c + his__L_c </t>
  </si>
  <si>
    <t>HISt2rpp_f</t>
  </si>
  <si>
    <t>L-histidine reversible transport via proton symport (periplasm)</t>
  </si>
  <si>
    <t xml:space="preserve">h_p + his__L_p  -&gt; h_c + his__L_c </t>
  </si>
  <si>
    <t>CBIAT_f</t>
  </si>
  <si>
    <t>Cobinamide adenyltransferase</t>
  </si>
  <si>
    <t xml:space="preserve">h_c + atp_c + cbi_c  -&gt; pppi_c + adocbi_c </t>
  </si>
  <si>
    <t>LYSabcpp</t>
  </si>
  <si>
    <t>L-lysine transport via ABC system (periplasm)</t>
  </si>
  <si>
    <t xml:space="preserve">atp_c + h2o_c + lys__L_p  -&gt; h_c + adp_c + pi_c + lys__L_c </t>
  </si>
  <si>
    <t>COBALT2tex_f</t>
  </si>
  <si>
    <t>Cobalt (Co+2) transport via diffusion (extracellular to periplasm)</t>
  </si>
  <si>
    <t xml:space="preserve">cobalt2_e  -&gt; cobalt2_p </t>
  </si>
  <si>
    <t>PPDOy</t>
  </si>
  <si>
    <t>Propane-1,2-diol:NADP+ 1-oxidoreductase</t>
  </si>
  <si>
    <t xml:space="preserve">h_c + nadph_c + lald__D_c  -&gt; 12ppd__R_c + nadp_c </t>
  </si>
  <si>
    <t>NTD12pp</t>
  </si>
  <si>
    <t>5'-nucleotidase (dIMP) (periplasm)</t>
  </si>
  <si>
    <t xml:space="preserve">h2o_p + dimp_p  -&gt; din_p + pi_p </t>
  </si>
  <si>
    <t>PPA2</t>
  </si>
  <si>
    <t>Inorganic triphosphatase</t>
  </si>
  <si>
    <t xml:space="preserve">pppi_c + h2o_c  -&gt; h_c + pi_c + ppi_c </t>
  </si>
  <si>
    <t>3.6.1.11</t>
  </si>
  <si>
    <t>DIMPtex_f</t>
  </si>
  <si>
    <t>DIMP transport via diffusion (extracellular to periplasm)</t>
  </si>
  <si>
    <t xml:space="preserve">dimp_e  -&gt; dimp_p </t>
  </si>
  <si>
    <t>3NTD7pp</t>
  </si>
  <si>
    <t>3'-nucleotidase (AMP) (periplasm)</t>
  </si>
  <si>
    <t xml:space="preserve">h2o_p + 3amp_p  -&gt; adn_p + pi_p </t>
  </si>
  <si>
    <t>3.1.3.6</t>
  </si>
  <si>
    <t>3NTD4pp</t>
  </si>
  <si>
    <t>3'-nucleotidase (CMP) (periplasm)</t>
  </si>
  <si>
    <t xml:space="preserve">h2o_p + 3cmp_p  -&gt; cytd_p + pi_p </t>
  </si>
  <si>
    <t>3NTD2pp</t>
  </si>
  <si>
    <t>3'-nucleotidase (UMP) (periplasm)</t>
  </si>
  <si>
    <t xml:space="preserve">h2o_p + 3ump_p  -&gt; uri_p + pi_p </t>
  </si>
  <si>
    <t>3.1.3.1, 3.1.3.6, 3.1.4.16</t>
  </si>
  <si>
    <t>3NTD9pp</t>
  </si>
  <si>
    <t>3'-nucleotidase (GMP) (periplasm)</t>
  </si>
  <si>
    <t xml:space="preserve">h2o_p + 3gmp_p  -&gt; gsn_p + pi_p </t>
  </si>
  <si>
    <t>23PDE7pp</t>
  </si>
  <si>
    <t>2',3'-cyclic-nucleotide phosphodiesterase (AMP) (periplasm)</t>
  </si>
  <si>
    <t xml:space="preserve">h2o_p + 23camp_p  -&gt; h_p + 3amp_p </t>
  </si>
  <si>
    <t>GALTptspp</t>
  </si>
  <si>
    <t>Galactitol transport via PEP:Pyr PTS (periplasm)</t>
  </si>
  <si>
    <t xml:space="preserve">pep_c + galt_p  -&gt; galt1p_c + pyr_c </t>
  </si>
  <si>
    <t>2.7.1.200</t>
  </si>
  <si>
    <t>GALURt2rpp_f</t>
  </si>
  <si>
    <t>D-galacturonate transport via proton symport, reversible (periplasm)</t>
  </si>
  <si>
    <t xml:space="preserve">h_p + galur_p  -&gt; h_c + galur_c </t>
  </si>
  <si>
    <t>GLCNt2rpp_f</t>
  </si>
  <si>
    <t>D-gluconate transport via proton symport, reversible (periplasm)</t>
  </si>
  <si>
    <t xml:space="preserve">h_p + glcn_p  -&gt; h_c + glcn_c </t>
  </si>
  <si>
    <t>GLCptspp</t>
  </si>
  <si>
    <t>D-glucose transport via PEP:Pyr PTS (periplasm)</t>
  </si>
  <si>
    <t xml:space="preserve">pep_c + glc__D_p  -&gt; g6p_c + pyr_c </t>
  </si>
  <si>
    <t>GLCRt2rpp_f</t>
  </si>
  <si>
    <t>D-glucarate transport via proton symport, reversible (periplasm)</t>
  </si>
  <si>
    <t xml:space="preserve">h_p + glcr_p  -&gt; h_c + glcr_c </t>
  </si>
  <si>
    <t>GLCt2pp</t>
  </si>
  <si>
    <t>D-glucose transport in via proton symport (periplasm)</t>
  </si>
  <si>
    <t xml:space="preserve">h_p + glc__D_p  -&gt; h_c + glc__D_c </t>
  </si>
  <si>
    <t>GLCURt2rpp_f</t>
  </si>
  <si>
    <t>D-glucuronate transport via proton symport, reversible (periplasm)</t>
  </si>
  <si>
    <t xml:space="preserve">h_p + glcur_p  -&gt; h_c + glcur_c </t>
  </si>
  <si>
    <t>ACMUMptspp</t>
  </si>
  <si>
    <t>N-acetylmuramate transport via PEP:Pyr PTS (periplasm)</t>
  </si>
  <si>
    <t xml:space="preserve">pep_c + acmum_p  -&gt; acmum6p_c + pyr_c </t>
  </si>
  <si>
    <t>HSTPT</t>
  </si>
  <si>
    <t>Histidinol-phosphate transaminase</t>
  </si>
  <si>
    <t xml:space="preserve">glu__L_c + imacp_c  -&gt; akg_c + hisp_c </t>
  </si>
  <si>
    <t>2.6.1.9</t>
  </si>
  <si>
    <t>THDPS</t>
  </si>
  <si>
    <t>Tetrahydrodipicolinate succinylase</t>
  </si>
  <si>
    <t xml:space="preserve">h2o_c + thdp_c + succoa_c  -&gt; sl2a6o_c + coa_c </t>
  </si>
  <si>
    <t>2.3.1.117</t>
  </si>
  <si>
    <t>ACONMT</t>
  </si>
  <si>
    <t>Trans-aconitate methyltransferase</t>
  </si>
  <si>
    <t xml:space="preserve">amet_c + acon_T_c  -&gt; ahcys_c + aconm_c </t>
  </si>
  <si>
    <t>2.1.1.144</t>
  </si>
  <si>
    <t>XTSNtex_f</t>
  </si>
  <si>
    <t>Xanthosine transport via diffusion (extracellular to periplasm)</t>
  </si>
  <si>
    <t xml:space="preserve">xtsn_e  -&gt; xtsn_p </t>
  </si>
  <si>
    <t>GNK</t>
  </si>
  <si>
    <t>Gluconokinase</t>
  </si>
  <si>
    <t xml:space="preserve">atp_c + glcn_c  -&gt; h_c + adp_c + 6pgc_c </t>
  </si>
  <si>
    <t>2.7.1.12</t>
  </si>
  <si>
    <t>HMBS</t>
  </si>
  <si>
    <t>Hydroxymethylbilane synthase</t>
  </si>
  <si>
    <t xml:space="preserve">h2o_c + 4 ppbng_c  -&gt; 4 nh4_c + hmbil_c </t>
  </si>
  <si>
    <t>2.5.1.61</t>
  </si>
  <si>
    <t>RMK</t>
  </si>
  <si>
    <t>Rhamnulokinase</t>
  </si>
  <si>
    <t xml:space="preserve">atp_c + rml_c  -&gt; h_c + adp_c + rml1p_c </t>
  </si>
  <si>
    <t>2.7.1.5</t>
  </si>
  <si>
    <t>FHL</t>
  </si>
  <si>
    <t>Formate-hydrogen lyase</t>
  </si>
  <si>
    <t xml:space="preserve">h_c + for_c  -&gt; h2_c + co2_c </t>
  </si>
  <si>
    <t>1.17.99.7</t>
  </si>
  <si>
    <t>MEPCT</t>
  </si>
  <si>
    <t>2-C-methyl-D-erythritol 4-phosphate cytidylyltransferase</t>
  </si>
  <si>
    <t xml:space="preserve">h_c + ctp_c + 2me4p_c  -&gt; 4c2me_c + ppi_c </t>
  </si>
  <si>
    <t>2.7.7.60</t>
  </si>
  <si>
    <t>GLUDy_f</t>
  </si>
  <si>
    <t>Glutamate dehydrogenase (NADP)</t>
  </si>
  <si>
    <t xml:space="preserve">nadp_c + glu__L_c + h2o_c  -&gt; h_c + akg_c + nh4_c + nadph_c </t>
  </si>
  <si>
    <t>1.4.1.4</t>
  </si>
  <si>
    <t>ZN2abcpp</t>
  </si>
  <si>
    <t>Zinc (Zn+2) ABC transporter, efflux (periplasm)</t>
  </si>
  <si>
    <t xml:space="preserve">zn2_c + atp_c + h2o_c  -&gt; h_c + adp_c + pi_c + zn2_p </t>
  </si>
  <si>
    <t>GLYCLTDy</t>
  </si>
  <si>
    <t>Glycolate dehydrogenase (NADP)</t>
  </si>
  <si>
    <t xml:space="preserve">h_c + glx_c + nadph_c  -&gt; glyclt_c + nadp_c </t>
  </si>
  <si>
    <t>LYSDC</t>
  </si>
  <si>
    <t>Lysine decarboxylase</t>
  </si>
  <si>
    <t xml:space="preserve">h_c + lys__L_c  -&gt; 15dap_c + co2_c </t>
  </si>
  <si>
    <t>4.1.1.18</t>
  </si>
  <si>
    <t>DAAD</t>
  </si>
  <si>
    <t>D-Amino acid dehydrogenase</t>
  </si>
  <si>
    <t xml:space="preserve">h2o_c + ala__D_c + fad_c  -&gt; fadh2_c + nh4_c + pyr_c </t>
  </si>
  <si>
    <t>1.4.99.-</t>
  </si>
  <si>
    <t>UREAtpp_f</t>
  </si>
  <si>
    <t>Urea transport via facilitate diffusion (periplasm)</t>
  </si>
  <si>
    <t xml:space="preserve">urea_p  -&gt; urea_c </t>
  </si>
  <si>
    <t>XANt2pp</t>
  </si>
  <si>
    <t>Xanthine transport in via proton symport (periplasm)</t>
  </si>
  <si>
    <t xml:space="preserve">h_p + xan_p  -&gt; h_c + xan_c </t>
  </si>
  <si>
    <t>GLYC3Pabcpp</t>
  </si>
  <si>
    <t>Sn-Glycerol 3-phosphate transport via ABC system (periplasm)</t>
  </si>
  <si>
    <t xml:space="preserve">atp_c + h2o_c + glyc3p_p  -&gt; h_c + glyc3p_c + adp_c + pi_c </t>
  </si>
  <si>
    <t>3.6.3.20</t>
  </si>
  <si>
    <t>PPPNt2rpp_f</t>
  </si>
  <si>
    <t>3-phenylpropionate transport via proton symport, reversible (periplasm)</t>
  </si>
  <si>
    <t xml:space="preserve">pppn_p + h_p  -&gt; h_c + pppn_c </t>
  </si>
  <si>
    <t>PTRCORNt7pp_f</t>
  </si>
  <si>
    <t>Putrescine/ornithine antiporter (periplasm)</t>
  </si>
  <si>
    <t xml:space="preserve">ptrc_p + orn_c  -&gt; orn_p + ptrc_c </t>
  </si>
  <si>
    <t>SPMDabcpp</t>
  </si>
  <si>
    <t>Spermidine transport via ABC system (periplasm)</t>
  </si>
  <si>
    <t xml:space="preserve">atp_c + h2o_c + spmd_p  -&gt; h_c + adp_c + pi_c + spmd_c </t>
  </si>
  <si>
    <t>HG2tex_f</t>
  </si>
  <si>
    <t>Mercury (Hg+2) transport via diffusion (extracellular to periplasm)</t>
  </si>
  <si>
    <t xml:space="preserve">hg2_e  -&gt; hg2_p </t>
  </si>
  <si>
    <t>NTPP5</t>
  </si>
  <si>
    <t>Nucleoside triphosphate pyrophosphorylase (datp)</t>
  </si>
  <si>
    <t xml:space="preserve">datp_c + h2o_c  -&gt; h_c + ppi_c + damp_c </t>
  </si>
  <si>
    <t>ATPM</t>
  </si>
  <si>
    <t>ATP maintenance requirement</t>
  </si>
  <si>
    <t xml:space="preserve">atp_c + h2o_c  -&gt; h_c + adp_c + pi_c </t>
  </si>
  <si>
    <t>NTD3</t>
  </si>
  <si>
    <t xml:space="preserve">dcmp_c + h2o_c  -&gt; pi_c + dcyt_c </t>
  </si>
  <si>
    <t>GLYOX</t>
  </si>
  <si>
    <t>Hydroxyacylglutathione hydrolase</t>
  </si>
  <si>
    <t xml:space="preserve">lgt__S_c + h2o_c  -&gt; h_c + gthrd_c + lac__D_c </t>
  </si>
  <si>
    <t>3.1.2.6</t>
  </si>
  <si>
    <t>DADNtex_f</t>
  </si>
  <si>
    <t>Deoxyadenosine transport via diffusion (extracellular to periplasm)</t>
  </si>
  <si>
    <t xml:space="preserve">dad_2_e  -&gt; dad_2_p </t>
  </si>
  <si>
    <t>DHAtex_f</t>
  </si>
  <si>
    <t>Dihydroxyacetone transport via diffusion (extracellular to periplasm)</t>
  </si>
  <si>
    <t xml:space="preserve">dha_e  -&gt; dha_p </t>
  </si>
  <si>
    <t>ETOHtex_f</t>
  </si>
  <si>
    <t>Ethanol transport via diffusion (extracellular to periplasm)</t>
  </si>
  <si>
    <t xml:space="preserve">etoh_e  -&gt; etoh_p </t>
  </si>
  <si>
    <t>MTRPOX</t>
  </si>
  <si>
    <t>N-methyltryptophan oxidase</t>
  </si>
  <si>
    <t xml:space="preserve">o2_c + Nmtrp_c + h2o_c  -&gt; fald_c + trp__L_c + h2o2_c </t>
  </si>
  <si>
    <t>AGM4PCPpp</t>
  </si>
  <si>
    <t>N-Acetyl-D-glucosamine(anhydrous)N-Acetylmuramyl-tetrapeptide L,D-carboxypeptidase (periplasmic)</t>
  </si>
  <si>
    <t xml:space="preserve">h2o_p + anhgm4p_p  -&gt; anhgm3p_p + ala__D_p </t>
  </si>
  <si>
    <t>GTPDPDP</t>
  </si>
  <si>
    <t>Guanosine-5'-triphosphate,3'-diphosphate diphosphatase</t>
  </si>
  <si>
    <t xml:space="preserve">gdptp_c + h2o_c  -&gt; h_c + pi_c + ppgpp_c </t>
  </si>
  <si>
    <t>3.6.1.40</t>
  </si>
  <si>
    <t>RNDR2</t>
  </si>
  <si>
    <t>Ribonucleoside-diphosphate reductase (GDP)</t>
  </si>
  <si>
    <t xml:space="preserve">gdp_c + trdrd_c  -&gt; dgdp_c + trdox_c + h2o_c </t>
  </si>
  <si>
    <t>XAND</t>
  </si>
  <si>
    <t>Xanthine dehydrogenase</t>
  </si>
  <si>
    <t xml:space="preserve">xan_c + nad_c + h2o_c  -&gt; h_c + urate_c + nadh_c </t>
  </si>
  <si>
    <t>1.17.1.4</t>
  </si>
  <si>
    <t>HACD3_f</t>
  </si>
  <si>
    <t>3-hydroxyacyl-CoA dehydrogenase (3-oxooctanoyl-CoA)</t>
  </si>
  <si>
    <t xml:space="preserve">h_c + 3oocoa_c + nadh_c  -&gt; nad_c + 3hocoa_c </t>
  </si>
  <si>
    <t>ACACtex_f</t>
  </si>
  <si>
    <t>Acetoacetate transport via diffusion (extracellular to periplasm)</t>
  </si>
  <si>
    <t xml:space="preserve">acac_e  -&gt; acac_p </t>
  </si>
  <si>
    <t>ACNAMtex_f</t>
  </si>
  <si>
    <t>N-acetylneuraminate transport via diffusion (extracellular to periplasm)</t>
  </si>
  <si>
    <t xml:space="preserve">acnam_e  -&gt; acnam_p </t>
  </si>
  <si>
    <t>ARBTNabcpp</t>
  </si>
  <si>
    <t>Aerobactin transport via ABC system (periplasm)</t>
  </si>
  <si>
    <t xml:space="preserve">atp_c + arbtn_fe3_p + h2o_c  -&gt; h_c + adp_c + pi_c + arbtn_fe3_c </t>
  </si>
  <si>
    <t>NNDMBRT</t>
  </si>
  <si>
    <t>Nicotinate-nucleotide dimethylbenzimidazole phosphoribosyltransferase</t>
  </si>
  <si>
    <t xml:space="preserve">dmbzid_c + nicrnt_c  -&gt; h_c + 5prdmbz_c + nac_c </t>
  </si>
  <si>
    <t>2.4.2.21</t>
  </si>
  <si>
    <t>THRA2</t>
  </si>
  <si>
    <t>L-allo-Threonine Aldolase</t>
  </si>
  <si>
    <t xml:space="preserve">athr__L_c  -&gt; gly_c + acald_c </t>
  </si>
  <si>
    <t>4.1.2.48</t>
  </si>
  <si>
    <t>ASO3t8pp</t>
  </si>
  <si>
    <t>Arsenite efflux via ATP hydrolysis (periplasm)</t>
  </si>
  <si>
    <t xml:space="preserve">aso3_c + atp_c + h2o_c  -&gt; h_c + adp_c + pi_c + aso3_p </t>
  </si>
  <si>
    <t>3.6.3.16</t>
  </si>
  <si>
    <t>H2Stex_f</t>
  </si>
  <si>
    <t>H2s transport via diffusion (extracellular to periplasm)</t>
  </si>
  <si>
    <t xml:space="preserve">h2s_e  -&gt; h2s_p </t>
  </si>
  <si>
    <t>PPK</t>
  </si>
  <si>
    <t xml:space="preserve">pi_c + atp_c  -&gt; adp_c + ppi_c </t>
  </si>
  <si>
    <t>ABUTD</t>
  </si>
  <si>
    <t>Aminobutyraldehyde dehydrogenase</t>
  </si>
  <si>
    <t xml:space="preserve">nad_c + 4abutn_c + h2o_c  -&gt; 2 h_c + 4abut_c + nadh_c </t>
  </si>
  <si>
    <t>1.2.1.19</t>
  </si>
  <si>
    <t>E4PD_f</t>
  </si>
  <si>
    <t>Erythrose 4-phosphate dehydrogenase</t>
  </si>
  <si>
    <t xml:space="preserve">nad_c + e4p_c + h2o_c  -&gt; 2 h_c + nadh_c + 4per_c </t>
  </si>
  <si>
    <t>1.2.1.72</t>
  </si>
  <si>
    <t>IG3PS</t>
  </si>
  <si>
    <t>Imidazole-glycerol-3-phosphate synthase</t>
  </si>
  <si>
    <t xml:space="preserve">gln__L_c + prlp_c  -&gt; h_c + aicar_c + eig3p_c + glu__L_c </t>
  </si>
  <si>
    <t>4.1.3.-</t>
  </si>
  <si>
    <t>DADK_f</t>
  </si>
  <si>
    <t>Deoxyadenylate kinase</t>
  </si>
  <si>
    <t xml:space="preserve">atp_c + damp_c  -&gt; dadp_c + adp_c </t>
  </si>
  <si>
    <t>DUTPDP</t>
  </si>
  <si>
    <t>DUTP diphosphatase</t>
  </si>
  <si>
    <t xml:space="preserve">dutp_c + h2o_c  -&gt; h_c + ppi_c + dump_c </t>
  </si>
  <si>
    <t>3.6.1.23</t>
  </si>
  <si>
    <t>NTP5</t>
  </si>
  <si>
    <t>Nucleoside-triphosphatase (CTP)</t>
  </si>
  <si>
    <t xml:space="preserve">ctp_c + h2o_c  -&gt; h_c + pi_c + cdp_c </t>
  </si>
  <si>
    <t>FORt2pp</t>
  </si>
  <si>
    <t>Formate transport via proton symport (uptake only, periplasm)</t>
  </si>
  <si>
    <t xml:space="preserve">h_p + for_p  -&gt; h_c + for_c </t>
  </si>
  <si>
    <t>MTAN</t>
  </si>
  <si>
    <t>Methylthioadenosine nucleosidase</t>
  </si>
  <si>
    <t xml:space="preserve">5mta_c + h2o_c  -&gt; 5mtr_c + ade_c </t>
  </si>
  <si>
    <t>DPR</t>
  </si>
  <si>
    <t>2-dehydropantoate 2-reductase</t>
  </si>
  <si>
    <t xml:space="preserve">h_c + 2dhp_c + nadph_c  -&gt; nadp_c + pant__R_c </t>
  </si>
  <si>
    <t>1.1.1.169, 1.1.1.86</t>
  </si>
  <si>
    <t>THRD_L</t>
  </si>
  <si>
    <t>L-threonine deaminase</t>
  </si>
  <si>
    <t xml:space="preserve">thr__L_c  -&gt; nh4_c + 2obut_c </t>
  </si>
  <si>
    <t>4.3.1.19</t>
  </si>
  <si>
    <t>4PEPTtex_f</t>
  </si>
  <si>
    <t>LalaDgluMdapDala (pentapeptide) transport via diffusion (extracellular to periplasm)</t>
  </si>
  <si>
    <t xml:space="preserve">LalaDgluMdapDala_e  -&gt; LalaDgluMdapDala_p </t>
  </si>
  <si>
    <t>NAMNPP</t>
  </si>
  <si>
    <t>Nicotinic acid mononucleotide pyrophosphorylase</t>
  </si>
  <si>
    <t xml:space="preserve">atp_c + h2o_c + prpp_c + nac_c  -&gt; adp_c + pi_c + ppi_c + nicrnt_c </t>
  </si>
  <si>
    <t>6.3.4.21</t>
  </si>
  <si>
    <t>SELNPS</t>
  </si>
  <si>
    <t>Selenophosphate synthase</t>
  </si>
  <si>
    <t xml:space="preserve">atp_c + h2o_c + seln_c  -&gt; pi_c + amp_c + selnp_c </t>
  </si>
  <si>
    <t>2.7.9.3</t>
  </si>
  <si>
    <t>CRNCAR_f</t>
  </si>
  <si>
    <t>Carnitine-CoA racemase</t>
  </si>
  <si>
    <t xml:space="preserve">crncoa_c  -&gt; crnDcoa_c </t>
  </si>
  <si>
    <t>GALabcpp</t>
  </si>
  <si>
    <t>D-galactose transport via ABC system (periplasm)</t>
  </si>
  <si>
    <t xml:space="preserve">gal_p + atp_c + h2o_c  -&gt; h_c + adp_c + pi_c + gal_c </t>
  </si>
  <si>
    <t>GLYCLTt2rpp_f</t>
  </si>
  <si>
    <t>Glycolate transport via proton symport, reversible (periplasm)</t>
  </si>
  <si>
    <t xml:space="preserve">h_p + glyclt_p  -&gt; h_c + glyclt_c </t>
  </si>
  <si>
    <t>GUAt2pp</t>
  </si>
  <si>
    <t>Guanine transport in via proton symport (periplasm)</t>
  </si>
  <si>
    <t xml:space="preserve">h_p + gua_p  -&gt; h_c + gua_c </t>
  </si>
  <si>
    <t>HPPPNt2rpp_f</t>
  </si>
  <si>
    <t>3-(3-hydroxyphenyl)propionate transport via proton symport, reversible (periplasm)</t>
  </si>
  <si>
    <t xml:space="preserve">h_p + 3hpppn_p  -&gt; h_c + 3hpppn_c </t>
  </si>
  <si>
    <t>ANHMK</t>
  </si>
  <si>
    <t>1,6-anhydrous-N-Acetylmuramate kinase</t>
  </si>
  <si>
    <t xml:space="preserve">atp_c + h2o_c + anhm_c  -&gt; h_c + acmum6p_c + adp_c </t>
  </si>
  <si>
    <t>2.7.1.170</t>
  </si>
  <si>
    <t>DHFR_f</t>
  </si>
  <si>
    <t>Dihydrofolate reductase</t>
  </si>
  <si>
    <t xml:space="preserve">h_c + nadph_c + dhf_c  -&gt; thf_c + nadp_c </t>
  </si>
  <si>
    <t>1.5.1.3</t>
  </si>
  <si>
    <t>PRAIi</t>
  </si>
  <si>
    <t>Phosphoribosylanthranilate isomerase (irreversible)</t>
  </si>
  <si>
    <t xml:space="preserve">pran_c  -&gt; 2cpr5p_c </t>
  </si>
  <si>
    <t>5.3.1.24</t>
  </si>
  <si>
    <t>TYRTA_f</t>
  </si>
  <si>
    <t>Tyrosine transaminase</t>
  </si>
  <si>
    <t xml:space="preserve">akg_c + tyr__L_c  -&gt; 34hpp_c + glu__L_c </t>
  </si>
  <si>
    <t>SHKK</t>
  </si>
  <si>
    <t>Shikimate kinase</t>
  </si>
  <si>
    <t xml:space="preserve">skm_c + atp_c  -&gt; h_c + adp_c + skm5p_c </t>
  </si>
  <si>
    <t>2.7.1.71</t>
  </si>
  <si>
    <t>SADH</t>
  </si>
  <si>
    <t>Succinylarginine dihydrolase</t>
  </si>
  <si>
    <t xml:space="preserve">2 h_c + 2 h2o_c + sucarg_c  -&gt; sucorn_c + 2 nh4_c + co2_c </t>
  </si>
  <si>
    <t>3.5.3.23</t>
  </si>
  <si>
    <t>GLUSy</t>
  </si>
  <si>
    <t>Glutamate synthase (NADPH)</t>
  </si>
  <si>
    <t xml:space="preserve">h_c + akg_c + gln__L_c + nadph_c  -&gt; nadp_c + 2 glu__L_c </t>
  </si>
  <si>
    <t>1.4.1.13</t>
  </si>
  <si>
    <t>GUAPRT</t>
  </si>
  <si>
    <t>Guanine phosphoribosyltransferase</t>
  </si>
  <si>
    <t xml:space="preserve">gua_c + prpp_c  -&gt; ppi_c + gmp_c </t>
  </si>
  <si>
    <t>PDH</t>
  </si>
  <si>
    <t>Pyruvate dehydrogenase</t>
  </si>
  <si>
    <t xml:space="preserve">nad_c + pyr_c + coa_c  -&gt; accoa_c + nadh_c + co2_c </t>
  </si>
  <si>
    <t>1.2.4.1</t>
  </si>
  <si>
    <t>DMSOR2pp</t>
  </si>
  <si>
    <t>Dimethyl sulfoxide reductase (Demethylmenaquinol 8) (periplasm)</t>
  </si>
  <si>
    <t xml:space="preserve">dmso_p + 2dmmql8_c  -&gt; h2o_p + dms_p + 2dmmq8_c </t>
  </si>
  <si>
    <t>HYD3pp</t>
  </si>
  <si>
    <t>Hydrogenase (Demethylmenaquinone-8: 2 protons) (periplasm)</t>
  </si>
  <si>
    <t xml:space="preserve">2 h_c + 2dmmq8_c + h2_c  -&gt; 2 h_p + 2dmmql8_c </t>
  </si>
  <si>
    <t>NO3R1pp</t>
  </si>
  <si>
    <t>Nitrate reductase (Ubiquinol-8) (periplasm)</t>
  </si>
  <si>
    <t xml:space="preserve">2 h_c + q8h2_c + no3_c  -&gt; 2 h_p + h2o_c + q8_c + no2_c </t>
  </si>
  <si>
    <t>AACPS5</t>
  </si>
  <si>
    <t>Acyl-[acyl-carrier-protein] synthetase  (n-C18:1)</t>
  </si>
  <si>
    <t xml:space="preserve">ocdcea_c + atp_c + ACP_c  -&gt; ppi_c + octeACP_c + amp_c </t>
  </si>
  <si>
    <t>MANptspp</t>
  </si>
  <si>
    <t>D-mannose transport via PEP:Pyr PTS (periplasm)</t>
  </si>
  <si>
    <t xml:space="preserve">pep_c + man_p  -&gt; man6p_c + pyr_c </t>
  </si>
  <si>
    <t>NTD8</t>
  </si>
  <si>
    <t xml:space="preserve">dgmp_c + h2o_c  -&gt; pi_c + dgsn_c </t>
  </si>
  <si>
    <t>GALCTD</t>
  </si>
  <si>
    <t>Galactarate dehydratase</t>
  </si>
  <si>
    <t xml:space="preserve">galct__D_c  -&gt; 5dh4dglc_c + h2o_c </t>
  </si>
  <si>
    <t>4.2.1.42</t>
  </si>
  <si>
    <t>MLTG4</t>
  </si>
  <si>
    <t>Maltodextrin glucosidase (maltohexaose)</t>
  </si>
  <si>
    <t xml:space="preserve">malthx_c + h2o_c  -&gt; glc__D_c + maltpt_c </t>
  </si>
  <si>
    <t>UDPGDC</t>
  </si>
  <si>
    <t>UDP-glucuronate C-4'' decarboxylase</t>
  </si>
  <si>
    <t xml:space="preserve">nad_c + udpglcur_c  -&gt; udpLa4o_c + nadh_c + co2_c </t>
  </si>
  <si>
    <t>1.1.1.305</t>
  </si>
  <si>
    <t>PUNP4_f</t>
  </si>
  <si>
    <t>Purine-nucleoside phosphorylase (Deoxyguanosine)</t>
  </si>
  <si>
    <t xml:space="preserve">pi_c + dgsn_c  -&gt; 2dr1p_c + gua_c </t>
  </si>
  <si>
    <t>AMAOTr_f</t>
  </si>
  <si>
    <t>Adenosylmethionine-8-amino-7-oxononanoate transaminase</t>
  </si>
  <si>
    <t xml:space="preserve">amet_c + 8aonn_c  -&gt; dann_c + amob_c </t>
  </si>
  <si>
    <t>2.6.1.62</t>
  </si>
  <si>
    <t>ARGORNt7pp_f</t>
  </si>
  <si>
    <t>Arginine/ornithine antiporter (periplasm)</t>
  </si>
  <si>
    <t xml:space="preserve">orn_c + arg__L_p  -&gt; arg__L_c + orn_p </t>
  </si>
  <si>
    <t>NTD11pp</t>
  </si>
  <si>
    <t>5'-nucleotidase (IMP)</t>
  </si>
  <si>
    <t xml:space="preserve">h2o_p + imp_p  -&gt; ins_p + pi_p </t>
  </si>
  <si>
    <t>DKGLCNR2x</t>
  </si>
  <si>
    <t>2,5-diketo-D-gluconate reductase (NADH)</t>
  </si>
  <si>
    <t xml:space="preserve">h_c + 25dkglcn_c + nadh_c  -&gt; nad_c + 5dglcn_c </t>
  </si>
  <si>
    <t>ACGS</t>
  </si>
  <si>
    <t>N-acetylglutamate synthase</t>
  </si>
  <si>
    <t xml:space="preserve">accoa_c + glu__L_c  -&gt; h_c + acglu_c + coa_c </t>
  </si>
  <si>
    <t>2.3.1.1</t>
  </si>
  <si>
    <t>PDE1</t>
  </si>
  <si>
    <t>3',5'-cyclic-nucleotide phosphodiesterase</t>
  </si>
  <si>
    <t xml:space="preserve">h2o_c + camp_c  -&gt; h_c + amp_c </t>
  </si>
  <si>
    <t>3.1.4.53</t>
  </si>
  <si>
    <t>MCITD</t>
  </si>
  <si>
    <t>2-methylcitrate dehydratase</t>
  </si>
  <si>
    <t xml:space="preserve">2mcit_c  -&gt; 2mcacn_c + h2o_c </t>
  </si>
  <si>
    <t>4.2.1.79</t>
  </si>
  <si>
    <t>CU2tex_f</t>
  </si>
  <si>
    <t>Copper (Cu+2) transport via diffusion (extracellular to periplasm)</t>
  </si>
  <si>
    <t xml:space="preserve">cu2_e  -&gt; cu2_p </t>
  </si>
  <si>
    <t>GLCATr_f</t>
  </si>
  <si>
    <t>D-glucose O-acetyltransferase</t>
  </si>
  <si>
    <t xml:space="preserve">accoa_c + glc__D_c  -&gt; acglc__D_c + coa_c </t>
  </si>
  <si>
    <t>ALAALAr_f</t>
  </si>
  <si>
    <t>D-alanine-D-alanine ligase (reversible)</t>
  </si>
  <si>
    <t xml:space="preserve">atp_c + 2 ala__D_c  -&gt; h_c + adp_c + pi_c + alaala_c </t>
  </si>
  <si>
    <t>6.3.2.4</t>
  </si>
  <si>
    <t>CLtex_f</t>
  </si>
  <si>
    <t>Chloride (Cl-1) transport via diffusion (extracellular to periplasm)</t>
  </si>
  <si>
    <t xml:space="preserve">cl_e  -&gt; cl_p </t>
  </si>
  <si>
    <t>CELBpts</t>
  </si>
  <si>
    <t>Cellobiose transport via PEPPyr PTS</t>
  </si>
  <si>
    <t xml:space="preserve">pep_c + cellb_e  -&gt; 6pgg_c + pyr_c </t>
  </si>
  <si>
    <t>ACACT1r_f</t>
  </si>
  <si>
    <t>Acetyl-CoA C-acetyltransferase</t>
  </si>
  <si>
    <t xml:space="preserve">2 accoa_c  -&gt; aacoa_c + coa_c </t>
  </si>
  <si>
    <t>2.3.1.16, 2.3.1.9</t>
  </si>
  <si>
    <t>MALTptspp</t>
  </si>
  <si>
    <t>Maltose transport via PEP:Pyr PTS (periplasm)</t>
  </si>
  <si>
    <t xml:space="preserve">pep_c + malt_p  -&gt; malt6p_c + pyr_c </t>
  </si>
  <si>
    <t>2.7.1.-, 2.7.1.208</t>
  </si>
  <si>
    <t>CD2abcpp</t>
  </si>
  <si>
    <t>Cadmium (Cd+2) ABC transporter (periplasm)</t>
  </si>
  <si>
    <t xml:space="preserve">cd2_c + atp_c + h2o_c  -&gt; h_c + adp_c + cd2_p + pi_c </t>
  </si>
  <si>
    <t>G2PPpp</t>
  </si>
  <si>
    <t>Glycerol 2-phosphate phosphatase (periplasmic)</t>
  </si>
  <si>
    <t xml:space="preserve">h2o_p + glyc2p_p  -&gt; glyc_p + pi_p </t>
  </si>
  <si>
    <t>Kt3pp</t>
  </si>
  <si>
    <t>Potassium transport out via proton antiport (periplasm)</t>
  </si>
  <si>
    <t xml:space="preserve">h_p + k_c  -&gt; h_c + k_p </t>
  </si>
  <si>
    <t>AGM3PApp</t>
  </si>
  <si>
    <t>N-Acetyl-D-glucosamine(anhydrous)N-Acetylmuramyl-tripeptide amidase (periplasm)</t>
  </si>
  <si>
    <t xml:space="preserve">h2o_p + anhgm3p_p  -&gt; LalaDgluMdap_p + anhgm_p </t>
  </si>
  <si>
    <t>SUCOAS_f</t>
  </si>
  <si>
    <t>Succinyl-CoA synthetase (ADP-forming)</t>
  </si>
  <si>
    <t xml:space="preserve">atp_c + succ_c + coa_c  -&gt; adp_c + pi_c + succoa_c </t>
  </si>
  <si>
    <t>6.2.1.5</t>
  </si>
  <si>
    <t>NTP1</t>
  </si>
  <si>
    <t>Nucleoside-triphosphatase (ATP)</t>
  </si>
  <si>
    <t>GALKr_f</t>
  </si>
  <si>
    <t>Galactokinase</t>
  </si>
  <si>
    <t xml:space="preserve">atp_c + gal_c  -&gt; h_c + adp_c + gal1p_c </t>
  </si>
  <si>
    <t>2.7.1.6</t>
  </si>
  <si>
    <t>PANTS</t>
  </si>
  <si>
    <t>Pantothenate synthase</t>
  </si>
  <si>
    <t xml:space="preserve">ala_B_c + atp_c + pant__R_c  -&gt; h_c + pnto__R_c + ppi_c + amp_c </t>
  </si>
  <si>
    <t>6.3.2.1</t>
  </si>
  <si>
    <t>YUMPS_f</t>
  </si>
  <si>
    <t>YUMP synthetase</t>
  </si>
  <si>
    <t xml:space="preserve">r5p_c + ura_c  -&gt; h2o_c + psd5p_c </t>
  </si>
  <si>
    <t>4.2.1.70</t>
  </si>
  <si>
    <t>DHQS</t>
  </si>
  <si>
    <t>3-dehydroquinate synthase</t>
  </si>
  <si>
    <t xml:space="preserve">2dda7p_c  -&gt; pi_c + 3dhq_c </t>
  </si>
  <si>
    <t>4.2.3.4</t>
  </si>
  <si>
    <t>PGCD</t>
  </si>
  <si>
    <t>Phosphoglycerate dehydrogenase</t>
  </si>
  <si>
    <t xml:space="preserve">3pg_c + nad_c  -&gt; h_c + nadh_c + 3php_c </t>
  </si>
  <si>
    <t>ADSL1r_f</t>
  </si>
  <si>
    <t>Adenylsuccinate lyase</t>
  </si>
  <si>
    <t xml:space="preserve">dcamp_c  -&gt; fum_c + amp_c </t>
  </si>
  <si>
    <t>SERD_D</t>
  </si>
  <si>
    <t>D-serine deaminase</t>
  </si>
  <si>
    <t xml:space="preserve">ser__D_c  -&gt; nh4_c + pyr_c </t>
  </si>
  <si>
    <t>4.3.1.18</t>
  </si>
  <si>
    <t>AICART_f</t>
  </si>
  <si>
    <t>Phosphoribosylaminoimidazolecarboxamide formyltransferase</t>
  </si>
  <si>
    <t xml:space="preserve">10fthf_c + aicar_c  -&gt; thf_c + fprica_c </t>
  </si>
  <si>
    <t>2.1.2.3</t>
  </si>
  <si>
    <t>FRUpts2pp</t>
  </si>
  <si>
    <t>Fructose transport via PEP:Pyr PTS (f6p generating) (periplasm)</t>
  </si>
  <si>
    <t xml:space="preserve">pep_c + fru_p  -&gt; f6p_c + pyr_c </t>
  </si>
  <si>
    <t>G6Pt6_2pp</t>
  </si>
  <si>
    <t>Glucose-6-phosphate transport via phosphate antiport (periplasm)</t>
  </si>
  <si>
    <t xml:space="preserve">g6p_p + 2 pi_c  -&gt; g6p_c + 2 pi_p </t>
  </si>
  <si>
    <t>PROtex_f</t>
  </si>
  <si>
    <t>L-proline transport via diffusion (extracellular to periplasm)</t>
  </si>
  <si>
    <t xml:space="preserve">pro__L_e  -&gt; pro__L_p </t>
  </si>
  <si>
    <t>SBTtex_f</t>
  </si>
  <si>
    <t>D-sorbitol transport via diffusion (extracellular to periplasm)</t>
  </si>
  <si>
    <t xml:space="preserve">sbt__D_e  -&gt; sbt__D_p </t>
  </si>
  <si>
    <t>PFK</t>
  </si>
  <si>
    <t xml:space="preserve">atp_c + f6p_c  -&gt; h_c + adp_c + fdp_c </t>
  </si>
  <si>
    <t>PGM_f</t>
  </si>
  <si>
    <t>Phosphoglycerate mutase</t>
  </si>
  <si>
    <t xml:space="preserve">2pg_c  -&gt; 3pg_c </t>
  </si>
  <si>
    <t>5.4.2.12</t>
  </si>
  <si>
    <t>TPI_f</t>
  </si>
  <si>
    <t>Triose-phosphate isomerase</t>
  </si>
  <si>
    <t xml:space="preserve">dhap_c  -&gt; g3p_c </t>
  </si>
  <si>
    <t>5.3.1.1</t>
  </si>
  <si>
    <t>RPI_f</t>
  </si>
  <si>
    <t>Ribose-5-phosphate isomerase</t>
  </si>
  <si>
    <t xml:space="preserve">r5p_c  -&gt; ru5p__D_c </t>
  </si>
  <si>
    <t>PERD_f</t>
  </si>
  <si>
    <t>Erythronate 4-phosphate (4per) dehydrogenase</t>
  </si>
  <si>
    <t xml:space="preserve">nad_c + 4per_c  -&gt; h_c + ohpb_c + nadh_c </t>
  </si>
  <si>
    <t>1.1.1.290</t>
  </si>
  <si>
    <t>PYDAMK</t>
  </si>
  <si>
    <t>Pyridoxamine kinase</t>
  </si>
  <si>
    <t xml:space="preserve">pydam_c + atp_c  -&gt; h_c + adp_c + pyam5p_c </t>
  </si>
  <si>
    <t>AKGtex_f</t>
  </si>
  <si>
    <t>Alpha-ketoglutarate transport via diffusion (extracellular to periplasm)</t>
  </si>
  <si>
    <t xml:space="preserve">akg_e  -&gt; akg_p </t>
  </si>
  <si>
    <t>ALLTNtex_f</t>
  </si>
  <si>
    <t>Allantoin transport via diffusion (extracellular to periplasm)</t>
  </si>
  <si>
    <t xml:space="preserve">alltn_e  -&gt; alltn_p </t>
  </si>
  <si>
    <t>ASNtex_f</t>
  </si>
  <si>
    <t>L-asparagine transport via diffusion (extracellular to periplasm)</t>
  </si>
  <si>
    <t xml:space="preserve">asn__L_e  -&gt; asn__L_p </t>
  </si>
  <si>
    <t>FE3HOXabcpp</t>
  </si>
  <si>
    <t>Ferric-dicitrate transport via ABC system (periplasm)</t>
  </si>
  <si>
    <t xml:space="preserve">atp_c + h2o_c + fe3hox_p  -&gt; h_c + adp_c + pi_c + fe3hox_c </t>
  </si>
  <si>
    <t>FADRx2</t>
  </si>
  <si>
    <t xml:space="preserve">h_c + nadph_c + fad_c  -&gt; fadh2_c + nadp_c </t>
  </si>
  <si>
    <t>PDE4</t>
  </si>
  <si>
    <t xml:space="preserve">h2o_c + 35cgmp_c  -&gt; h_c + gmp_c </t>
  </si>
  <si>
    <t>3.1.4.52</t>
  </si>
  <si>
    <t>AGM4PH</t>
  </si>
  <si>
    <t>N-Acetyl-D-glucosamine(anhydrous)N-Acetylmuramyl-tetrapeptide beta -1,4-N-acetylglucosaminidase</t>
  </si>
  <si>
    <t xml:space="preserve">anhgm4p_c + h2o_c  -&gt; acgam_c + anhm4p_c </t>
  </si>
  <si>
    <t>3.2.1.52</t>
  </si>
  <si>
    <t>AM4PA</t>
  </si>
  <si>
    <t>Anhydrous-N-Acetylmuramyl-tetrapeptide amidase</t>
  </si>
  <si>
    <t xml:space="preserve">anhm4p_c + h2o_c  -&gt; LalaDgluMdapDala_c + anhm_c </t>
  </si>
  <si>
    <t>ATHRDHr_f</t>
  </si>
  <si>
    <t>L-allo-threonine dehydrogenase</t>
  </si>
  <si>
    <t xml:space="preserve">nadp_c + athr__L_c  -&gt; h_c + 2aobut_c + nadph_c </t>
  </si>
  <si>
    <t>1.1.1.381</t>
  </si>
  <si>
    <t>LSERDHr_f</t>
  </si>
  <si>
    <t>L-serine dehydrogenase</t>
  </si>
  <si>
    <t xml:space="preserve">ser__L_c + nadp_c  -&gt; h_c + 2amsa_c + nadph_c </t>
  </si>
  <si>
    <t>DSERDHr_f</t>
  </si>
  <si>
    <t>D-serine dehydrogenase</t>
  </si>
  <si>
    <t xml:space="preserve">nadp_c + ser__D_c  -&gt; h_c + 2amsa_c + nadph_c </t>
  </si>
  <si>
    <t>OBTFL</t>
  </si>
  <si>
    <t>2-Oxobutanoate formate lyase</t>
  </si>
  <si>
    <t xml:space="preserve">2obut_c + coa_c  -&gt; ppcoa_c + for_c </t>
  </si>
  <si>
    <t>THRt2pp</t>
  </si>
  <si>
    <t>L-threonine efflux transport via proton antiport (periplasm)</t>
  </si>
  <si>
    <t xml:space="preserve">thr__L_c + h_p  -&gt; h_c + thr__L_p </t>
  </si>
  <si>
    <t>G6PP</t>
  </si>
  <si>
    <t>Glucose-6-phosphate phosphatase</t>
  </si>
  <si>
    <t xml:space="preserve">h2o_c + g6p_c  -&gt; pi_c + glc__D_c </t>
  </si>
  <si>
    <t>MMCD</t>
  </si>
  <si>
    <t>Methylmalonyl-CoA decarboxylase</t>
  </si>
  <si>
    <t xml:space="preserve">h_c + mmcoa__S_c  -&gt; ppcoa_c + co2_c </t>
  </si>
  <si>
    <t>4.1.1.41</t>
  </si>
  <si>
    <t>GLNS</t>
  </si>
  <si>
    <t>Glutamine synthetase</t>
  </si>
  <si>
    <t xml:space="preserve">nh4_c + atp_c + glu__L_c  -&gt; h_c + adp_c + pi_c + gln__L_c </t>
  </si>
  <si>
    <t>6.3.1.2</t>
  </si>
  <si>
    <t>TYMtex_f</t>
  </si>
  <si>
    <t>Tyramine transport via diffusion (extracellular to periplasm)</t>
  </si>
  <si>
    <t xml:space="preserve">tym_e  -&gt; tym_p </t>
  </si>
  <si>
    <t>GTHS</t>
  </si>
  <si>
    <t>Glutathione synthetase</t>
  </si>
  <si>
    <t xml:space="preserve">atp_c + gly_c + glucys_c  -&gt; h_c + gthrd_c + adp_c + pi_c </t>
  </si>
  <si>
    <t>6.3.2.3</t>
  </si>
  <si>
    <t>CMPtex_f</t>
  </si>
  <si>
    <t>CMP transport via diffusion (extracellular to periplasm)</t>
  </si>
  <si>
    <t xml:space="preserve">cmp_e  -&gt; cmp_p </t>
  </si>
  <si>
    <t>DUMPtex_f</t>
  </si>
  <si>
    <t>DUMP transport via diffusion (extracellular to periplasm)</t>
  </si>
  <si>
    <t xml:space="preserve">dump_e  -&gt; dump_p </t>
  </si>
  <si>
    <t>XMPtex_f</t>
  </si>
  <si>
    <t>XMP transport via diffusion (extracellular to periplasm)</t>
  </si>
  <si>
    <t xml:space="preserve">xmp_e  -&gt; xmp_p </t>
  </si>
  <si>
    <t>3PEPTtex_f</t>
  </si>
  <si>
    <t>LalaDgluMdap (tripeptide) transport via diffusion (extracellular to periplasm)</t>
  </si>
  <si>
    <t xml:space="preserve">LalaDgluMdap_e  -&gt; LalaDgluMdap_p </t>
  </si>
  <si>
    <t>ANHGMtex_f</t>
  </si>
  <si>
    <t>GlcNAc-anhMurNAc transport via diffusion (extracellular to periplasm)</t>
  </si>
  <si>
    <t xml:space="preserve">anhgm_e  -&gt; anhgm_p </t>
  </si>
  <si>
    <t>UDPKAAT_f</t>
  </si>
  <si>
    <t>UDP-4''-ketopentose:UDP-4-amino-4-deoxy-L-arabinose aminotransferase</t>
  </si>
  <si>
    <t xml:space="preserve">glu__L_c + udpLa4o_c  -&gt; akg_c + udpLa4n_c </t>
  </si>
  <si>
    <t>2.6.1.87</t>
  </si>
  <si>
    <t>ULA4NFT</t>
  </si>
  <si>
    <t>UDP-L-Ara4N formyltransferase</t>
  </si>
  <si>
    <t xml:space="preserve">10fthf_c + udpLa4n_c  -&gt; h_c + thf_c + udpLa4fn_c </t>
  </si>
  <si>
    <t>2.1.2.13</t>
  </si>
  <si>
    <t>UPLA4FNT</t>
  </si>
  <si>
    <t>Undecaprenyl phosphate-L-Ara4FN transferase</t>
  </si>
  <si>
    <t xml:space="preserve">udpLa4fn_c + udcpp_c  -&gt; uLa4fn_c + udp_c </t>
  </si>
  <si>
    <t>2.4.2.53</t>
  </si>
  <si>
    <t>UPLA4FNF</t>
  </si>
  <si>
    <t>Undecaprenyl phosphate-L-Ara4FN formylase</t>
  </si>
  <si>
    <t xml:space="preserve">uLa4fn_c + h2o_c  -&gt; uLa4n_c + for_c </t>
  </si>
  <si>
    <t>3.5.1.n3</t>
  </si>
  <si>
    <t>ULA4Ntppi</t>
  </si>
  <si>
    <t>Transport (cytoplasm to periplasm)</t>
  </si>
  <si>
    <t xml:space="preserve">uLa4n_c  -&gt; uLa4n_p </t>
  </si>
  <si>
    <t>HEPT1</t>
  </si>
  <si>
    <t>Heptosyltransferase I (LPS core synthesis)</t>
  </si>
  <si>
    <t xml:space="preserve">adphep_LD_c + lipa_c  -&gt; h_c + hlipa_c + adp_c </t>
  </si>
  <si>
    <t>2.-.-.-</t>
  </si>
  <si>
    <t>FALDtex_f</t>
  </si>
  <si>
    <t>Formaldehyde transport via diffusion (extracellular to periplasm)</t>
  </si>
  <si>
    <t xml:space="preserve">fald_e  -&gt; fald_p </t>
  </si>
  <si>
    <t>ALR2</t>
  </si>
  <si>
    <t>Aldose reductase (methylglyoxal)</t>
  </si>
  <si>
    <t xml:space="preserve">h_c + mthgxl_c + nadph_c  -&gt; nadp_c + acetol_c </t>
  </si>
  <si>
    <t>1.1.1.274</t>
  </si>
  <si>
    <t>AMALT2</t>
  </si>
  <si>
    <t>Amylomaltase (maltotetraose)</t>
  </si>
  <si>
    <t xml:space="preserve">malt_c + maltttr_c  -&gt; glc__D_c + maltpt_c </t>
  </si>
  <si>
    <t>MLTP1_f</t>
  </si>
  <si>
    <t>Maltodextrin phosphorylase (maltopentaose)</t>
  </si>
  <si>
    <t xml:space="preserve">pi_c + maltpt_c  -&gt; g1p_c + maltttr_c </t>
  </si>
  <si>
    <t>HEPT2</t>
  </si>
  <si>
    <t>Heptosyltransferase II (LPS core synthesis)</t>
  </si>
  <si>
    <t xml:space="preserve">adphep_LD_c + hlipa_c  -&gt; h_c + adp_c + hhlipa_c </t>
  </si>
  <si>
    <t>CYSDtex_f</t>
  </si>
  <si>
    <t>D-cysteine transport via diffusion (extracellular to periplasm)</t>
  </si>
  <si>
    <t xml:space="preserve">cys__D_e  -&gt; cys__D_p </t>
  </si>
  <si>
    <t>HXAND</t>
  </si>
  <si>
    <t>Hypoxanthine dehydrogenase</t>
  </si>
  <si>
    <t xml:space="preserve">nad_c + h2o_c + hxan_c  -&gt; h_c + xan_c + nadh_c </t>
  </si>
  <si>
    <t>G3PItex_f</t>
  </si>
  <si>
    <t>Glycero-3-phospho-1-inositol transport via diffusion (extracellular to periplasm)</t>
  </si>
  <si>
    <t xml:space="preserve">g3pi_e  -&gt; g3pi_p </t>
  </si>
  <si>
    <t>G3PGtex_f</t>
  </si>
  <si>
    <t>Glycerophoglycerol transport via diffusion (extracellular to periplasm)</t>
  </si>
  <si>
    <t xml:space="preserve">g3pg_e  -&gt; g3pg_p </t>
  </si>
  <si>
    <t>G3PEtex_f</t>
  </si>
  <si>
    <t>Glycero-3-phosphoethanolamine transport via diffusion (extracellular to periplasm)</t>
  </si>
  <si>
    <t xml:space="preserve">g3pe_e  -&gt; g3pe_p </t>
  </si>
  <si>
    <t>G3PCtex_f</t>
  </si>
  <si>
    <t>Glycero-3-phosphocholine transport via diffusion (extracellular to periplasm)</t>
  </si>
  <si>
    <t xml:space="preserve">g3pc_e  -&gt; g3pc_p </t>
  </si>
  <si>
    <t>MOAT3C</t>
  </si>
  <si>
    <t>3-deoxy-D-manno-octulosonic acid transferase III (LPS core biosynthesis)</t>
  </si>
  <si>
    <t xml:space="preserve">phphhlipa_c + ckdo_c  -&gt; h_c + kphphhlipa_c + cmp_c </t>
  </si>
  <si>
    <t>2.4.99.-</t>
  </si>
  <si>
    <t>RHAT1</t>
  </si>
  <si>
    <t>Rhamnosyltransferase I (LPS core biosynthesis)</t>
  </si>
  <si>
    <t xml:space="preserve">kphphhlipa_c + dtdprmn_c  -&gt; h_c + icolipa_c + dtdp_c </t>
  </si>
  <si>
    <t>GLCabcpp</t>
  </si>
  <si>
    <t>D-glucose transport via ABC system (periplasm)</t>
  </si>
  <si>
    <t xml:space="preserve">atp_c + h2o_c + glc__D_p  -&gt; h_c + adp_c + pi_c + glc__D_c </t>
  </si>
  <si>
    <t>GALT1</t>
  </si>
  <si>
    <t>Galactosyltransferase I (LPS core synthesis)</t>
  </si>
  <si>
    <t xml:space="preserve">gicolipa_c + udpg_c  -&gt; h_c + gagicolipa_c + udp_c </t>
  </si>
  <si>
    <t>GLCTR2</t>
  </si>
  <si>
    <t>Glucosyltransferase II (LPS core synthesis)</t>
  </si>
  <si>
    <t xml:space="preserve">udpg_c + gagicolipa_c  -&gt; h_c + ggagicolipa_c + udp_c </t>
  </si>
  <si>
    <t>2.4.1.44</t>
  </si>
  <si>
    <t>UDPGPpp</t>
  </si>
  <si>
    <t>UDPglucose pyrophosphohydrolase</t>
  </si>
  <si>
    <t xml:space="preserve">h2o_p + udpg_p  -&gt; 2 h_p + g1p_p + ump_p </t>
  </si>
  <si>
    <t>PPPGO</t>
  </si>
  <si>
    <t>Protoporphyrinogen oxidase (aerobic)</t>
  </si>
  <si>
    <t xml:space="preserve">1.5 o2_c + pppg9_c  -&gt; ppp9_c + 3 h2o_c </t>
  </si>
  <si>
    <t>1.3.5.3</t>
  </si>
  <si>
    <t>DAMPtex_f</t>
  </si>
  <si>
    <t>DAMP transport via diffusion (extracellular to periplasm)</t>
  </si>
  <si>
    <t xml:space="preserve">damp_e  -&gt; damp_p </t>
  </si>
  <si>
    <t>DCMPtex_f</t>
  </si>
  <si>
    <t>DCMP transport via diffusion (extracellular to periplasm)</t>
  </si>
  <si>
    <t xml:space="preserve">dcmp_e  -&gt; dcmp_p </t>
  </si>
  <si>
    <t>DGMPtex_f</t>
  </si>
  <si>
    <t>DGMP transport via diffusion (extracellular to periplasm)</t>
  </si>
  <si>
    <t xml:space="preserve">dgmp_e  -&gt; dgmp_p </t>
  </si>
  <si>
    <t>DTMPtex_f</t>
  </si>
  <si>
    <t>DTMP transport via diffusion (extracellular to periplasm)</t>
  </si>
  <si>
    <t xml:space="preserve">dtmp_e  -&gt; dtmp_p </t>
  </si>
  <si>
    <t>GMPtex_f</t>
  </si>
  <si>
    <t>GMP transport via diffusion (extracellular to periplasm)</t>
  </si>
  <si>
    <t xml:space="preserve">gmp_e  -&gt; gmp_p </t>
  </si>
  <si>
    <t>IMPtex_f</t>
  </si>
  <si>
    <t>IMP transport via diffusion (extracellular to periplasm)</t>
  </si>
  <si>
    <t xml:space="preserve">imp_e  -&gt; imp_p </t>
  </si>
  <si>
    <t>UMPtex_f</t>
  </si>
  <si>
    <t>UMP transport via diffusion (extracellular to periplasm)</t>
  </si>
  <si>
    <t xml:space="preserve">ump_e  -&gt; ump_p </t>
  </si>
  <si>
    <t>G1Ptex_f</t>
  </si>
  <si>
    <t>D-glucose 1-phosphate transport via diffusion</t>
  </si>
  <si>
    <t xml:space="preserve">g1p_e  -&gt; g1p_p </t>
  </si>
  <si>
    <t>ADNK1</t>
  </si>
  <si>
    <t>Adenosine kinase</t>
  </si>
  <si>
    <t xml:space="preserve">atp_c + adn_c  -&gt; h_c + adp_c + amp_c </t>
  </si>
  <si>
    <t>CUt3</t>
  </si>
  <si>
    <t>Copper transport out via proton antiport</t>
  </si>
  <si>
    <t xml:space="preserve">h_e + cu_c  -&gt; h_c + cu_e </t>
  </si>
  <si>
    <t>ZN2t3pp</t>
  </si>
  <si>
    <t>Zinc (Zn+2) transport out via proton antiport (periplasm)</t>
  </si>
  <si>
    <t xml:space="preserve">h_p + zn2_c  -&gt; h_c + zn2_p </t>
  </si>
  <si>
    <t>SKMtex_f</t>
  </si>
  <si>
    <t>Shikimate transport via diffusion (extracellular to periplasm)</t>
  </si>
  <si>
    <t xml:space="preserve">skm_e  -&gt; skm_p </t>
  </si>
  <si>
    <t>MNt2pp</t>
  </si>
  <si>
    <t>Manganese (Mn+2) transport in via proton symport (periplasm)</t>
  </si>
  <si>
    <t xml:space="preserve">h_p + mn2_p  -&gt; h_c + mn2_c </t>
  </si>
  <si>
    <t>MNtex_f</t>
  </si>
  <si>
    <t>Manganese (Mn+2) transport via diffusion (extracellular to periplasm)</t>
  </si>
  <si>
    <t xml:space="preserve">mn2_e  -&gt; mn2_p </t>
  </si>
  <si>
    <t>GAL1Ptex_f</t>
  </si>
  <si>
    <t>D-galactose 1-phosphate transport via diffusion (extracellular to periplasm)</t>
  </si>
  <si>
    <t xml:space="preserve">gal1p_e  -&gt; gal1p_p </t>
  </si>
  <si>
    <t>O2Stex_f</t>
  </si>
  <si>
    <t>Superoxide anion transport via diffusion (extracellular to periplasm)</t>
  </si>
  <si>
    <t xml:space="preserve">o2s_e  -&gt; o2s_p </t>
  </si>
  <si>
    <t>HEPK1</t>
  </si>
  <si>
    <t>LPS heptose kinase I (LPS core synthesis)</t>
  </si>
  <si>
    <t xml:space="preserve">hhlipa_c + atp_c  -&gt; h_c + phhlipa_c + adp_c </t>
  </si>
  <si>
    <t>2.7.1.-</t>
  </si>
  <si>
    <t>HEPT3</t>
  </si>
  <si>
    <t>Heptosyltransferase III (LPS core synthesis)</t>
  </si>
  <si>
    <t xml:space="preserve">adphep_LD_c + phhlipa_c  -&gt; h_c + hphhlipa_c + adp_c </t>
  </si>
  <si>
    <t>HEPK2</t>
  </si>
  <si>
    <t>LPS heptose kinase II (LPS core synthesis)</t>
  </si>
  <si>
    <t xml:space="preserve">hphhlipa_c + atp_c  -&gt; h_c + phphhlipa_c + adp_c </t>
  </si>
  <si>
    <t>ALDD3y</t>
  </si>
  <si>
    <t>Aldehyde dehydrogenase (propanal, NADP)</t>
  </si>
  <si>
    <t xml:space="preserve">nadp_c + h2o_c + ppal_c  -&gt; 2 h_c + ppa_c + nadph_c </t>
  </si>
  <si>
    <t>R5PP</t>
  </si>
  <si>
    <t xml:space="preserve">r5p_c + h2o_c  -&gt; rib__D_c + pi_c </t>
  </si>
  <si>
    <t>CYSSADS</t>
  </si>
  <si>
    <t>L-cysteine sulfinic acid desulfurase</t>
  </si>
  <si>
    <t xml:space="preserve">2 h_c + 3sala_c  -&gt; ala__L_c + so2_c </t>
  </si>
  <si>
    <t>2.8.1.7</t>
  </si>
  <si>
    <t>CPPPGO2</t>
  </si>
  <si>
    <t>Oxygen Independent coproporphyrinogen-III oxidase</t>
  </si>
  <si>
    <t xml:space="preserve">2 amet_c + cpppg3_c  -&gt; 2 met__L_c + 2 dad_5_c + pppg9_c + 2 co2_c </t>
  </si>
  <si>
    <t>1.3.98.3</t>
  </si>
  <si>
    <t>AGM3PH</t>
  </si>
  <si>
    <t>N-Acetyl-D-glucosamine(anhydrous)N-Acetylmuramyl-tripeptide beta -1,4-N-acetylglucosaminidase</t>
  </si>
  <si>
    <t xml:space="preserve">anhgm3p_c + h2o_c  -&gt; anhm3p_c + acgam_c </t>
  </si>
  <si>
    <t>HOMt2pp</t>
  </si>
  <si>
    <t>L-homoserineserine efflux via proton symport</t>
  </si>
  <si>
    <t xml:space="preserve">h_p + hom__L_c  -&gt; h_c + hom__L_p </t>
  </si>
  <si>
    <t>HOMtex_f</t>
  </si>
  <si>
    <t>L-homoserine transport via diffusion (extracellular to periplasm)</t>
  </si>
  <si>
    <t xml:space="preserve">hom__L_e  -&gt; hom__L_p </t>
  </si>
  <si>
    <t>SO2tex_f</t>
  </si>
  <si>
    <t>SO2 transport via diffusion (extracellular to periplasm)</t>
  </si>
  <si>
    <t xml:space="preserve">so2_e  -&gt; so2_p </t>
  </si>
  <si>
    <t>LDH_D2</t>
  </si>
  <si>
    <t>D-lactate dehydrogenase</t>
  </si>
  <si>
    <t xml:space="preserve">q8_c + lac__D_c  -&gt; q8h2_c + pyr_c </t>
  </si>
  <si>
    <t>1.1.5.12</t>
  </si>
  <si>
    <t>SHCHF</t>
  </si>
  <si>
    <t>Sirohydrochlorin ferrochelatase</t>
  </si>
  <si>
    <t xml:space="preserve">fe2_c + scl_c  -&gt; 3 h_c + sheme_c </t>
  </si>
  <si>
    <t>4.99.1.4</t>
  </si>
  <si>
    <t>SUCBZL</t>
  </si>
  <si>
    <t>O-succinylbenzoate-CoA ligase</t>
  </si>
  <si>
    <t xml:space="preserve">sucbz_c + atp_c + coa_c  -&gt; sbzcoa_c + ppi_c + amp_c </t>
  </si>
  <si>
    <t>6.2.1.26</t>
  </si>
  <si>
    <t>CYSDDS</t>
  </si>
  <si>
    <t>D-cysteine desulfhydrase</t>
  </si>
  <si>
    <t xml:space="preserve">cys__D_c + h2o_c  -&gt; h2s_c + nh4_c + pyr_c </t>
  </si>
  <si>
    <t>4.4.1.15</t>
  </si>
  <si>
    <t>CYStpp</t>
  </si>
  <si>
    <t>L-cysteine export via facilitated transport</t>
  </si>
  <si>
    <t xml:space="preserve">cys__L_c  -&gt; cys__L_p </t>
  </si>
  <si>
    <t>ACSERtpp</t>
  </si>
  <si>
    <t>O-Acetyl-L-serine export via facilitated transport</t>
  </si>
  <si>
    <t xml:space="preserve">acser_c  -&gt; acser_p </t>
  </si>
  <si>
    <t>ACSERtex_f</t>
  </si>
  <si>
    <t>O-Acetyl-L-serine transport via diffusion (extracellular to periplasm)</t>
  </si>
  <si>
    <t xml:space="preserve">acser_e  -&gt; acser_p </t>
  </si>
  <si>
    <t>NTP10</t>
  </si>
  <si>
    <t>Nucleoside-triphosphatase (ITP)</t>
  </si>
  <si>
    <t xml:space="preserve">h2o_c + itp_c  -&gt; h_c + pi_c + idp_c </t>
  </si>
  <si>
    <t>PRAIS</t>
  </si>
  <si>
    <t>Phosphoribosylaminoimidazole synthase</t>
  </si>
  <si>
    <t xml:space="preserve">fpram_c + atp_c  -&gt; 2 h_c + adp_c + air_c + pi_c </t>
  </si>
  <si>
    <t>6.3.3.1</t>
  </si>
  <si>
    <t>GDMANE</t>
  </si>
  <si>
    <t>GDP-4-dehydro-6-deoxy-D-mannose epimerase</t>
  </si>
  <si>
    <t xml:space="preserve">gdpddman_c  -&gt; gdpofuc_c </t>
  </si>
  <si>
    <t>GPDDA4</t>
  </si>
  <si>
    <t xml:space="preserve">g3pg_c + h2o_c  -&gt; h_c + glyc3p_c + glyc_c </t>
  </si>
  <si>
    <t>LPLIPAL2E140</t>
  </si>
  <si>
    <t>Lysophospholipase L2 (2-acylglycerophosphoethanolamine, n-C14:0)</t>
  </si>
  <si>
    <t xml:space="preserve">2agpe140_c + h2o_c  -&gt; h_c + ttdca_c + g3pe_c </t>
  </si>
  <si>
    <t>3.1.1.5</t>
  </si>
  <si>
    <t>LPLIPAL2E180</t>
  </si>
  <si>
    <t>Lysophospholipase L2 (2-acylglycerophosphoethanolamine, n-C18:0)</t>
  </si>
  <si>
    <t xml:space="preserve">h2o_c + 2agpe180_c  -&gt; h_c + ocdca_c + g3pe_c </t>
  </si>
  <si>
    <t>LPLIPAL2G161</t>
  </si>
  <si>
    <t>Lysophospholipase L2 (2-acylglycerophosphoglycerol, n-C16:1)</t>
  </si>
  <si>
    <t xml:space="preserve">h2o_c + 2agpg161_c  -&gt; h_c + hdcea_c + g3pg_c </t>
  </si>
  <si>
    <t>LPLIPAL2G181</t>
  </si>
  <si>
    <t>Lysophospholipase L2 (2-acylglycerophosphoglycerol, n-C18:1)</t>
  </si>
  <si>
    <t xml:space="preserve">2agpg181_c + h2o_c  -&gt; h_c + g3pg_c + ocdcea_c </t>
  </si>
  <si>
    <t>2AGPE120tipp</t>
  </si>
  <si>
    <t>2-Acyl-sn-glycero-3-phosphoethanolamine (n-C12:0) transporter via facilitated diffusion (periplasm)</t>
  </si>
  <si>
    <t xml:space="preserve">2agpe120_p  -&gt; 2agpe120_c </t>
  </si>
  <si>
    <t>AACPS6</t>
  </si>
  <si>
    <t>Acyl-[acyl-carrier-protein] synthetase  (n-C18:0)</t>
  </si>
  <si>
    <t xml:space="preserve">ocdca_c + atp_c + ACP_c  -&gt; ppi_c + ocdcaACP_c + amp_c </t>
  </si>
  <si>
    <t>AACPS7</t>
  </si>
  <si>
    <t>Acyl-[acyl-carrier-protein] synthetase  (n-C12:0)</t>
  </si>
  <si>
    <t xml:space="preserve">atp_c + ddca_c + ACP_c  -&gt; ppi_c + ddcaACP_c + amp_c </t>
  </si>
  <si>
    <t>G3PGabcpp</t>
  </si>
  <si>
    <t>Sn-glycerol-3-phosphoglycerol transport via ABC system (periplasm)</t>
  </si>
  <si>
    <t xml:space="preserve">atp_c + h2o_c + g3pg_p  -&gt; h_c + g3pg_c + adp_c + pi_c </t>
  </si>
  <si>
    <t>G3PIabcpp</t>
  </si>
  <si>
    <t>Sn-glycerol-3-phosphoethanolamine transport via ABC system (periplasm)</t>
  </si>
  <si>
    <t xml:space="preserve">atp_c + h2o_c + g3pi_p  -&gt; h_c + adp_c + pi_c + g3pi_c </t>
  </si>
  <si>
    <t>G3PSabcpp</t>
  </si>
  <si>
    <t>Sn-glycerol-3-phosphoserine transport via ABC system (periplasm)</t>
  </si>
  <si>
    <t xml:space="preserve">atp_c + h2o_c + g3ps_p  -&gt; h_c + g3ps_c + adp_c + pi_c </t>
  </si>
  <si>
    <t>QMO2</t>
  </si>
  <si>
    <t>Quinol monooxygenase (Ubiquinol-8)</t>
  </si>
  <si>
    <t xml:space="preserve">2 o2_c + q8h2_c  -&gt; 2 h_c + 2 o2s_c + q8_c </t>
  </si>
  <si>
    <t>QMO3</t>
  </si>
  <si>
    <t>Quinol monooxygenase (menaquinol 8)</t>
  </si>
  <si>
    <t xml:space="preserve">2 o2_c + mql8_c  -&gt; 2 h_c + 2 o2s_c + mqn8_c </t>
  </si>
  <si>
    <t>LPLIPAL2E141</t>
  </si>
  <si>
    <t>Lysophospholipase L2 (2-acylglycerophosphoethanolamine, n-C14:1)</t>
  </si>
  <si>
    <t xml:space="preserve">h2o_c + 2agpe141_c  -&gt; h_c + g3pe_c + ttdcea_c </t>
  </si>
  <si>
    <t>LPLIPAL2E161</t>
  </si>
  <si>
    <t>Lysophospholipase L2 (2-acylglycerophosphoethanolamine, n-C16:1)</t>
  </si>
  <si>
    <t xml:space="preserve">h2o_c + 2agpe161_c  -&gt; h_c + hdcea_c + g3pe_c </t>
  </si>
  <si>
    <t>LPLIPAL2E181</t>
  </si>
  <si>
    <t>Lysophospholipase L2 (2-acylglycerophosphoethanolamine, n-C18:1)</t>
  </si>
  <si>
    <t xml:space="preserve">h2o_c + 2agpe181_c  -&gt; h_c + ocdcea_c + g3pe_c </t>
  </si>
  <si>
    <t>LPLIPAL2G180</t>
  </si>
  <si>
    <t>Lysophospholipase L2 (2-acylglycerophosphoglycerol, n-C18:0)</t>
  </si>
  <si>
    <t xml:space="preserve">2agpg180_c + h2o_c  -&gt; h_c + g3pg_c + ocdca_c </t>
  </si>
  <si>
    <t>LPLIPAL2G141</t>
  </si>
  <si>
    <t>Lysophospholipase L2 (2-acylglycerophosphoglycerol, n-C14:1)</t>
  </si>
  <si>
    <t xml:space="preserve">h2o_c + 2agpg141_c  -&gt; h_c + g3pg_c + ttdcea_c </t>
  </si>
  <si>
    <t>2AGPA120tipp</t>
  </si>
  <si>
    <t>2-Acyl-sn-glycero-3-phosphatidate (n-C12:0) transporter via facilitated diffusion (periplasm)</t>
  </si>
  <si>
    <t xml:space="preserve">2ddecg3p_p  -&gt; 2ddecg3p_c </t>
  </si>
  <si>
    <t>2AGPG180tipp</t>
  </si>
  <si>
    <t>2-Acyl-sn-glycero-3-phosphoglycerol (n-C18:0) transporter via facilitated diffusion (periplasm)</t>
  </si>
  <si>
    <t xml:space="preserve">2agpg180_p  -&gt; 2agpg180_c </t>
  </si>
  <si>
    <t>IPDDI_f</t>
  </si>
  <si>
    <t>Isopentenyl-diphosphate D-isomerase</t>
  </si>
  <si>
    <t xml:space="preserve">ipdp_c  -&gt; dmpp_c </t>
  </si>
  <si>
    <t>5.3.3.2</t>
  </si>
  <si>
    <t>2AGPGAT180</t>
  </si>
  <si>
    <t>2-acyl-glycerophospho-glycerol acyltransferase (n-C18:0)</t>
  </si>
  <si>
    <t xml:space="preserve">ocdca_c + 2agpg180_c + atp_c  -&gt; ppi_c + pg180_c + amp_c </t>
  </si>
  <si>
    <t>2AGPGAT181</t>
  </si>
  <si>
    <t>2-acyl-glycerophospho-glycerol acyltransferase (n-C18:1)</t>
  </si>
  <si>
    <t xml:space="preserve">ocdcea_c + atp_c + 2agpg181_c  -&gt; ppi_c + pg181_c + amp_c </t>
  </si>
  <si>
    <t>LPLIPAL2ATG120</t>
  </si>
  <si>
    <t>Lysophospholipase L2 (acyltransferase, 2-acyl-glycerophosphoglycerol, n-C12:0)</t>
  </si>
  <si>
    <t xml:space="preserve">2agpg120_c + pg120_c  -&gt; g3pg_c + apg120_c </t>
  </si>
  <si>
    <t>PLIPA1E140pp</t>
  </si>
  <si>
    <t>Phospholipase A1 (phosphatidylethanolamine, n-C14:0) (periplasm)</t>
  </si>
  <si>
    <t xml:space="preserve">pe140_p + h2o_p  -&gt; 2agpe140_p + h_p + ttdca_p </t>
  </si>
  <si>
    <t>3.1.1.32, 3.1.1.4</t>
  </si>
  <si>
    <t>PLIPA1E160pp</t>
  </si>
  <si>
    <t>Phospholipase A1 (phosphatidylethanolamine, n-C16:0) (periplasm)</t>
  </si>
  <si>
    <t xml:space="preserve">h2o_p + pe160_p  -&gt; hdca_p + h_p + 2agpe160_p </t>
  </si>
  <si>
    <t>3.1.1.32</t>
  </si>
  <si>
    <t>PLIPA1E161pp</t>
  </si>
  <si>
    <t>Phospholipase A1 (phosphatidylethanolamine, n-C16:1) (periplasm)</t>
  </si>
  <si>
    <t xml:space="preserve">h2o_p + pe161_p  -&gt; h_p + 2agpe161_p + hdcea_p </t>
  </si>
  <si>
    <t>AACPS8</t>
  </si>
  <si>
    <t>Acyl-[acyl-carrier-protein] synthetase  (n-C10:0)</t>
  </si>
  <si>
    <t xml:space="preserve">dca_c + atp_c + ACP_c  -&gt; ppi_c + dcaACP_c + amp_c </t>
  </si>
  <si>
    <t>AACPS9</t>
  </si>
  <si>
    <t>Acyl-[acyl-carrier-protein] synthetase  (n-C8:0)</t>
  </si>
  <si>
    <t xml:space="preserve">octa_c + atp_c + ACP_c  -&gt; ocACP_c + ppi_c + amp_c </t>
  </si>
  <si>
    <t>HXCT</t>
  </si>
  <si>
    <t>Acetyl-CoA:hexanoate-CoA transferase</t>
  </si>
  <si>
    <t xml:space="preserve">accoa_c + hxa_c  -&gt; ac_c + hxcoa_c </t>
  </si>
  <si>
    <t>2AGPEAT160</t>
  </si>
  <si>
    <t>2-acyl-glycerophospho-ethanolamine acyltransferase (n-C16:0)</t>
  </si>
  <si>
    <t xml:space="preserve">atp_c + 2agpe160_c + hdca_c  -&gt; ppi_c + pe160_c + amp_c </t>
  </si>
  <si>
    <t>2.3.1.40</t>
  </si>
  <si>
    <t>DURADx_f</t>
  </si>
  <si>
    <t>Dihydrouracil dehydrogenase (NAD)</t>
  </si>
  <si>
    <t xml:space="preserve">nad_c + 56dura_c  -&gt; h_c + ura_c + nadh_c </t>
  </si>
  <si>
    <t>1.3.1.1</t>
  </si>
  <si>
    <t>ECOAH7_f</t>
  </si>
  <si>
    <t>3-hydroxyacyl-CoA dehydratase (3-hydroxyhexadecanoyl-CoA)</t>
  </si>
  <si>
    <t xml:space="preserve">3hhdcoa_c  -&gt; h2o_c + hdd2coa_c </t>
  </si>
  <si>
    <t>G1PPpp</t>
  </si>
  <si>
    <t xml:space="preserve">h2o_p + g1p_p  -&gt; glc__D_p + pi_p </t>
  </si>
  <si>
    <t>GALCTND</t>
  </si>
  <si>
    <t>Galactonate dehydratase</t>
  </si>
  <si>
    <t xml:space="preserve">galctn__D_c  -&gt; h2o_c + 2dh3dgal_c </t>
  </si>
  <si>
    <t>4.2.1.6</t>
  </si>
  <si>
    <t>GCALDD</t>
  </si>
  <si>
    <t>Glycolaldehyde dehydrogenase</t>
  </si>
  <si>
    <t xml:space="preserve">nad_c + h2o_c + gcald_c  -&gt; 2 h_c + glyclt_c + nadh_c </t>
  </si>
  <si>
    <t>1.2.1.21</t>
  </si>
  <si>
    <t>HISTP</t>
  </si>
  <si>
    <t>Histidinol-phosphatase</t>
  </si>
  <si>
    <t xml:space="preserve">hisp_c + h2o_c  -&gt; pi_c + histd_c </t>
  </si>
  <si>
    <t>3.1.3.15</t>
  </si>
  <si>
    <t>LDH_D_f</t>
  </si>
  <si>
    <t xml:space="preserve">nad_c + lac__D_c  -&gt; h_c + pyr_c + nadh_c </t>
  </si>
  <si>
    <t>1.1.1.28</t>
  </si>
  <si>
    <t>AMALT4</t>
  </si>
  <si>
    <t>Amylomaltase (maltohexaose)</t>
  </si>
  <si>
    <t xml:space="preserve">malt_c + malthx_c  -&gt; glc__D_c + malthp_c </t>
  </si>
  <si>
    <t>NTD11</t>
  </si>
  <si>
    <t xml:space="preserve">imp_c + h2o_c  -&gt; pi_c + ins_c </t>
  </si>
  <si>
    <t>ORNDC</t>
  </si>
  <si>
    <t>Ornithine Decarboxylase</t>
  </si>
  <si>
    <t xml:space="preserve">h_c + orn_c  -&gt; ptrc_c + co2_c </t>
  </si>
  <si>
    <t>4.1.1.17</t>
  </si>
  <si>
    <t>UPP3MT</t>
  </si>
  <si>
    <t>Uroporphyrinogen methyltransferase</t>
  </si>
  <si>
    <t xml:space="preserve">2 amet_c + uppg3_c  -&gt; h_c + dscl_c + 2 ahcys_c </t>
  </si>
  <si>
    <t>2.1.1.107</t>
  </si>
  <si>
    <t>KAS15</t>
  </si>
  <si>
    <t>Beta-ketoacyl-ACP synthase (2)</t>
  </si>
  <si>
    <t xml:space="preserve">h_c + accoa_c + malACP_c  -&gt; actACP_c + coa_c + co2_c </t>
  </si>
  <si>
    <t>ALAALAtex_f</t>
  </si>
  <si>
    <t>D-alanyl-D-alanine (DalaDala) transport via diffusion (extracellular to periplasm)</t>
  </si>
  <si>
    <t xml:space="preserve">alaala_e  -&gt; alaala_p </t>
  </si>
  <si>
    <t>FACOAL181t2pp</t>
  </si>
  <si>
    <t>Fatty-acid-CoA ligase (octadecenoate transport via vectoral Co-A coupling)</t>
  </si>
  <si>
    <t xml:space="preserve">ocdcea_p + h_p + atp_c + coa_c  -&gt; h_c + odecoa_c + ppi_c + amp_c </t>
  </si>
  <si>
    <t>T2DECAI_f</t>
  </si>
  <si>
    <t>Trans-2-decenoyl-ACP isomerase</t>
  </si>
  <si>
    <t xml:space="preserve">tdec2eACP_c  -&gt; cdec3eACP_c </t>
  </si>
  <si>
    <t>5.3.3.14</t>
  </si>
  <si>
    <t>3OAS161</t>
  </si>
  <si>
    <t>3-oxoacyl-[acyl-carrier-protein] synthase (n-C16:1)</t>
  </si>
  <si>
    <t xml:space="preserve">h_c + tdeACP_c + malACP_c  -&gt; 3ocpalm9eACP_c + co2_c + ACP_c </t>
  </si>
  <si>
    <t>EAR141y</t>
  </si>
  <si>
    <t>Enoyl-[acyl-carrier-protein] reductase (NADPH) (n-C14:1)</t>
  </si>
  <si>
    <t xml:space="preserve">h_c + t3c7mrseACP_c + nadph_c  -&gt; tdeACP_c + nadp_c </t>
  </si>
  <si>
    <t>1.3.1.9</t>
  </si>
  <si>
    <t>EAR161x</t>
  </si>
  <si>
    <t>Enoyl-[acyl-carrier-protein] reductase (NADH) (n-C16:1)</t>
  </si>
  <si>
    <t xml:space="preserve">h_c + t3c9palmeACP_c + nadh_c  -&gt; nad_c + hdeACP_c </t>
  </si>
  <si>
    <t>DASYN160</t>
  </si>
  <si>
    <t>CDP-diacylglycerol synthetase (n-C16:0)</t>
  </si>
  <si>
    <t xml:space="preserve">h_c + pa160_c + ctp_c  -&gt; ppi_c + cdpdhdecg_c </t>
  </si>
  <si>
    <t>2.7.7.41</t>
  </si>
  <si>
    <t>DASYN161</t>
  </si>
  <si>
    <t>CDP-diacylglycerol synthetase (n-C16:1)</t>
  </si>
  <si>
    <t xml:space="preserve">h_c + ctp_c + pa161_c  -&gt; cdpdhdec9eg_c + ppi_c </t>
  </si>
  <si>
    <t>DASYN181</t>
  </si>
  <si>
    <t>CDP-diacylglycerol synthetase (n-C18:1)</t>
  </si>
  <si>
    <t xml:space="preserve">h_c + pa181_c + ctp_c  -&gt; ppi_c + cdpdodec11eg_c </t>
  </si>
  <si>
    <t>CDAPPA161</t>
  </si>
  <si>
    <t>CDP-Diacylglycerol pyrophostatase (n-C16:1)</t>
  </si>
  <si>
    <t xml:space="preserve">cdpdhdec9eg_c + h2o_c  -&gt; 2 h_c + pa161_c + cmp_c </t>
  </si>
  <si>
    <t>3.6.1.26</t>
  </si>
  <si>
    <t>PGSA180</t>
  </si>
  <si>
    <t>Phosphatidylglycerol synthase (n-C18:0)</t>
  </si>
  <si>
    <t xml:space="preserve">glyc3p_c + cdpdodecg_c  -&gt; h_c + cmp_c + pgp180_c </t>
  </si>
  <si>
    <t>2.7.8.5</t>
  </si>
  <si>
    <t>PSSA140</t>
  </si>
  <si>
    <t>Phosphatidylserine syntase (n-C14:0)</t>
  </si>
  <si>
    <t xml:space="preserve">ser__L_c + cdpdtdecg_c  -&gt; h_c + ps140_c + cmp_c </t>
  </si>
  <si>
    <t>2.7.8.8</t>
  </si>
  <si>
    <t>2AGPGAT141</t>
  </si>
  <si>
    <t>2-acyl-glycerophospho-glycerol acyltransferase (n-C14:1)</t>
  </si>
  <si>
    <t xml:space="preserve">atp_c + 2agpg141_c + ttdcea_c  -&gt; ppi_c + pg141_c + amp_c </t>
  </si>
  <si>
    <t>FACOAE180</t>
  </si>
  <si>
    <t>Fatty-acid-CoA thioesterase (octadecanoate)</t>
  </si>
  <si>
    <t xml:space="preserve">h2o_c + stcoa_c  -&gt; h_c + ocdca_c + coa_c </t>
  </si>
  <si>
    <t>FACOAE100</t>
  </si>
  <si>
    <t>Fatty-acid-CoA thioesterase (decanoate)</t>
  </si>
  <si>
    <t xml:space="preserve">h2o_c + dcacoa_c  -&gt; dca_c + h_c + coa_c </t>
  </si>
  <si>
    <t>FACOAE80</t>
  </si>
  <si>
    <t>Fatty-acid-CoA thioesterase (octanoate)</t>
  </si>
  <si>
    <t xml:space="preserve">occoa_c + h2o_c  -&gt; h_c + octa_c + coa_c </t>
  </si>
  <si>
    <t>FACOAE60</t>
  </si>
  <si>
    <t>Fatty-acid-CoA thioesterase (hexanoate)</t>
  </si>
  <si>
    <t xml:space="preserve">h2o_c + hxcoa_c  -&gt; h_c + hxa_c + coa_c </t>
  </si>
  <si>
    <t>PLIPA1E120pp</t>
  </si>
  <si>
    <t>Phospholipase A1 (phosphatidylethanolamine, n-C12:0) (periplasm)</t>
  </si>
  <si>
    <t xml:space="preserve">h2o_p + pe120_p  -&gt; h_p + ddca_p + 2agpe120_p </t>
  </si>
  <si>
    <t>MALtex_f</t>
  </si>
  <si>
    <t>Malate transport via diffusion (extracellular to periplasm)</t>
  </si>
  <si>
    <t xml:space="preserve">mal__L_e  -&gt; mal__L_p </t>
  </si>
  <si>
    <t>NO3tex_f</t>
  </si>
  <si>
    <t>Nitrate transport via diffusion (extracellular to periplasm)</t>
  </si>
  <si>
    <t xml:space="preserve">no3_e  -&gt; no3_p </t>
  </si>
  <si>
    <t>3OAS141</t>
  </si>
  <si>
    <t>3-oxoacyl-[acyl-carrier-protein] synthase (n-C14:1)</t>
  </si>
  <si>
    <t xml:space="preserve">h_c + cddec5eACP_c + malACP_c  -&gt; 3ocmrs7eACP_c + co2_c + ACP_c </t>
  </si>
  <si>
    <t>3OAR121</t>
  </si>
  <si>
    <t>3-oxoacyl-[acyl-carrier-protein] reductase (n-C12:1)</t>
  </si>
  <si>
    <t xml:space="preserve">3ocddec5eACP_c + h_c + nadph_c  -&gt; nadp_c + 3hcddec5eACP_c </t>
  </si>
  <si>
    <t>1.1.1.100</t>
  </si>
  <si>
    <t>CFAS160G</t>
  </si>
  <si>
    <t>Cyclopropane fatty acid synthase (Phosphatidylglycerol, n-C16:0)</t>
  </si>
  <si>
    <t xml:space="preserve">2 amet_c + pg161_c  -&gt; 2 h_c + 2 ahcys_c + cpg160_c </t>
  </si>
  <si>
    <t>2.1.1.79</t>
  </si>
  <si>
    <t>URAt2pp</t>
  </si>
  <si>
    <t>Uracil transport in via proton symport (periplasm)</t>
  </si>
  <si>
    <t xml:space="preserve">h_p + ura_p  -&gt; h_c + ura_c </t>
  </si>
  <si>
    <t>FACOAE141</t>
  </si>
  <si>
    <t>Fatty-acid-CoA thioesterase (tetradecenoate)</t>
  </si>
  <si>
    <t xml:space="preserve">tdecoa_c + h2o_c  -&gt; h_c + ttdcea_c + coa_c </t>
  </si>
  <si>
    <t>FACOAE161</t>
  </si>
  <si>
    <t>Fatty-acid-CoA thioesterase (hexadecenoate)</t>
  </si>
  <si>
    <t xml:space="preserve">hdcoa_c + h2o_c  -&gt; h_c + hdcea_c + coa_c </t>
  </si>
  <si>
    <t>TTDCEAtexi</t>
  </si>
  <si>
    <t>Tetradecenoate transport via facilitated irreversible diffusion (extracellular to periplasm)</t>
  </si>
  <si>
    <t xml:space="preserve">ttdcea_e  -&gt; ttdcea_p </t>
  </si>
  <si>
    <t>HDCEAtexi</t>
  </si>
  <si>
    <t>Hexadecenoate transport via facilitated irreversible diffusion (extracellular to periplasm)</t>
  </si>
  <si>
    <t xml:space="preserve">hdcea_e  -&gt; hdcea_p </t>
  </si>
  <si>
    <t>ALAALAD</t>
  </si>
  <si>
    <t>D-alanine-D-alanine dipeptidase</t>
  </si>
  <si>
    <t xml:space="preserve">h2o_c + alaala_c  -&gt; 2 ala__D_c </t>
  </si>
  <si>
    <t>3.4.13.22</t>
  </si>
  <si>
    <t>2AGPEAT180</t>
  </si>
  <si>
    <t>2-acyl-glycerophospho-ethanolamine acyltransferase (n-C18:0)</t>
  </si>
  <si>
    <t xml:space="preserve">ocdca_c + atp_c + 2agpe180_c  -&gt; ppi_c + pe180_c + amp_c </t>
  </si>
  <si>
    <t>2AGPEAT181</t>
  </si>
  <si>
    <t>2-acyl-glycerophospho-ethanolamine acyltransferase (n-C18:1)</t>
  </si>
  <si>
    <t xml:space="preserve">ocdcea_c + atp_c + 2agpe181_c  -&gt; pe181_c + ppi_c + amp_c </t>
  </si>
  <si>
    <t>2AGPGAT140</t>
  </si>
  <si>
    <t>2-acyl-glycerophospho-glycerol acyltransferase (n-C14:0)</t>
  </si>
  <si>
    <t xml:space="preserve">atp_c + ttdca_c + 2agpg140_c  -&gt; ppi_c + pg140_c + amp_c </t>
  </si>
  <si>
    <t>PLIPA1E181pp</t>
  </si>
  <si>
    <t>Phospholipase A1 (phosphatidylethanolamine, n-C18:1) (periplasm)</t>
  </si>
  <si>
    <t xml:space="preserve">h2o_p + pe181_p  -&gt; ocdcea_p + h_p + 2agpe181_p </t>
  </si>
  <si>
    <t>PLIPA1G180pp</t>
  </si>
  <si>
    <t>Phospholipase A1 (phosphatidylglycerol, n-C18:0) (periplasm)</t>
  </si>
  <si>
    <t xml:space="preserve">h2o_p + pg180_p  -&gt; h_p + 2agpg180_p + ocdca_p </t>
  </si>
  <si>
    <t>PLIPA1G181pp</t>
  </si>
  <si>
    <t>Phospholipase A1 (phosphatidylglycerol, n-C18:1) (periplasm)</t>
  </si>
  <si>
    <t xml:space="preserve">h2o_p + pg181_p  -&gt; 2agpg181_p + ocdcea_p + h_p </t>
  </si>
  <si>
    <t>ALAALAabcpp</t>
  </si>
  <si>
    <t>D-alanyl-D-alanine (DalaDala) transport via ABC system (periplasm)</t>
  </si>
  <si>
    <t xml:space="preserve">alaala_p + atp_c + h2o_c  -&gt; h_c + adp_c + pi_c + alaala_c </t>
  </si>
  <si>
    <t>HEXt2rpp_f</t>
  </si>
  <si>
    <t>Hexanoate transport via proton symport, reversible (periplasm)</t>
  </si>
  <si>
    <t xml:space="preserve">h_p + hxa_p  -&gt; h_c + hxa_c </t>
  </si>
  <si>
    <t>G3PEabcpp</t>
  </si>
  <si>
    <t xml:space="preserve">g3pe_p + atp_c + h2o_c  -&gt; h_c + adp_c + pi_c + g3pe_c </t>
  </si>
  <si>
    <t>G3PCabcpp</t>
  </si>
  <si>
    <t>Sn-glycerol-3-phosphocholine transport via ABC system (periplasm)</t>
  </si>
  <si>
    <t xml:space="preserve">atp_c + g3pc_p + h2o_c  -&gt; h_c + g3pc_c + adp_c + pi_c </t>
  </si>
  <si>
    <t>2AGPGAT161</t>
  </si>
  <si>
    <t>2-acyl-glycerophospho-glycerol acyltransferase (n-C16:1)</t>
  </si>
  <si>
    <t xml:space="preserve">hdcea_c + atp_c + 2agpg161_c  -&gt; pg161_c + ppi_c + amp_c </t>
  </si>
  <si>
    <t>AMPTASEPG</t>
  </si>
  <si>
    <t>Aminopeptidase (pro-gly)</t>
  </si>
  <si>
    <t xml:space="preserve">progly_c + h2o_c  -&gt; gly_c + pro__L_c </t>
  </si>
  <si>
    <t>3.4.11.2</t>
  </si>
  <si>
    <t>PROGLYabcpp</t>
  </si>
  <si>
    <t>L-Prolinylglycine (Pro-Gly) transport via ABC system (periplasm)</t>
  </si>
  <si>
    <t xml:space="preserve">atp_c + progly_p + h2o_c  -&gt; h_c + progly_c + adp_c + pi_c </t>
  </si>
  <si>
    <t>GTHRDabcpp</t>
  </si>
  <si>
    <t>Reduced glutathione via ABC system (periplasm)</t>
  </si>
  <si>
    <t xml:space="preserve">atp_c + h2o_c + gthrd_p  -&gt; h_c + gthrd_c + adp_c + pi_c </t>
  </si>
  <si>
    <t>2AGPG140tipp</t>
  </si>
  <si>
    <t>2-Acyl-sn-glycero-3-phosphoglycerol (n-C14:0) transporter via facilitated diffusion (periplasm)</t>
  </si>
  <si>
    <t xml:space="preserve">2agpg140_p  -&gt; 2agpg140_c </t>
  </si>
  <si>
    <t>2AGPG160tipp</t>
  </si>
  <si>
    <t>2-Acyl-sn-glycero-3-phosphoglycerol (n-C16:0) transporter via facilitated diffusion (periplasm)</t>
  </si>
  <si>
    <t xml:space="preserve">2agpg160_p  -&gt; 2agpg160_c </t>
  </si>
  <si>
    <t>2AGPG141tipp</t>
  </si>
  <si>
    <t>2-Acyl-sn-glycero-3-phosphoglycerol (n-C14:1) transporter via facilitated diffusion (periplasm)</t>
  </si>
  <si>
    <t xml:space="preserve">2agpg141_p  -&gt; 2agpg141_c </t>
  </si>
  <si>
    <t>2AGPG161tipp</t>
  </si>
  <si>
    <t>2-Acyl-sn-glycero-3-phosphoglycerol (n-C16:1) transporter via facilitated diffusion (periplasm)</t>
  </si>
  <si>
    <t xml:space="preserve">2agpg161_p  -&gt; 2agpg161_c </t>
  </si>
  <si>
    <t>2AGPG181tipp</t>
  </si>
  <si>
    <t>2-Acyl-sn-glycero-3-phosphoglycerol (n-C18:1) transporter via facilitated diffusion (periplasm)</t>
  </si>
  <si>
    <t xml:space="preserve">2agpg181_p  -&gt; 2agpg181_c </t>
  </si>
  <si>
    <t>2AGPEAT140</t>
  </si>
  <si>
    <t>2-acyl-glycerophospho-ethanolamine acyltransferase (n-C14:0)</t>
  </si>
  <si>
    <t xml:space="preserve">2agpe140_c + atp_c + ttdca_c  -&gt; ppi_c + pe140_c + amp_c </t>
  </si>
  <si>
    <t>2AGPEAT120</t>
  </si>
  <si>
    <t>2-acyl-glycerophospho-ethanolamine acyltransferase (n-C12:0)</t>
  </si>
  <si>
    <t xml:space="preserve">2agpe120_c + atp_c + ddca_c  -&gt; pe120_c + ppi_c + amp_c </t>
  </si>
  <si>
    <t>2AGPEAT161</t>
  </si>
  <si>
    <t>2-acyl-glycerophospho-ethanolamine acyltransferase (n-C16:1)</t>
  </si>
  <si>
    <t xml:space="preserve">hdcea_c + atp_c + 2agpe161_c  -&gt; ppi_c + pe161_c + amp_c </t>
  </si>
  <si>
    <t>2AGPEAT141</t>
  </si>
  <si>
    <t>2-acyl-glycerophospho-ethanolamine acyltransferase (n-C14:1)</t>
  </si>
  <si>
    <t xml:space="preserve">atp_c + ttdcea_c + 2agpe141_c  -&gt; pe141_c + ppi_c + amp_c </t>
  </si>
  <si>
    <t>2AGPGAT160</t>
  </si>
  <si>
    <t>2-acyl-glycerophospho-glycerol acyltransferase (n-C16:0)</t>
  </si>
  <si>
    <t xml:space="preserve">atp_c + 2agpg160_c + hdca_c  -&gt; ppi_c + pg160_c + amp_c </t>
  </si>
  <si>
    <t>LPLIPAL2ATG140</t>
  </si>
  <si>
    <t>Lysophospholipase L2 (acyltransferase, 2-acyl-glycerophosphoglycerol, n-C14:0)</t>
  </si>
  <si>
    <t xml:space="preserve">2agpg140_c + pg140_c  -&gt; g3pg_c + apg140_c </t>
  </si>
  <si>
    <t>LPLIPAL2ATG141</t>
  </si>
  <si>
    <t>Lysophospholipase L2 (acyltransferase, 2-acyl-glycerophosphoglycerol, n-C14:1)</t>
  </si>
  <si>
    <t xml:space="preserve">2agpg141_c + pg141_c  -&gt; apg141_c + g3pg_c </t>
  </si>
  <si>
    <t>LPLIPAL2ATG160</t>
  </si>
  <si>
    <t>Lysophospholipase L2 (acyltransferase, 2-acyl-glycerophosphoglycerol, n-C16:0)</t>
  </si>
  <si>
    <t xml:space="preserve">2agpg160_c + pg160_c  -&gt; g3pg_c + apg160_c </t>
  </si>
  <si>
    <t>LPLIPAL2ATG180</t>
  </si>
  <si>
    <t>Lysophospholipase L2 (acyltransferase, 2-acyl-glycerophosphoglycerol, n-C18:0)</t>
  </si>
  <si>
    <t xml:space="preserve">2agpg180_c + pg180_c  -&gt; g3pg_c + apg180_c </t>
  </si>
  <si>
    <t>LPLIPAL2ATG161</t>
  </si>
  <si>
    <t>Lysophospholipase L2 (acyltransferase, 2-acyl-glycerophosphoglycerol, n-C16:1)</t>
  </si>
  <si>
    <t xml:space="preserve">pg161_c + 2agpg161_c  -&gt; g3pg_c + apg161_c </t>
  </si>
  <si>
    <t>LPLIPAL2ATG181</t>
  </si>
  <si>
    <t>Lysophospholipase L2 (acyltransferase, 2-acyl-glycerophosphoglycerol, n-C18:1)</t>
  </si>
  <si>
    <t xml:space="preserve">2agpg181_c + pg181_c  -&gt; g3pg_c + apg181_c </t>
  </si>
  <si>
    <t>CLPNS180pp_f</t>
  </si>
  <si>
    <t>Cardiolipin synthase (periplasmic, n-C18:0)</t>
  </si>
  <si>
    <t xml:space="preserve">2 pg180_p  -&gt; glyc_p + clpn180_p </t>
  </si>
  <si>
    <t>CLPNS181pp_f</t>
  </si>
  <si>
    <t>Cardiolipin synthase (periplasmic, n-C18:1)</t>
  </si>
  <si>
    <t xml:space="preserve">2 pg181_p  -&gt; glyc_p + clpn181_p </t>
  </si>
  <si>
    <t>PG161abcpp</t>
  </si>
  <si>
    <t>Phosphatidylglycerol transport via ABC system (n-C16:1, periplasm)</t>
  </si>
  <si>
    <t xml:space="preserve">pg161_c + atp_c + h2o_c  -&gt; h_c + adp_c + pi_c + pg161_p </t>
  </si>
  <si>
    <t>PGP120abcpp</t>
  </si>
  <si>
    <t>Phosphatidylglycerophosphate transport via ABC system (n-C12:0, periplasm)</t>
  </si>
  <si>
    <t xml:space="preserve">atp_c + h2o_c + pgp120_c  -&gt; h_c + adp_c + pi_c + pgp120_p </t>
  </si>
  <si>
    <t>PGP161abcpp</t>
  </si>
  <si>
    <t>Phosphatidylglycerophosphate transport via ABC system (n-C16:1, periplasm)</t>
  </si>
  <si>
    <t xml:space="preserve">atp_c + pgp161_c + h2o_c  -&gt; h_c + adp_c + pi_c + pgp161_p </t>
  </si>
  <si>
    <t>PGP181abcpp</t>
  </si>
  <si>
    <t>Phosphatidylglycerophosphate transport via ABC system (n-C18:1, periplasm)</t>
  </si>
  <si>
    <t xml:space="preserve">atp_c + h2o_c + pgp181_c  -&gt; h_c + adp_c + pi_c + pgp181_p </t>
  </si>
  <si>
    <t>PA120abcpp</t>
  </si>
  <si>
    <t>Phosphatidate transport via ABC system (n-C12:0, periplasm)</t>
  </si>
  <si>
    <t xml:space="preserve">atp_c + h2o_c + pa120_c  -&gt; h_c + adp_c + pi_c + pa120_p </t>
  </si>
  <si>
    <t>PLIPA1G120pp</t>
  </si>
  <si>
    <t>Phospholipase A1 (phosphatidylglycerol, n-C12:0) (periplasm)</t>
  </si>
  <si>
    <t xml:space="preserve">h2o_p + pg120_p  -&gt; h_p + 2agpg120_p + ddca_p </t>
  </si>
  <si>
    <t>CLPNS120pp_f</t>
  </si>
  <si>
    <t>Cardiolipin synthase (periplasmic, n-C12:0)</t>
  </si>
  <si>
    <t xml:space="preserve">2 pg120_p  -&gt; clpn120_p + glyc_p </t>
  </si>
  <si>
    <t>ALPATE160pp</t>
  </si>
  <si>
    <t>Apolipoprotein N-acyltransferase (phosphatidylethanolamine, periplasm)</t>
  </si>
  <si>
    <t xml:space="preserve">alpp_p + pe160_p  -&gt; lpp_p + 2agpe160_p </t>
  </si>
  <si>
    <t>ALPATG160pp</t>
  </si>
  <si>
    <t>Apolipoprotein N-acyltransferase (phosphatidylglycerol, periplasm)</t>
  </si>
  <si>
    <t xml:space="preserve">alpp_p + pg160_p  -&gt; lpp_p + 2agpg160_p </t>
  </si>
  <si>
    <t>2AGPGAT120</t>
  </si>
  <si>
    <t>2-acyl-glycerophospho-glycerol acyltransferase (n-C12:0)</t>
  </si>
  <si>
    <t xml:space="preserve">2agpg120_c + atp_c + ddca_c  -&gt; pg120_c + ppi_c + amp_c </t>
  </si>
  <si>
    <t>LPLIPAL2ATE120</t>
  </si>
  <si>
    <t>Lysophospholipase L2 (acyltransferase, 2-acyl-glycerophosphoethanolamine, n-C12:0)</t>
  </si>
  <si>
    <t xml:space="preserve">2agpe120_c + pg120_c  -&gt; apg120_c + g3pe_c </t>
  </si>
  <si>
    <t>LPLIPAL2ATE140</t>
  </si>
  <si>
    <t>Lysophospholipase L2 (acyltransferase, 2-acyl-glycerophosphoethanolamine, n-C14:0)</t>
  </si>
  <si>
    <t xml:space="preserve">2agpe140_c + pg140_c  -&gt; apg140_c + g3pe_c </t>
  </si>
  <si>
    <t>LPLIPAL2ATE160</t>
  </si>
  <si>
    <t>Lysophospholipase L2 (acyltransferase, 2-acyl-glycerophosphoethanolamine, n-C16:0)</t>
  </si>
  <si>
    <t xml:space="preserve">2agpe160_c + pg160_c  -&gt; apg160_c + g3pe_c </t>
  </si>
  <si>
    <t>LPLIPAL2ATE180</t>
  </si>
  <si>
    <t>Lysophospholipase L2 (acyltransferase, 2-acyl-glycerophosphoethanolamine, n-C18:0)</t>
  </si>
  <si>
    <t xml:space="preserve">pg180_c + 2agpe180_c  -&gt; g3pe_c + apg180_c </t>
  </si>
  <si>
    <t>LPLIPAL2ATE141</t>
  </si>
  <si>
    <t>Lysophospholipase L2 (acyltransferase, 2-acyl-glycerophosphoethanolamine, n-C14:1)</t>
  </si>
  <si>
    <t xml:space="preserve">pg141_c + 2agpe141_c  -&gt; apg141_c + g3pe_c </t>
  </si>
  <si>
    <t>LPLIPAL2ATE161</t>
  </si>
  <si>
    <t>Lysophospholipase L2 (acyltransferase, 2-acyl-glycerophosphoethanolamine, n-C16:1)</t>
  </si>
  <si>
    <t xml:space="preserve">pg161_c + 2agpe161_c  -&gt; apg161_c + g3pe_c </t>
  </si>
  <si>
    <t>LPLIPAL2ATE181</t>
  </si>
  <si>
    <t>Lysophospholipase L2 (acyltransferase, 2-acyl-glycerophosphoethanolamine, n-C18:1)</t>
  </si>
  <si>
    <t xml:space="preserve">2agpe181_c + pg181_c  -&gt; apg181_c + g3pe_c </t>
  </si>
  <si>
    <t>FACOAL141t2pp</t>
  </si>
  <si>
    <t>Fatty-acid-CoA ligase (tetradecenoate transport via vectoral Co-A coupling)</t>
  </si>
  <si>
    <t xml:space="preserve">h_p + atp_c + ttdcea_p + coa_c  -&gt; h_c + tdecoa_c + ppi_c + amp_c </t>
  </si>
  <si>
    <t>FACOAL161t2pp</t>
  </si>
  <si>
    <t>Fatty-acid-CoA ligase (hexadecenoate transport via vectoral Co-A coupling)</t>
  </si>
  <si>
    <t xml:space="preserve">h_p + atp_c + coa_c + hdcea_p  -&gt; h_c + hdcoa_c + ppi_c + amp_c </t>
  </si>
  <si>
    <t>PA160abcpp</t>
  </si>
  <si>
    <t>Phosphatidate transport via ABC system (n-C16:0, periplasm)</t>
  </si>
  <si>
    <t xml:space="preserve">pa160_c + atp_c + h2o_c  -&gt; h_c + adp_c + pi_c + pa160_p </t>
  </si>
  <si>
    <t>PA181abcpp</t>
  </si>
  <si>
    <t>Phosphatidate transport via ABC system (n-C18:1, periplasm)</t>
  </si>
  <si>
    <t xml:space="preserve">pa181_c + atp_c + h2o_c  -&gt; h_c + adp_c + pi_c + pa181_p </t>
  </si>
  <si>
    <t>PGPP140pp</t>
  </si>
  <si>
    <t>Phosphatidylglycerol phosphate phosphatase (periplasm, n-C14:0)</t>
  </si>
  <si>
    <t xml:space="preserve">h2o_p + pgp140_p  -&gt; pg140_p + pi_p </t>
  </si>
  <si>
    <t>3.1.3.27</t>
  </si>
  <si>
    <t>PGPP141pp</t>
  </si>
  <si>
    <t>Phosphatidylglycerol phosphate phosphatase (periplasm, n-C14:1)</t>
  </si>
  <si>
    <t xml:space="preserve">h2o_p + pgp141_p  -&gt; pg141_p + pi_p </t>
  </si>
  <si>
    <t>PGPP160pp</t>
  </si>
  <si>
    <t>Phosphatidylglycerol phosphate phosphatase (periplasm, n-C16:0)</t>
  </si>
  <si>
    <t xml:space="preserve">h2o_p + pgp160_p  -&gt; pg160_p + pi_p </t>
  </si>
  <si>
    <t>PGPP180pp</t>
  </si>
  <si>
    <t>Phosphatidylglycerol phosphate phosphatase (periplasm, n-C18:0)</t>
  </si>
  <si>
    <t xml:space="preserve">h2o_p + pgp180_p  -&gt; pg180_p + pi_p </t>
  </si>
  <si>
    <t>PLIPA1E180pp</t>
  </si>
  <si>
    <t>Phospholipase A1 (phosphatidylethanolamine, n-C18:0) (periplasm)</t>
  </si>
  <si>
    <t xml:space="preserve">h2o_p + pe180_p  -&gt; h_p + ocdca_p + 2agpe180_p </t>
  </si>
  <si>
    <t>PLIPA1G140pp</t>
  </si>
  <si>
    <t>Phospholipase A1 (phosphatidylglycerol, n-C14:0) (periplasm)</t>
  </si>
  <si>
    <t xml:space="preserve">h2o_p + pg140_p  -&gt; h_p + ttdca_p + 2agpg140_p </t>
  </si>
  <si>
    <t>PLIPA1G161pp</t>
  </si>
  <si>
    <t>Phospholipase A1 (phosphatidylglycerol, n-C16:1) (periplasm)</t>
  </si>
  <si>
    <t xml:space="preserve">h2o_p + pg161_p  -&gt; h_p + 2agpg161_p + hdcea_p </t>
  </si>
  <si>
    <t>CLPNS160pp_f</t>
  </si>
  <si>
    <t>Cardiolipin synthase (periplasmic, n-C16:0)</t>
  </si>
  <si>
    <t xml:space="preserve">2 pg160_p  -&gt; glyc_p + clpn160_p </t>
  </si>
  <si>
    <t>CLPNS161pp_f</t>
  </si>
  <si>
    <t>Cardiolipin synthase (periplasmic, n-C16:1)</t>
  </si>
  <si>
    <t xml:space="preserve">2 pg161_p  -&gt; clpn161_p + glyc_p </t>
  </si>
  <si>
    <t>PG160abcpp</t>
  </si>
  <si>
    <t>Phosphatidylglycerol transport via ABC system (n-C16:0, periplasm)</t>
  </si>
  <si>
    <t xml:space="preserve">atp_c + pg160_c + h2o_c  -&gt; h_c + adp_c + pi_c + pg160_p </t>
  </si>
  <si>
    <t>PGP140abcpp</t>
  </si>
  <si>
    <t>Phosphatidylglycerophosphate transport via ABC system (n-C14:0, periplasm)</t>
  </si>
  <si>
    <t xml:space="preserve">atp_c + pgp140_c + h2o_c  -&gt; h_c + adp_c + pi_c + pgp140_p </t>
  </si>
  <si>
    <t>PAPA120pp</t>
  </si>
  <si>
    <t>Phosphatidate phosphatase (periplasmic, n-C12:0)</t>
  </si>
  <si>
    <t xml:space="preserve">h2o_p + pa120_p  -&gt; 12dgr120_p + pi_p </t>
  </si>
  <si>
    <t>3.1.3.27, 3.6.1.27</t>
  </si>
  <si>
    <t>PAPA140pp</t>
  </si>
  <si>
    <t>Phosphatidate phosphatase (periplasmic, n-C14:0)</t>
  </si>
  <si>
    <t xml:space="preserve">h2o_p + pa140_p  -&gt; 12dgr140_p + pi_p </t>
  </si>
  <si>
    <t>PAPA141pp</t>
  </si>
  <si>
    <t>Phosphatidate phosphatase (periplasmic, n-C14:1)</t>
  </si>
  <si>
    <t xml:space="preserve">h2o_p + pa141_p  -&gt; 12dgr141_p + pi_p </t>
  </si>
  <si>
    <t>PAPA160pp</t>
  </si>
  <si>
    <t>Phosphatidate phosphatase (periplasmic, n-C16:0)</t>
  </si>
  <si>
    <t xml:space="preserve">h2o_p + pa160_p  -&gt; pi_p + 12dgr160_p </t>
  </si>
  <si>
    <t>3.1.3.4</t>
  </si>
  <si>
    <t>PAPA161pp</t>
  </si>
  <si>
    <t>Phosphatidate phosphatase (periplasmic, n-C16:1)</t>
  </si>
  <si>
    <t xml:space="preserve">h2o_p + pa161_p  -&gt; 12dgr161_p + pi_p </t>
  </si>
  <si>
    <t>PAPA180pp</t>
  </si>
  <si>
    <t>Phosphatidate phosphatase (periplasmic, n-C18:0)</t>
  </si>
  <si>
    <t xml:space="preserve">h2o_p + pa180_p  -&gt; 12dgr180_p + pi_p </t>
  </si>
  <si>
    <t>HPYRI_f</t>
  </si>
  <si>
    <t>Hydroxypyruvate isomerase</t>
  </si>
  <si>
    <t xml:space="preserve">hpyr_c  -&gt; 2h3oppan_c </t>
  </si>
  <si>
    <t>5.3.1.22</t>
  </si>
  <si>
    <t>TPRDCOAS</t>
  </si>
  <si>
    <t>Triphosphoribosyl-dephospho-CoA synthase</t>
  </si>
  <si>
    <t xml:space="preserve">atp_c + dpcoa_c  -&gt; 2tpr3dpcoa_c + ade_c </t>
  </si>
  <si>
    <t>2.4.2.52</t>
  </si>
  <si>
    <t>GAMptspp</t>
  </si>
  <si>
    <t>D-glucosamine transport via PEP:Pyr PTS (periplasm)</t>
  </si>
  <si>
    <t xml:space="preserve">pep_c + gam_p  -&gt; gam6p_c + pyr_c </t>
  </si>
  <si>
    <t>GSNt2pp</t>
  </si>
  <si>
    <t>Guanosine transport in via proton symport (periplasm)</t>
  </si>
  <si>
    <t xml:space="preserve">h_p + gsn_p  -&gt; h_c + gsn_c </t>
  </si>
  <si>
    <t>GSNtex_f</t>
  </si>
  <si>
    <t>Guanosine transport via diffusion (extracellular to periplasm)</t>
  </si>
  <si>
    <t xml:space="preserve">gsn_e  -&gt; gsn_p </t>
  </si>
  <si>
    <t>FORtex_f</t>
  </si>
  <si>
    <t>Formate transport via diffusion (extracellular to periplasm)</t>
  </si>
  <si>
    <t xml:space="preserve">for_e  -&gt; for_p </t>
  </si>
  <si>
    <t>D_LACt2pp_f</t>
  </si>
  <si>
    <t>D-lactate transport via proton symport (periplasm)</t>
  </si>
  <si>
    <t xml:space="preserve">h_p + lac__D_p  -&gt; h_c + lac__D_c </t>
  </si>
  <si>
    <t>RIBtex_f</t>
  </si>
  <si>
    <t>Ribose transport via diffusion (extracellular to periplasm)</t>
  </si>
  <si>
    <t xml:space="preserve">rib__D_e  -&gt; rib__D_p </t>
  </si>
  <si>
    <t>FLVRx</t>
  </si>
  <si>
    <t>Flavin reductase (NAD)</t>
  </si>
  <si>
    <t xml:space="preserve">h_c + ribflv_c + nadh_c  -&gt; nad_c + rbflvrd_c </t>
  </si>
  <si>
    <t>THMtex_f</t>
  </si>
  <si>
    <t>Thiamine transport via diffusion (extracellular to periplasm)</t>
  </si>
  <si>
    <t xml:space="preserve">thm_e  -&gt; thm_p </t>
  </si>
  <si>
    <t>XYLUtex_f</t>
  </si>
  <si>
    <t>L-xylulose transport via diffusion (extracellular to periplasm)</t>
  </si>
  <si>
    <t xml:space="preserve">xylu__L_e  -&gt; xylu__L_p </t>
  </si>
  <si>
    <t>ALLtex_f</t>
  </si>
  <si>
    <t>Allose transport via diffusion (extracellular to periplasm)</t>
  </si>
  <si>
    <t xml:space="preserve">all__D_e  -&gt; all__D_p </t>
  </si>
  <si>
    <t>GGPTRCO</t>
  </si>
  <si>
    <t>Gamma glutamyl putrescine oxidase</t>
  </si>
  <si>
    <t xml:space="preserve">o2_c + ggptrc_c + h2o_c  -&gt; nh4_c + h2o2_c + ggbutal_c </t>
  </si>
  <si>
    <t>1.4.3.-</t>
  </si>
  <si>
    <t>34dhpactex_f</t>
  </si>
  <si>
    <t>Dihydroxyphenylacetaldehyde transport via diffusion (extracellular to periplasm)</t>
  </si>
  <si>
    <t xml:space="preserve">34dhpac_e  -&gt; 34dhpac_p </t>
  </si>
  <si>
    <t>MALTHXtexi</t>
  </si>
  <si>
    <t>Maltohexaose transport via diffusion (extracellular to periplasm) irreversible</t>
  </si>
  <si>
    <t xml:space="preserve">malthx_e  -&gt; malthx_p </t>
  </si>
  <si>
    <t>HYD1pp</t>
  </si>
  <si>
    <t>Hydrogenase (ubiquinone-8: 2 protons) (periplasm)</t>
  </si>
  <si>
    <t xml:space="preserve">2 h_c + q8_c + h2_c  -&gt; 2 h_p + q8h2_c </t>
  </si>
  <si>
    <t>FE3DHBZStonex</t>
  </si>
  <si>
    <t>Ferric 2,3-dihydroxybenzoylserine transport via ton system (extracellular)</t>
  </si>
  <si>
    <t xml:space="preserve">h_p + fe3dhbzs_e  -&gt; h_c + fe3dhbzs_p </t>
  </si>
  <si>
    <t>23DAPPAtex_f</t>
  </si>
  <si>
    <t>2,3-diaminopropionate transport via diffusion</t>
  </si>
  <si>
    <t xml:space="preserve">23dappa_e  -&gt; 23dappa_p </t>
  </si>
  <si>
    <t>ECAP3pp</t>
  </si>
  <si>
    <t xml:space="preserve">eca3und_p + unagamuf_p  -&gt; eca4und_p + udcpdp_p + h_p </t>
  </si>
  <si>
    <t>FEOXAMtonex</t>
  </si>
  <si>
    <t>Ferroxamine transport via ton system (extracellular)</t>
  </si>
  <si>
    <t xml:space="preserve">h_p + feoxam_e  -&gt; h_c + feoxam_p </t>
  </si>
  <si>
    <t>FMNRx</t>
  </si>
  <si>
    <t xml:space="preserve">h_c + fmn_c + nadh_c  -&gt; nad_c + fmnh2_c </t>
  </si>
  <si>
    <t>1.5.1.38</t>
  </si>
  <si>
    <t>PHEt2rpp_f</t>
  </si>
  <si>
    <t>L-phenylalanine reversible transport via proton symport (periplasm)</t>
  </si>
  <si>
    <t xml:space="preserve">h_p + phe__L_p  -&gt; h_c + phe__L_c </t>
  </si>
  <si>
    <t>DHBS</t>
  </si>
  <si>
    <t>2,3-dihydroxybenzoate adenylate synthase</t>
  </si>
  <si>
    <t xml:space="preserve">h_c + atp_c + 23dhb_c  -&gt; 23dhba_c + ppi_c </t>
  </si>
  <si>
    <t>2.7.7.58</t>
  </si>
  <si>
    <t>MDDCP1pp</t>
  </si>
  <si>
    <t>Murein D,D-carboxypeptidase (murein5px4p) (periplasm)</t>
  </si>
  <si>
    <t xml:space="preserve">h2o_p + murein5px4p_p  -&gt; murein4px4p_p + ala__D_p </t>
  </si>
  <si>
    <t>3.4.16.4</t>
  </si>
  <si>
    <t>GUI2_f</t>
  </si>
  <si>
    <t>Glucuronate isomerase (D-galacturonate)</t>
  </si>
  <si>
    <t xml:space="preserve">galur_c  -&gt; tagur_c </t>
  </si>
  <si>
    <t>OMBZLM</t>
  </si>
  <si>
    <t>2-Octaprenyl-6-methoxy-benzoquinol methylase</t>
  </si>
  <si>
    <t xml:space="preserve">amet_c + 2ombzl_c  -&gt; h_c + ahcys_c + 2ommbl_c </t>
  </si>
  <si>
    <t>2.1.1.163, 2.1.1.201</t>
  </si>
  <si>
    <t>GLYCK</t>
  </si>
  <si>
    <t xml:space="preserve">atp_c + glyc__R_c  -&gt; h_c + 3pg_c + adp_c </t>
  </si>
  <si>
    <t>2.7.1.31</t>
  </si>
  <si>
    <t>MLTG5</t>
  </si>
  <si>
    <t>Maltodextrin glucosidase (maltoheptaose)</t>
  </si>
  <si>
    <t xml:space="preserve">h2o_c + malthp_c  -&gt; glc__D_c + malthx_c </t>
  </si>
  <si>
    <t>GPDDA3</t>
  </si>
  <si>
    <t xml:space="preserve">g3ps_c + h2o_c  -&gt; h_c + glyc3p_c + ser__L_c </t>
  </si>
  <si>
    <t>2DOXG6PP</t>
  </si>
  <si>
    <t>2 deoxyglucose 6 phosphatase</t>
  </si>
  <si>
    <t xml:space="preserve">2doxg6p_c + h2o_c  -&gt; pi_c + 2dglc_c </t>
  </si>
  <si>
    <t>3.1.3.23, 3.1.3.74</t>
  </si>
  <si>
    <t>AGMH</t>
  </si>
  <si>
    <t>N-Acetyl-D-glucosamine(anhydrous)N-Acetylmuramyl beta -1,4-N-acetylglucosaminidase</t>
  </si>
  <si>
    <t xml:space="preserve">h2o_c + anhgm_c  -&gt; acgam_c + anhm_c </t>
  </si>
  <si>
    <t>MPTG</t>
  </si>
  <si>
    <t>Murein polymerizing transglycosylase</t>
  </si>
  <si>
    <t xml:space="preserve">2 uaagmda_c  -&gt; 2 h_c + murein5p5p_p + 2 udcpdp_c </t>
  </si>
  <si>
    <t>2.4.1.129</t>
  </si>
  <si>
    <t>MPTG2</t>
  </si>
  <si>
    <t>Murein polymerizing transglycosylase 2 (three linked units)</t>
  </si>
  <si>
    <t xml:space="preserve">murein5p5p_p + uaagmda_c  -&gt; h_c + udcpdp_c + murein5p5p5p_p </t>
  </si>
  <si>
    <t>MCTP1App</t>
  </si>
  <si>
    <t>Murein crosslinking transpeptidase 1A:(A2pm-&gt;D-ala) (periplasm)</t>
  </si>
  <si>
    <t xml:space="preserve">murein5p5p_p  -&gt; murein5px4p_p + ala__D_p </t>
  </si>
  <si>
    <t>MCTP2App</t>
  </si>
  <si>
    <t xml:space="preserve">murein5p5p5p_p  -&gt; murein5px4px4p_p + 2 ala__D_p </t>
  </si>
  <si>
    <t>MCTP1Bpp</t>
  </si>
  <si>
    <t>Murein crosslinking transpeptidase 1B:(A2pm-&gt;A2pm) (periplasm)</t>
  </si>
  <si>
    <t xml:space="preserve">murein5p5p_p  -&gt; alaala_p + murein5px3p_p </t>
  </si>
  <si>
    <t>MELIBt3ipp</t>
  </si>
  <si>
    <t>Melibiose transport in via antiport (periplasm)</t>
  </si>
  <si>
    <t xml:space="preserve">h_p + melib_c  -&gt; h_c + melib_p </t>
  </si>
  <si>
    <t>GLCtex_copy2_f</t>
  </si>
  <si>
    <t>NAt3pp</t>
  </si>
  <si>
    <t>Sodium transport out via proton antiport (cytoplasm to periplasm)</t>
  </si>
  <si>
    <t xml:space="preserve">h_p + na1_c  -&gt; h_c + na1_p </t>
  </si>
  <si>
    <t>SFGTHi</t>
  </si>
  <si>
    <t>S-Formylglutathione hydralase</t>
  </si>
  <si>
    <t xml:space="preserve">h2o_c + Sfglutth_c  -&gt; h_c + gthrd_c + for_c </t>
  </si>
  <si>
    <t>3.1.2.12</t>
  </si>
  <si>
    <t>K2L4Aabcpp</t>
  </si>
  <si>
    <t>KDO(2)-lipid IV A transport via ABC system (periplasm)</t>
  </si>
  <si>
    <t xml:space="preserve">atp_c + h2o_c + kdo2lipid4_c  -&gt; h_c + adp_c + pi_c + kdo2lipid4_p </t>
  </si>
  <si>
    <t>DSBCGT</t>
  </si>
  <si>
    <t>DsbC:glutathione thiotransferase</t>
  </si>
  <si>
    <t xml:space="preserve">dsbcox_p + 2 gthrd_p  -&gt; dsbcrd_p + gthox_p </t>
  </si>
  <si>
    <t>5.3.4.1</t>
  </si>
  <si>
    <t>DSBGGT</t>
  </si>
  <si>
    <t>DsbG:glutathione thiotransferase</t>
  </si>
  <si>
    <t xml:space="preserve">dsbgox_p + 2 gthrd_p  -&gt; gthox_p + dsbgrd_p </t>
  </si>
  <si>
    <t>DHNAOT4</t>
  </si>
  <si>
    <t>1,4-dihydroxy-2-naphthoate octaprenyltransferase</t>
  </si>
  <si>
    <t xml:space="preserve">h_c + dhna_c + octdp_c  -&gt; ppi_c + 2dmmql8_c + co2_c </t>
  </si>
  <si>
    <t>2.5.1.74</t>
  </si>
  <si>
    <t>AMPMS2</t>
  </si>
  <si>
    <t>4-amino-2-methyl-5-phosphomethylpyrimidine synthetase</t>
  </si>
  <si>
    <t xml:space="preserve">nad_c + air_c + h2o_c  -&gt; 3 h_c + 4ampm_c + nadh_c + 2 for_c </t>
  </si>
  <si>
    <t>4.1.99.17</t>
  </si>
  <si>
    <t>THIORDXi</t>
  </si>
  <si>
    <t>Hydrogen peroxide reductase (thioredoxin)</t>
  </si>
  <si>
    <t xml:space="preserve">h2o2_c + trdrd_c  -&gt; trdox_c + 2 h2o_c </t>
  </si>
  <si>
    <t>1.11.1.15, 1.11.1.9</t>
  </si>
  <si>
    <t>PPPGO3</t>
  </si>
  <si>
    <t>Protoporphyrinogen oxidase (anaerobic)</t>
  </si>
  <si>
    <t xml:space="preserve">3 fum_c + pppg9_c  -&gt; ppp9_c + 3 succ_c </t>
  </si>
  <si>
    <t>PDX5POi</t>
  </si>
  <si>
    <t>Pyridoxine 5'-phosphate oxidase</t>
  </si>
  <si>
    <t xml:space="preserve">o2_c + pdx5p_c  -&gt; pydx5p_c + h2o2_c </t>
  </si>
  <si>
    <t>PLIPA1A181pp</t>
  </si>
  <si>
    <t>Phospholipase A1 (phosphatidate, n-C18:1) (periplasm)</t>
  </si>
  <si>
    <t xml:space="preserve">h2o_p + pa181_p  -&gt; ocdcea_p + 2odec11eg3p_p </t>
  </si>
  <si>
    <t>LPLIPAL2A141</t>
  </si>
  <si>
    <t>Lysophospholipase L2 (2-acylglycerophosphotidate, n-C14:1)</t>
  </si>
  <si>
    <t xml:space="preserve">2tdec7eg3p_c + h2o_c  -&gt; 2 h_c + glyc3p_c + ttdcea_c </t>
  </si>
  <si>
    <t>HG2t3pp</t>
  </si>
  <si>
    <t>Mercury (Hg+2) transport out via proton antiport (periplasm)</t>
  </si>
  <si>
    <t xml:space="preserve">h_p + hg2_c  -&gt; h_c + hg2_p </t>
  </si>
  <si>
    <t>CYTBO3_4pp</t>
  </si>
  <si>
    <t>Cytochrome oxidase bo3 (ubiquinol-8: 4 protons) (periplasm)</t>
  </si>
  <si>
    <t xml:space="preserve">4 h_c + 0.5 o2_c + q8h2_c  -&gt; 4 h_p + h2o_c + q8_c </t>
  </si>
  <si>
    <t>EAR141x</t>
  </si>
  <si>
    <t>Enoyl-[acyl-carrier-protein] reductase (NADH) (n-C14:1)</t>
  </si>
  <si>
    <t xml:space="preserve">h_c + t3c7mrseACP_c + nadh_c  -&gt; nad_c + tdeACP_c </t>
  </si>
  <si>
    <t>EAR181x</t>
  </si>
  <si>
    <t>Enoyl-[acyl-carrier-protein] reductase (NADH) (n-C18:1)</t>
  </si>
  <si>
    <t xml:space="preserve">h_c + t3c11vaceACP_c + nadh_c  -&gt; nad_c + octeACP_c </t>
  </si>
  <si>
    <t>EAR181y</t>
  </si>
  <si>
    <t>Enoyl-[acyl-carrier-protein] reductase (NADPH) (n-C18:1)</t>
  </si>
  <si>
    <t xml:space="preserve">h_c + t3c11vaceACP_c + nadph_c  -&gt; nadp_c + octeACP_c </t>
  </si>
  <si>
    <t>G3PAT141</t>
  </si>
  <si>
    <t>Glycerol-3-phosphate acyltransferase (C14:1)</t>
  </si>
  <si>
    <t xml:space="preserve">glyc3p_c + tdeACP_c  -&gt; 1tdec7eg3p_c + ACP_c </t>
  </si>
  <si>
    <t>2.3.1.15</t>
  </si>
  <si>
    <t>G3PAT181</t>
  </si>
  <si>
    <t>Glycerol-3-phosphate acyltransferase (C18:1)</t>
  </si>
  <si>
    <t xml:space="preserve">glyc3p_c + octeACP_c  -&gt; 1odec11eg3p_c + ACP_c </t>
  </si>
  <si>
    <t>DASYN140</t>
  </si>
  <si>
    <t>CDP-diacylglycerol synthetase (n-C14:0)</t>
  </si>
  <si>
    <t xml:space="preserve">h_c + ctp_c + pa140_c  -&gt; cdpdtdecg_c + ppi_c </t>
  </si>
  <si>
    <t>DASYN180</t>
  </si>
  <si>
    <t>CDP-diacylglycerol synthetase (n-C18:0)</t>
  </si>
  <si>
    <t xml:space="preserve">h_c + ctp_c + pa180_c  -&gt; cdpdodecg_c + ppi_c </t>
  </si>
  <si>
    <t>DASYN141</t>
  </si>
  <si>
    <t>CDP-diacylglycerol synthetase (n-C14:1)</t>
  </si>
  <si>
    <t xml:space="preserve">h_c + pa141_c + ctp_c  -&gt; cdpdtdec7eg_c + ppi_c </t>
  </si>
  <si>
    <t>CDAPPA160</t>
  </si>
  <si>
    <t>CDP-Diacylglycerol pyrophostatase (n-C16:0)</t>
  </si>
  <si>
    <t xml:space="preserve">h2o_c + cdpdhdecg_c  -&gt; 2 h_c + pa160_c + cmp_c </t>
  </si>
  <si>
    <t>CDAPPA141</t>
  </si>
  <si>
    <t>CDP-Diacylglycerol pyrophostatase (n-C14:1)</t>
  </si>
  <si>
    <t xml:space="preserve">cdpdtdec7eg_c + h2o_c  -&gt; 2 h_c + pa141_c + cmp_c </t>
  </si>
  <si>
    <t>PGSA141</t>
  </si>
  <si>
    <t>Phosphatidylglycerol synthase (n-C14:1)</t>
  </si>
  <si>
    <t xml:space="preserve">glyc3p_c + cdpdtdec7eg_c  -&gt; h_c + pgp141_c + cmp_c </t>
  </si>
  <si>
    <t>5DOAN</t>
  </si>
  <si>
    <t>5'-deoxyadenosine nuclosidase</t>
  </si>
  <si>
    <t xml:space="preserve">dad_5_c + h2o_c  -&gt; 5drib_c + ade_c </t>
  </si>
  <si>
    <t>FACOAE120</t>
  </si>
  <si>
    <t>Fatty-acid-CoA thioesterase (dodecanoate)</t>
  </si>
  <si>
    <t xml:space="preserve">ddcacoa_c + h2o_c  -&gt; h_c + ddca_c + coa_c </t>
  </si>
  <si>
    <t>3OAR120_f</t>
  </si>
  <si>
    <t>3-oxoacyl-[acyl-carrier-protein] reductase (n-C12:0)</t>
  </si>
  <si>
    <t xml:space="preserve">h_c + 3oddecACP_c + nadph_c  -&gt; nadp_c + 3hddecACP_c </t>
  </si>
  <si>
    <t>3HAD80</t>
  </si>
  <si>
    <t>3-hydroxyacyl-[acyl-carrier-protein] dehydratase (n-C8:0)</t>
  </si>
  <si>
    <t xml:space="preserve">3hoctACP_c  -&gt; toct2eACP_c + h2o_c </t>
  </si>
  <si>
    <t>4.2.1.59</t>
  </si>
  <si>
    <t>3HAD120</t>
  </si>
  <si>
    <t>3-hydroxyacyl-[acyl-carrier-protein] dehydratase (n-C12:0)</t>
  </si>
  <si>
    <t xml:space="preserve">3hddecACP_c  -&gt; h2o_c + tddec2eACP_c </t>
  </si>
  <si>
    <t>EAR180x</t>
  </si>
  <si>
    <t>Enoyl-[acyl-carrier-protein] reductase (NADH) (n-C18:0)</t>
  </si>
  <si>
    <t xml:space="preserve">h_c + toctd2eACP_c + nadh_c  -&gt; nad_c + ocdcaACP_c </t>
  </si>
  <si>
    <t>SO4t2pp</t>
  </si>
  <si>
    <t>Sulfate transport in via proton symport (periplasm to cytoplasm)</t>
  </si>
  <si>
    <t xml:space="preserve">h_p + so4_p  -&gt; h_c + so4_c </t>
  </si>
  <si>
    <t>EAR180y</t>
  </si>
  <si>
    <t>Enoyl-[acyl-carrier-protein] reductase (NADPH) (n-C18:0)</t>
  </si>
  <si>
    <t xml:space="preserve">h_c + toctd2eACP_c + nadph_c  -&gt; nadp_c + ocdcaACP_c </t>
  </si>
  <si>
    <t>AGPAT120</t>
  </si>
  <si>
    <t>1-tetradecanoyl-sn-glycerol 3-phosphate O-acyltransferase (n-C12:0)</t>
  </si>
  <si>
    <t xml:space="preserve">ddcaACP_c + 1ddecg3p_c  -&gt; pa120_c + ACP_c </t>
  </si>
  <si>
    <t>2.3.1.51</t>
  </si>
  <si>
    <t>PGPP120</t>
  </si>
  <si>
    <t>Phosphatidylglycerol phosphate phosphatase (n-C14:0)</t>
  </si>
  <si>
    <t xml:space="preserve">h2o_c + pgp120_c  -&gt; pi_c + pg120_c </t>
  </si>
  <si>
    <t>DAGK120</t>
  </si>
  <si>
    <t>Diacylglycerol kinase (n-C12:0)</t>
  </si>
  <si>
    <t xml:space="preserve">atp_c + 12dgr120_c  -&gt; h_c + adp_c + pa120_c </t>
  </si>
  <si>
    <t>2.7.1.107</t>
  </si>
  <si>
    <t>PSSA180</t>
  </si>
  <si>
    <t>Phosphatidylserine syntase (n-C18:0)</t>
  </si>
  <si>
    <t xml:space="preserve">ser__L_c + cdpdodecg_c  -&gt; h_c + ps180_c + cmp_c </t>
  </si>
  <si>
    <t>PSSA161</t>
  </si>
  <si>
    <t>Phosphatidylserine syntase (n-C16:1)</t>
  </si>
  <si>
    <t xml:space="preserve">cdpdhdec9eg_c + ser__L_c  -&gt; h_c + ps161_c + cmp_c </t>
  </si>
  <si>
    <t>PSSA141</t>
  </si>
  <si>
    <t>Phosphatidylserine syntase (n-C14:1)</t>
  </si>
  <si>
    <t xml:space="preserve">ser__L_c + cdpdtdec7eg_c  -&gt; h_c + cmp_c + ps141_c </t>
  </si>
  <si>
    <t>PSD160</t>
  </si>
  <si>
    <t>Phosphatidylserine decarboxylase (n-C16:0)</t>
  </si>
  <si>
    <t xml:space="preserve">h_c + ps160_c  -&gt; pe160_c + co2_c </t>
  </si>
  <si>
    <t>4.1.1.65</t>
  </si>
  <si>
    <t>PSD161</t>
  </si>
  <si>
    <t>Phosphatidylserine decarboxylase (n-C16:1)</t>
  </si>
  <si>
    <t xml:space="preserve">h_c + ps161_c  -&gt; pe161_c + co2_c </t>
  </si>
  <si>
    <t>PSD180</t>
  </si>
  <si>
    <t>Phosphatidylserine decarboxylase (n-C18:0)</t>
  </si>
  <si>
    <t xml:space="preserve">h_c + ps180_c  -&gt; pe180_c + co2_c </t>
  </si>
  <si>
    <t>COLIPAabcpp</t>
  </si>
  <si>
    <t>Core oligosaccharide lipid A transport via ABC system (periplasm)</t>
  </si>
  <si>
    <t xml:space="preserve">atp_c + h2o_c + colipa_c  -&gt; h_c + adp_c + pi_c + colipa_p </t>
  </si>
  <si>
    <t>PLIPA2A140pp</t>
  </si>
  <si>
    <t>Phospholipase A2 (phosphatidate, n-C14:0) (periplasm)</t>
  </si>
  <si>
    <t xml:space="preserve">h2o_p + pa140_p  -&gt; h_p + ttdca_p + 1tdecg3p_p </t>
  </si>
  <si>
    <t>3.1.1.4</t>
  </si>
  <si>
    <t>PLIPA2A141pp</t>
  </si>
  <si>
    <t>Phospholipase A2 (phosphatidate, n-C14:1) (periplasm)</t>
  </si>
  <si>
    <t xml:space="preserve">h2o_p + pa141_p  -&gt; h_p + ttdcea_p + 1tdec7eg3p_p </t>
  </si>
  <si>
    <t>PLIPA2A180pp</t>
  </si>
  <si>
    <t>Phospholipase A2 (phosphatidate, n-C18:0) (periplasm)</t>
  </si>
  <si>
    <t xml:space="preserve">h2o_p + pa180_p  -&gt; 1odecg3p_p + h_p + ocdca_p </t>
  </si>
  <si>
    <t>GAM6Pt6_2pp</t>
  </si>
  <si>
    <t>D-Glucosamine 6-phosphate transport via phosphate antiport (periplasm)</t>
  </si>
  <si>
    <t xml:space="preserve">2 pi_c + gam6p_p  -&gt; gam6p_c + 2 pi_p </t>
  </si>
  <si>
    <t>PPALtex_f</t>
  </si>
  <si>
    <t>Propanal transport via diffusion (extracellular to periplasm)</t>
  </si>
  <si>
    <t xml:space="preserve">ppal_e  -&gt; ppal_p </t>
  </si>
  <si>
    <t>CA2tex_f</t>
  </si>
  <si>
    <t>Calcium (Ca+2) transport via diffusion (extracellular to periplasm)</t>
  </si>
  <si>
    <t xml:space="preserve">ca2_e  -&gt; ca2_p </t>
  </si>
  <si>
    <t>CUtex_f</t>
  </si>
  <si>
    <t>Copper (Cu+1) transport via diffusion (extracellular to periplasm)</t>
  </si>
  <si>
    <t xml:space="preserve">cu_e  -&gt; cu_p </t>
  </si>
  <si>
    <t>CU1Opp</t>
  </si>
  <si>
    <t>Cuprous Oxidase (Cu+1)</t>
  </si>
  <si>
    <t xml:space="preserve">4 h_p + o2_p + 4 cu_p  -&gt; 4 cu2_p + 2 h2o_p </t>
  </si>
  <si>
    <t>1.16.3</t>
  </si>
  <si>
    <t>SUCDi</t>
  </si>
  <si>
    <t>Succinate dehydrogenase (irreversible)</t>
  </si>
  <si>
    <t xml:space="preserve">q8_c + succ_c  -&gt; q8h2_c + fum_c </t>
  </si>
  <si>
    <t>1.3.5.1</t>
  </si>
  <si>
    <t>LPLIPAL1E141pp</t>
  </si>
  <si>
    <t>Lysophospholipase L1 (2-acylglycerophosphoethanolamine, n-C14:1) (periplasm)</t>
  </si>
  <si>
    <t xml:space="preserve">h2o_p + 1agpe141_p  -&gt; h_p + g3pe_p + ttdcea_p </t>
  </si>
  <si>
    <t>LALDO2x</t>
  </si>
  <si>
    <t>D-Lactaldehyde:NAD+ 1-oxidoreductase</t>
  </si>
  <si>
    <t xml:space="preserve">h_c + mthgxl_c + nadh_c  -&gt; nad_c + lald__D_c </t>
  </si>
  <si>
    <t>12PPDRtex_f</t>
  </si>
  <si>
    <t>(R)-Propane-1,2-diol transport via diffusion (extracellular to periplasm)</t>
  </si>
  <si>
    <t xml:space="preserve">12ppd__R_e  -&gt; 12ppd__R_p </t>
  </si>
  <si>
    <t>LPLIPAL1E160pp</t>
  </si>
  <si>
    <t>Lysophospholipase L1 (2-acylglycerophosphoethanolamine, n-C16:0) (periplasm)</t>
  </si>
  <si>
    <t xml:space="preserve">h2o_p + 1agpe160_p  -&gt; hdca_p + h_p + g3pe_p </t>
  </si>
  <si>
    <t>LPLIPAL1E180pp</t>
  </si>
  <si>
    <t>Lysophospholipase L1 (2-acylglycerophosphoethanolamine, n-C18:0) (periplasm)</t>
  </si>
  <si>
    <t xml:space="preserve">h2o_p + 1agpe180_p  -&gt; h_p + g3pe_p + ocdca_p </t>
  </si>
  <si>
    <t>LPLIPAL1E181pp</t>
  </si>
  <si>
    <t>Lysophospholipase L1 (2-acylglycerophosphoethanolamine, n-C18:1) (periplasm)</t>
  </si>
  <si>
    <t xml:space="preserve">h2o_p + 1agpe181_p  -&gt; ocdcea_p + h_p + g3pe_p </t>
  </si>
  <si>
    <t>LPLIPAL1G160pp</t>
  </si>
  <si>
    <t>Lysophospholipase L1 (2-acylglycerophosphoglycerol, n-C16:0) (periplasm)</t>
  </si>
  <si>
    <t xml:space="preserve">h2o_p + 1agpg160_p  -&gt; hdca_p + h_p + g3pg_p </t>
  </si>
  <si>
    <t>LPLIPAL1G161pp</t>
  </si>
  <si>
    <t>Lysophospholipase L1 (2-acylglycerophosphoglycerol, n-C16:1) (periplasm)</t>
  </si>
  <si>
    <t xml:space="preserve">h2o_p + 1agpg161_p  -&gt; h_p + g3pg_p + hdcea_p </t>
  </si>
  <si>
    <t>LPLIPAL1G120pp</t>
  </si>
  <si>
    <t>Lysophospholipase L1 (2-acylglycerophosphoglycerol, n-C12:0) (periplasm)</t>
  </si>
  <si>
    <t xml:space="preserve">h2o_p + 1agpg120_p  -&gt; h_p + g3pg_p + ddca_p </t>
  </si>
  <si>
    <t>PLIPA2E140pp</t>
  </si>
  <si>
    <t>Phospholipase A2 (phosphatidylethanolamine, n-C14:0) (periplasm)</t>
  </si>
  <si>
    <t xml:space="preserve">pe140_p + h2o_p  -&gt; h_p + ttdca_p + 1agpe140_p </t>
  </si>
  <si>
    <t>PLIPA2E160pp</t>
  </si>
  <si>
    <t>Phospholipase A2 (phosphatidylethanolamine, n-C16:0) (periplasm)</t>
  </si>
  <si>
    <t xml:space="preserve">h2o_p + pe160_p  -&gt; hdca_p + h_p + 1agpe160_p </t>
  </si>
  <si>
    <t>PLIPA2A161pp</t>
  </si>
  <si>
    <t>Phospholipase A2 (phosphatidate, n-C16:1) (periplasm)</t>
  </si>
  <si>
    <t xml:space="preserve">h2o_p + pa161_p  -&gt; h_p + 1hdec9eg3p_p + hdcea_p </t>
  </si>
  <si>
    <t>PLIPA2A181pp</t>
  </si>
  <si>
    <t>Phospholipase A2 (phosphatidate, n-C18:1) (periplasm)</t>
  </si>
  <si>
    <t xml:space="preserve">h2o_p + pa181_p  -&gt; ocdcea_p + h_p + 1odec11eg3p_p </t>
  </si>
  <si>
    <t>F6Ptex_f</t>
  </si>
  <si>
    <t>Fructose 6-phosphate transport via diffusion (extracellular to periplasm)</t>
  </si>
  <si>
    <t xml:space="preserve">f6p_e  -&gt; f6p_p </t>
  </si>
  <si>
    <t>GAMAN6Ptex_f</t>
  </si>
  <si>
    <t>D-glucosamine 6-phosphate transport via diffusion (extracellular to periplasm)</t>
  </si>
  <si>
    <t xml:space="preserve">gam6p_e  -&gt; gam6p_p </t>
  </si>
  <si>
    <t>ALR4x</t>
  </si>
  <si>
    <t>Aldose reductase (acetol)</t>
  </si>
  <si>
    <t xml:space="preserve">h_c + acetol_c + nadh_c  -&gt; nad_c + 12ppd__R_c </t>
  </si>
  <si>
    <t>LPLIPAL1G141pp</t>
  </si>
  <si>
    <t>Lysophospholipase L1 (2-acylglycerophosphoglycerol, n-C14:1) (periplasm)</t>
  </si>
  <si>
    <t xml:space="preserve">h2o_p + 1agpg141_p  -&gt; h_p + ttdcea_p + g3pg_p </t>
  </si>
  <si>
    <t>LPLIPAL1G180pp</t>
  </si>
  <si>
    <t>Lysophospholipase L1 (2-acylglycerophosphoglycerol, n-C18:0) (periplasm)</t>
  </si>
  <si>
    <t xml:space="preserve">h2o_p + 1agpg180_p  -&gt; h_p + ocdca_p + g3pg_p </t>
  </si>
  <si>
    <t>LPLIPAL1G181pp</t>
  </si>
  <si>
    <t>Lysophospholipase L1 (2-acylglycerophosphoglycerol, n-C18:1) (periplasm)</t>
  </si>
  <si>
    <t xml:space="preserve">h2o_p + 1agpg181_p  -&gt; ocdcea_p + h_p + g3pg_p </t>
  </si>
  <si>
    <t>ACONTb_f</t>
  </si>
  <si>
    <t>Aconitase (half-reaction B, Isocitrate hydro-lyase)</t>
  </si>
  <si>
    <t xml:space="preserve">h2o_c + acon_C_c  -&gt; icit_c </t>
  </si>
  <si>
    <t>4.2.1.3</t>
  </si>
  <si>
    <t>GLCP2</t>
  </si>
  <si>
    <t xml:space="preserve">pi_c + bglycogen_c  -&gt; g1p_c </t>
  </si>
  <si>
    <t>F6Pt6_2pp</t>
  </si>
  <si>
    <t>Fructose-6-phosphate transport via phosphate antiport (periplasm)</t>
  </si>
  <si>
    <t xml:space="preserve">2 pi_c + f6p_p  -&gt; f6p_c + 2 pi_p </t>
  </si>
  <si>
    <t>PLIPA2E141pp</t>
  </si>
  <si>
    <t>Phospholipase A2 (phosphatidylethanolamine, n-C14:1) (periplasm)</t>
  </si>
  <si>
    <t xml:space="preserve">h2o_p + pe141_p  -&gt; h_p + ttdcea_p + 1agpe141_p </t>
  </si>
  <si>
    <t>PLIPA2E181pp</t>
  </si>
  <si>
    <t>Phospholipase A2 (phosphatidylethanolamine, n-C18:1) (periplasm)</t>
  </si>
  <si>
    <t xml:space="preserve">h2o_p + pe181_p  -&gt; ocdcea_p + h_p + 1agpe181_p </t>
  </si>
  <si>
    <t>PLIPA2G140pp</t>
  </si>
  <si>
    <t>Phospholipase A2 (phosphatidylglycerol, n-C14:0) (periplasm)</t>
  </si>
  <si>
    <t xml:space="preserve">h2o_p + pg140_p  -&gt; h_p + ttdca_p + 1agpg140_p </t>
  </si>
  <si>
    <t>3HAD161</t>
  </si>
  <si>
    <t>3-hydroxyacyl-[acyl-carrier-protein] dehydratase (n-C16:1)</t>
  </si>
  <si>
    <t xml:space="preserve">3hcpalm9eACP_c  -&gt; t3c9palmeACP_c + h2o_c </t>
  </si>
  <si>
    <t>PLIPA2G160pp</t>
  </si>
  <si>
    <t>Phospholipase A2 (phosphatidylglycerol, n-C16:0) (periplasm)</t>
  </si>
  <si>
    <t xml:space="preserve">h2o_p + pg160_p  -&gt; hdca_p + h_p + 1agpg160_p </t>
  </si>
  <si>
    <t>PLIPA2G181pp</t>
  </si>
  <si>
    <t>Phospholipase A2 (phosphatidylglycerol, n-C18:1) (periplasm)</t>
  </si>
  <si>
    <t xml:space="preserve">h2o_p + pg181_p  -&gt; ocdcea_p + 1agpg181_p + h_p </t>
  </si>
  <si>
    <t>ASNS1</t>
  </si>
  <si>
    <t>Asparagine synthase (glutamine-hydrolysing)</t>
  </si>
  <si>
    <t xml:space="preserve">asp__L_c + atp_c + gln__L_c + h2o_c  -&gt; h_c + ppi_c + glu__L_c + asn__L_c + amp_c </t>
  </si>
  <si>
    <t>EAR80y</t>
  </si>
  <si>
    <t>Enoyl-[acyl-carrier-protein] reductase (NADPH) (n-C8:0)</t>
  </si>
  <si>
    <t xml:space="preserve">h_c + toct2eACP_c + nadph_c  -&gt; ocACP_c + nadp_c </t>
  </si>
  <si>
    <t>EAR120y</t>
  </si>
  <si>
    <t>Enoyl-[acyl-carrier-protein] reductase (NADPH) (n-C12:0)</t>
  </si>
  <si>
    <t xml:space="preserve">h_c + tddec2eACP_c + nadph_c  -&gt; nadp_c + ddcaACP_c </t>
  </si>
  <si>
    <t>3OAR181</t>
  </si>
  <si>
    <t>3-oxoacyl-[acyl-carrier-protein] reductase (n-C18:1)</t>
  </si>
  <si>
    <t xml:space="preserve">h_c + 3ocvac11eACP_c + nadph_c  -&gt; nadp_c + 3hcvac11eACP_c </t>
  </si>
  <si>
    <t>3HAD121</t>
  </si>
  <si>
    <t>3-hydroxyacyl-[acyl-carrier-protein] dehydratase (n-C12:1)</t>
  </si>
  <si>
    <t xml:space="preserve">3hcddec5eACP_c  -&gt; t3c5ddeceACP_c + h2o_c </t>
  </si>
  <si>
    <t>EAR121y</t>
  </si>
  <si>
    <t>Enoyl-[acyl-carrier-protein] reductase (NADPH) (n-C12:1)</t>
  </si>
  <si>
    <t xml:space="preserve">h_c + t3c5ddeceACP_c + nadph_c  -&gt; nadp_c + cddec5eACP_c </t>
  </si>
  <si>
    <t>GTHRDHpp</t>
  </si>
  <si>
    <t>Glutathione hydralase (periplasmic)</t>
  </si>
  <si>
    <t xml:space="preserve">h2o_p + gthrd_p  -&gt; cgly_p + glu__L_p </t>
  </si>
  <si>
    <t>2.3.2.2</t>
  </si>
  <si>
    <t>PROGLYtex_f</t>
  </si>
  <si>
    <t>L-Prolinylglycine transport via diffusion (extracellular to periplasm)</t>
  </si>
  <si>
    <t xml:space="preserve">progly_e  -&gt; progly_p </t>
  </si>
  <si>
    <t>MDDCP2pp</t>
  </si>
  <si>
    <t>Murein D,D-carboxypeptidase (murein5px4px4p) (periplasm)</t>
  </si>
  <si>
    <t xml:space="preserve">h2o_p + murein5px4px4p_p  -&gt; ala__D_p + murein4px4px4p_p </t>
  </si>
  <si>
    <t>MDDCP3pp</t>
  </si>
  <si>
    <t>Murein D,D-carboxypeptidase (murein5p5p) (periplasm)</t>
  </si>
  <si>
    <t xml:space="preserve">murein5p5p_p + h2o_p  -&gt; murein5p4p_p + ala__D_p </t>
  </si>
  <si>
    <t>EAR140x</t>
  </si>
  <si>
    <t>Enoyl-[acyl-carrier-protein] reductase (NADH) (n-C14:0)</t>
  </si>
  <si>
    <t xml:space="preserve">h_c + tmrs2eACP_c + nadh_c  -&gt; nad_c + myrsACP_c </t>
  </si>
  <si>
    <t>EAR40y</t>
  </si>
  <si>
    <t>Enoyl-[acyl-carrier-protein] reductase (NADPH) (n-C4:0)</t>
  </si>
  <si>
    <t xml:space="preserve">h_c + nadph_c + but2eACP_c  -&gt; butACP_c + nadp_c </t>
  </si>
  <si>
    <t>3OAS181</t>
  </si>
  <si>
    <t>3-oxoacyl-[acyl-carrier-protein] synthase (n-C18:1)</t>
  </si>
  <si>
    <t xml:space="preserve">h_c + hdeACP_c + malACP_c  -&gt; 3ocvac11eACP_c + co2_c + ACP_c </t>
  </si>
  <si>
    <t>2.3.1.179</t>
  </si>
  <si>
    <t>EAR161y</t>
  </si>
  <si>
    <t>Enoyl-[acyl-carrier-protein] reductase (NADPH) (n-C16:1)</t>
  </si>
  <si>
    <t xml:space="preserve">h_c + t3c9palmeACP_c + nadph_c  -&gt; hdeACP_c + nadp_c </t>
  </si>
  <si>
    <t>G3PAT140</t>
  </si>
  <si>
    <t>Glycerol-3-phosphate acyltransferase (C14:0)</t>
  </si>
  <si>
    <t xml:space="preserve">glyc3p_c + myrsACP_c  -&gt; 1tdecg3p_c + ACP_c </t>
  </si>
  <si>
    <t>G3PAT160</t>
  </si>
  <si>
    <t>Glycerol-3-phosphate acyltransferase (C16:0)</t>
  </si>
  <si>
    <t xml:space="preserve">glyc3p_c + palmACP_c  -&gt; 1hdecg3p_c + ACP_c </t>
  </si>
  <si>
    <t>G3PAT161</t>
  </si>
  <si>
    <t>Glycerol-3-phosphate acyltransferase (C16:1)</t>
  </si>
  <si>
    <t xml:space="preserve">glyc3p_c + hdeACP_c  -&gt; 1hdec9eg3p_c + ACP_c </t>
  </si>
  <si>
    <t>AGPAT160</t>
  </si>
  <si>
    <t>1-hexadecanoyl-sn-glycerol 3-phosphate O-acyltransferase (n-C16:0)</t>
  </si>
  <si>
    <t xml:space="preserve">1hdecg3p_c + palmACP_c  -&gt; pa160_c + ACP_c </t>
  </si>
  <si>
    <t>CDAPPA140</t>
  </si>
  <si>
    <t>CDP-Diacylglycerol pyrophostatase (n-C14:0)</t>
  </si>
  <si>
    <t xml:space="preserve">cdpdtdecg_c + h2o_c  -&gt; 2 h_c + pa140_c + cmp_c </t>
  </si>
  <si>
    <t>MLDCP1App</t>
  </si>
  <si>
    <t>Murein L,D-carboxypeptidase (murein5px4p) (periplasm)</t>
  </si>
  <si>
    <t xml:space="preserve">h2o_p + murein5px4p_p  -&gt; murein3px4p_p + alaala_p </t>
  </si>
  <si>
    <t>EAR160y</t>
  </si>
  <si>
    <t>Enoyl-[acyl-carrier-protein] reductase (NADPH) (n-C16:0)</t>
  </si>
  <si>
    <t xml:space="preserve">h_c + tpalm2eACP_c + nadph_c  -&gt; nadp_c + palmACP_c </t>
  </si>
  <si>
    <t>EAR100y</t>
  </si>
  <si>
    <t>Enoyl-[acyl-carrier-protein] reductase (NADPH) (n-C10:0)</t>
  </si>
  <si>
    <t xml:space="preserve">h_c + tdec2eACP_c + nadph_c  -&gt; nadp_c + dcaACP_c </t>
  </si>
  <si>
    <t>3OAR141</t>
  </si>
  <si>
    <t>3-oxoacyl-[acyl-carrier-protein] reductase (n-C14:1)</t>
  </si>
  <si>
    <t xml:space="preserve">h_c + nadph_c + 3ocmrs7eACP_c  -&gt; nadp_c + 3hcmrs7eACP_c </t>
  </si>
  <si>
    <t>3OAR161</t>
  </si>
  <si>
    <t>3-oxoacyl-[acyl-carrier-protein] reductase (n-C16:1)</t>
  </si>
  <si>
    <t xml:space="preserve">h_c + 3ocpalm9eACP_c + nadph_c  -&gt; 3hcpalm9eACP_c + nadp_c </t>
  </si>
  <si>
    <t>3HAD141</t>
  </si>
  <si>
    <t>3-hydroxyacyl-[acyl-carrier-protein] dehydratase (n-C14:1)</t>
  </si>
  <si>
    <t xml:space="preserve">3hcmrs7eACP_c  -&gt; t3c7mrseACP_c + h2o_c </t>
  </si>
  <si>
    <t>EAR121x</t>
  </si>
  <si>
    <t>Enoyl-[acyl-carrier-protein] reductase (NADH) (n-C12:1)</t>
  </si>
  <si>
    <t xml:space="preserve">h_c + t3c5ddeceACP_c + nadh_c  -&gt; nad_c + cddec5eACP_c </t>
  </si>
  <si>
    <t>PSD140</t>
  </si>
  <si>
    <t>Phosphatidylserine decarboxylase (n-C14:0)</t>
  </si>
  <si>
    <t xml:space="preserve">h_c + ps140_c  -&gt; pe140_c + co2_c </t>
  </si>
  <si>
    <t>MICITDr_f</t>
  </si>
  <si>
    <t>2-methylisocitrate dehydratase</t>
  </si>
  <si>
    <t xml:space="preserve">2mcacn_c + h2o_c  -&gt; micit_c </t>
  </si>
  <si>
    <t>4.2.1.99</t>
  </si>
  <si>
    <t>CDAPPA181</t>
  </si>
  <si>
    <t>CDP-Diacylglycerol pyrophostatase (n-C18:1)</t>
  </si>
  <si>
    <t xml:space="preserve">h2o_c + cdpdodec11eg_c  -&gt; 2 h_c + pa181_c + cmp_c </t>
  </si>
  <si>
    <t>PGSA140</t>
  </si>
  <si>
    <t>Phosphatidylglycerol synthase (n-C14:0)</t>
  </si>
  <si>
    <t xml:space="preserve">glyc3p_c + cdpdtdecg_c  -&gt; h_c + pgp140_c + cmp_c </t>
  </si>
  <si>
    <t>LPLIPAL1A141pp</t>
  </si>
  <si>
    <t>Lysophospholipase L1 (2-acylglycerophosphotidate, n-C14:1) (periplasm)</t>
  </si>
  <si>
    <t xml:space="preserve">h2o_p + 1tdec7eg3p_p  -&gt; h_p + ttdcea_p + glyc3p_p </t>
  </si>
  <si>
    <t>LPLIPAL1A180pp</t>
  </si>
  <si>
    <t>Lysophospholipase L1 (2-acylglycerophosphotidate, n-C18:0) (periplasm)</t>
  </si>
  <si>
    <t xml:space="preserve">1odecg3p_p + h2o_p  -&gt; h_p + ocdca_p + glyc3p_p </t>
  </si>
  <si>
    <t>LPLIPAL1E140pp</t>
  </si>
  <si>
    <t>Lysophospholipase L1 (2-acylglycerophosphoethanolamine, n-C14:0) (periplasm)</t>
  </si>
  <si>
    <t xml:space="preserve">h2o_p + 1agpe140_p  -&gt; h_p + g3pe_p + ttdca_p </t>
  </si>
  <si>
    <t>LPLIPAL1E161pp</t>
  </si>
  <si>
    <t>Lysophospholipase L1 (2-acylglycerophosphoethanolamine, n-C16:1) (periplasm)</t>
  </si>
  <si>
    <t xml:space="preserve">h2o_p + 1agpe161_p  -&gt; h_p + g3pe_p + hdcea_p </t>
  </si>
  <si>
    <t>LPLIPAL1G140pp</t>
  </si>
  <si>
    <t>Lysophospholipase L1 (2-acylglycerophosphoglycerol, n-C14:0) (periplasm)</t>
  </si>
  <si>
    <t xml:space="preserve">h2o_p + 1agpg140_p  -&gt; h_p + ttdca_p + g3pg_p </t>
  </si>
  <si>
    <t>ACONTa_f</t>
  </si>
  <si>
    <t>Aconitase (half-reaction A, Citrate hydro-lyase)</t>
  </si>
  <si>
    <t xml:space="preserve">cit_c  -&gt; h2o_c + acon_C_c </t>
  </si>
  <si>
    <t>MLDCP2App</t>
  </si>
  <si>
    <t>Murein L,D-carboxypeptidase (murein5p5p) (periplasm)</t>
  </si>
  <si>
    <t xml:space="preserve">murein5p5p_p + h2o_p  -&gt; alaala_p + murein5p3p_p </t>
  </si>
  <si>
    <t>PGPP120pp</t>
  </si>
  <si>
    <t xml:space="preserve">h2o_p + pgp120_p  -&gt; pg120_p + pi_p </t>
  </si>
  <si>
    <t>PGPP181pp</t>
  </si>
  <si>
    <t>Phosphatidylglycerol phosphate phosphatase (periplasm, n-C18:1)</t>
  </si>
  <si>
    <t xml:space="preserve">h2o_p + pgp181_p  -&gt; pg181_p + pi_p </t>
  </si>
  <si>
    <t>PGSA181</t>
  </si>
  <si>
    <t>Phosphatidylglycerol synthase (n-C18:1)</t>
  </si>
  <si>
    <t xml:space="preserve">glyc3p_c + cdpdodec11eg_c  -&gt; h_c + cmp_c + pgp181_c </t>
  </si>
  <si>
    <t>PGPP140</t>
  </si>
  <si>
    <t xml:space="preserve">pgp140_c + h2o_c  -&gt; pi_c + pg140_c </t>
  </si>
  <si>
    <t>PGPP141</t>
  </si>
  <si>
    <t>Phosphatidylglycerol phosphate phosphatase (n-C14:1)</t>
  </si>
  <si>
    <t xml:space="preserve">pgp141_c + h2o_c  -&gt; pi_c + pg141_c </t>
  </si>
  <si>
    <t>MDDCP5pp</t>
  </si>
  <si>
    <t>Murein D,D-carboxypeptidase (murein5p3p) (periplasm)</t>
  </si>
  <si>
    <t xml:space="preserve">h2o_p + murein5p3p_p  -&gt; ala__D_p + murein4p3p_p </t>
  </si>
  <si>
    <t>MLTGY3pp</t>
  </si>
  <si>
    <t>Murein lytic transglycosylase (murein3p3p) (periplasm)</t>
  </si>
  <si>
    <t xml:space="preserve">murein3p3p_p  -&gt; 2 anhgm3p_p </t>
  </si>
  <si>
    <t>4.2.2.-, 4.2.2.n1, 4.2.2.n2</t>
  </si>
  <si>
    <t>G3PAT180</t>
  </si>
  <si>
    <t>Glycerol-3-phosphate acyltransferase (C18:0)</t>
  </si>
  <si>
    <t xml:space="preserve">glyc3p_c + ocdcaACP_c  -&gt; 1odecg3p_c + ACP_c </t>
  </si>
  <si>
    <t>AGPAT140</t>
  </si>
  <si>
    <t>1-tetradecanoyl-sn-glycerol 3-phosphate O-acyltransferase (n-C14:0)</t>
  </si>
  <si>
    <t xml:space="preserve">1tdecg3p_c + myrsACP_c  -&gt; pa140_c + ACP_c </t>
  </si>
  <si>
    <t>PGSA160</t>
  </si>
  <si>
    <t>Phosphatidylglycerol synthase (n-C16:0)</t>
  </si>
  <si>
    <t xml:space="preserve">glyc3p_c + cdpdhdecg_c  -&gt; h_c + pgp160_c + cmp_c </t>
  </si>
  <si>
    <t>MLDCP2Bpp</t>
  </si>
  <si>
    <t>Murein L,D-carboxypeptidase (murein4p3p) (periplasm)</t>
  </si>
  <si>
    <t xml:space="preserve">h2o_p + murein4p3p_p  -&gt; murein3p3p_p + ala__D_p </t>
  </si>
  <si>
    <t>3OAS140</t>
  </si>
  <si>
    <t>3-oxoacyl-[acyl-carrier-protein] synthase (n-C14:0)</t>
  </si>
  <si>
    <t xml:space="preserve">h_c + ddcaACP_c + malACP_c  -&gt; 3omrsACP_c + co2_c + ACP_c </t>
  </si>
  <si>
    <t>3OAR140_f</t>
  </si>
  <si>
    <t>3-oxoacyl-[acyl-carrier-protein] reductase (n-C14:0)</t>
  </si>
  <si>
    <t xml:space="preserve">h_c + nadph_c + 3omrsACP_c  -&gt; nadp_c + 3hmrsACP_c </t>
  </si>
  <si>
    <t>3OAR160_f</t>
  </si>
  <si>
    <t>3-oxoacyl-[acyl-carrier-protein] reductase (n-C16:0)</t>
  </si>
  <si>
    <t xml:space="preserve">h_c + nadph_c + 3opalmACP_c  -&gt; nadp_c + 3hpalmACP_c </t>
  </si>
  <si>
    <t>PGSA161</t>
  </si>
  <si>
    <t>Phosphatidylglycerol synthase (n-C16:1)</t>
  </si>
  <si>
    <t xml:space="preserve">cdpdhdec9eg_c + glyc3p_c  -&gt; h_c + pgp161_c + cmp_c </t>
  </si>
  <si>
    <t>3HAD181</t>
  </si>
  <si>
    <t>3-hydroxyacyl-[acyl-carrier-protein] dehydratase (n-C18:1)</t>
  </si>
  <si>
    <t xml:space="preserve">3hcvac11eACP_c  -&gt; t3c11vaceACP_c + h2o_c </t>
  </si>
  <si>
    <t>PGPP160</t>
  </si>
  <si>
    <t>Phosphatidylglycerol phosphate phosphatase (n-C16:0)</t>
  </si>
  <si>
    <t xml:space="preserve">pgp160_c + h2o_c  -&gt; pi_c + pg160_c </t>
  </si>
  <si>
    <t>PGPP180</t>
  </si>
  <si>
    <t>Phosphatidylglycerol phosphate phosphatase (n-C18:0)</t>
  </si>
  <si>
    <t xml:space="preserve">h2o_c + pgp180_c  -&gt; pi_c + pg180_c </t>
  </si>
  <si>
    <t>PGPP161</t>
  </si>
  <si>
    <t>Phosphatidylglycerol phosphate phosphatase (n-C16:1)</t>
  </si>
  <si>
    <t xml:space="preserve">pgp161_c + h2o_c  -&gt; pg161_c + pi_c </t>
  </si>
  <si>
    <t>PGPP181</t>
  </si>
  <si>
    <t>Phosphatidylglycerol phosphate phosphatase (n-C18:1)</t>
  </si>
  <si>
    <t xml:space="preserve">h2o_c + pgp181_c  -&gt; pi_c + pg181_c </t>
  </si>
  <si>
    <t>CDAPPA180</t>
  </si>
  <si>
    <t>CDP-Diacylglycerol pyrophostatase (n-C18:0)</t>
  </si>
  <si>
    <t xml:space="preserve">cdpdodecg_c + h2o_c  -&gt; 2 h_c + pa180_c + cmp_c </t>
  </si>
  <si>
    <t>NTP12</t>
  </si>
  <si>
    <t>Nucleoside-triphosphatase (XTP)</t>
  </si>
  <si>
    <t xml:space="preserve">xtp_c + h2o_c  -&gt; h_c + pi_c + xdp_c </t>
  </si>
  <si>
    <t>PE141abcpp</t>
  </si>
  <si>
    <t>Phosphatidylethanolamine transport via ABC system (n-C14:1, periplasm)</t>
  </si>
  <si>
    <t xml:space="preserve">atp_c + pe141_c + h2o_c  -&gt; h_c + adp_c + pi_c + pe141_p </t>
  </si>
  <si>
    <t>PE160abcpp</t>
  </si>
  <si>
    <t>Phosphatidylethanolamine transport via ABC system (n-C16:0, periplasm)</t>
  </si>
  <si>
    <t xml:space="preserve">atp_c + pe160_c + h2o_c  -&gt; h_c + adp_c + pi_c + pe160_p </t>
  </si>
  <si>
    <t>PE161abcpp</t>
  </si>
  <si>
    <t>Phosphatidylethanolamine transport via ABC system (n-C16:1, periplasm)</t>
  </si>
  <si>
    <t xml:space="preserve">atp_c + h2o_c + pe161_c  -&gt; h_c + adp_c + pi_c + pe161_p </t>
  </si>
  <si>
    <t>PSD141</t>
  </si>
  <si>
    <t>Phosphatidylserine decarboxylase (n-C14:1)</t>
  </si>
  <si>
    <t xml:space="preserve">h_c + ps141_c  -&gt; pe141_c + co2_c </t>
  </si>
  <si>
    <t>PG140abcpp</t>
  </si>
  <si>
    <t>Phosphatidylglycerol transport via ABC system (n-C14:0, periplasm)</t>
  </si>
  <si>
    <t xml:space="preserve">atp_c + h2o_c + pg140_c  -&gt; h_c + adp_c + pi_c + pg140_p </t>
  </si>
  <si>
    <t>PG141abcpp</t>
  </si>
  <si>
    <t>Phosphatidylglycerol transport via ABC system (n-C14:1, periplasm)</t>
  </si>
  <si>
    <t xml:space="preserve">atp_c + h2o_c + pg141_c  -&gt; h_c + pg141_p + adp_c + pi_c </t>
  </si>
  <si>
    <t>PG180abcpp</t>
  </si>
  <si>
    <t>Phosphatidylglycerol transport via ABC system (n-C18:0, periplasm)</t>
  </si>
  <si>
    <t xml:space="preserve">atp_c + pg180_c + h2o_c  -&gt; h_c + adp_c + pi_c + pg180_p </t>
  </si>
  <si>
    <t>PG181abcpp</t>
  </si>
  <si>
    <t>Phosphatidylglycerol transport via ABC system (n-C18:1, periplasm)</t>
  </si>
  <si>
    <t xml:space="preserve">atp_c + h2o_c + pg181_c  -&gt; h_c + adp_c + pi_c + pg181_p </t>
  </si>
  <si>
    <t>PGP141abcpp</t>
  </si>
  <si>
    <t>Phosphatidylglycerophosphate transport via ABC system (n-C14:1, periplasm)</t>
  </si>
  <si>
    <t xml:space="preserve">pgp141_c + atp_c + h2o_c  -&gt; h_c + adp_c + pi_c + pgp141_p </t>
  </si>
  <si>
    <t>PGP160abcpp</t>
  </si>
  <si>
    <t>Phosphatidylglycerophosphate transport via ABC system (n-C16:0, periplasm)</t>
  </si>
  <si>
    <t xml:space="preserve">atp_c + pgp160_c + h2o_c  -&gt; h_c + pgp160_p + adp_c + pi_c </t>
  </si>
  <si>
    <t>PGP180abcpp</t>
  </si>
  <si>
    <t>Phosphatidylglycerophosphate transport via ABC system (n-C18:0, periplasm)</t>
  </si>
  <si>
    <t xml:space="preserve">atp_c + h2o_c + pgp180_c  -&gt; h_c + adp_c + pi_c + pgp180_p </t>
  </si>
  <si>
    <t>PAPA181pp</t>
  </si>
  <si>
    <t>Phosphatidate phosphatase (periplasmic, n-C18:1)</t>
  </si>
  <si>
    <t xml:space="preserve">h2o_p + pa181_p  -&gt; 12dgr181_p + pi_p </t>
  </si>
  <si>
    <t>PA140abcpp</t>
  </si>
  <si>
    <t>Phosphatidate transport via ABC system (n-C14:0, periplasm)</t>
  </si>
  <si>
    <t xml:space="preserve">pa140_c + atp_c + h2o_c  -&gt; h_c + adp_c + pi_c + pa140_p </t>
  </si>
  <si>
    <t>MDDCP4pp</t>
  </si>
  <si>
    <t>Murein D,D-carboxypeptidase (murein5p4p) (periplasm)</t>
  </si>
  <si>
    <t xml:space="preserve">h2o_p + murein5p4p_p  -&gt; murein4p4p_p + ala__D_p </t>
  </si>
  <si>
    <t>CLPNS140pp_f</t>
  </si>
  <si>
    <t>Cardiolipin synthase (periplasmic, n-C14:0)</t>
  </si>
  <si>
    <t xml:space="preserve">2 pg140_p  -&gt; clpn140_p + glyc_p </t>
  </si>
  <si>
    <t>CLPNS141pp_f</t>
  </si>
  <si>
    <t>Cardiolipin synthase (periplasmic, n-C14:1)</t>
  </si>
  <si>
    <t xml:space="preserve">2 pg141_p  -&gt; clpn141_p + glyc_p </t>
  </si>
  <si>
    <t>PG120abcpp</t>
  </si>
  <si>
    <t>Phosphatidylglycerol transport via ABC system (n-C12:0, periplasm)</t>
  </si>
  <si>
    <t xml:space="preserve">pg120_c + atp_c + h2o_c  -&gt; h_c + adp_c + pi_c + pg120_p </t>
  </si>
  <si>
    <t>PE140abcpp</t>
  </si>
  <si>
    <t>Phosphatidylethanolamine transport via ABC system (n-C14:0, periplasm)</t>
  </si>
  <si>
    <t xml:space="preserve">atp_c + h2o_c + pe140_c  -&gt; h_c + pe140_p + adp_c + pi_c </t>
  </si>
  <si>
    <t>CFAS160E</t>
  </si>
  <si>
    <t>Cyclopropane fatty acid synthase (Phosphatidylethanolamine, n-C16:0)</t>
  </si>
  <si>
    <t xml:space="preserve">2 amet_c + pe161_c  -&gt; 2 h_c + cpe160_c + 2 ahcys_c </t>
  </si>
  <si>
    <t>CFAS180E</t>
  </si>
  <si>
    <t>Cyclopropane fatty acid synthase (Phosphatidylethanolamine, n-C18:0)</t>
  </si>
  <si>
    <t xml:space="preserve">2 amet_c + pe181_c  -&gt; 2 h_c + 2 ahcys_c + cpe180_c </t>
  </si>
  <si>
    <t>CFAS180G</t>
  </si>
  <si>
    <t>Cyclopropane fatty acid synthase (Phosphatidylglycerol, n-C18:0)</t>
  </si>
  <si>
    <t xml:space="preserve">2 amet_c + pg181_c  -&gt; 2 h_c + 2 ahcys_c + cpg180_c </t>
  </si>
  <si>
    <t>PAPA160</t>
  </si>
  <si>
    <t>Phosphatidate phosphatase (n-C16:0)</t>
  </si>
  <si>
    <t xml:space="preserve">pa160_c + h2o_c  -&gt; pi_c + 12dgr160_c </t>
  </si>
  <si>
    <t>PAPA180</t>
  </si>
  <si>
    <t>Phosphatidate phosphatase (n-C18:0)</t>
  </si>
  <si>
    <t xml:space="preserve">h2o_c + pa180_c  -&gt; pi_c + 12dgr180_c </t>
  </si>
  <si>
    <t>PAPA181</t>
  </si>
  <si>
    <t>Phosphatidate phosphatase (n-C18:1)</t>
  </si>
  <si>
    <t xml:space="preserve">pa181_c + h2o_c  -&gt; pi_c + 12dgr181_c </t>
  </si>
  <si>
    <t>PETNT161pp</t>
  </si>
  <si>
    <t>Phosphoethanolamine transferase (c-C16:1)</t>
  </si>
  <si>
    <t xml:space="preserve">lipa_p + pe161_p  -&gt; 12dgr161_p + enlipa_p </t>
  </si>
  <si>
    <t>2.7.8.42</t>
  </si>
  <si>
    <t>PSSA160</t>
  </si>
  <si>
    <t>Phosphatidylserine syntase (n-C16:0)</t>
  </si>
  <si>
    <t xml:space="preserve">ser__L_c + cdpdhdecg_c  -&gt; h_c + ps160_c + cmp_c </t>
  </si>
  <si>
    <t>PSSA181</t>
  </si>
  <si>
    <t>Phosphatidylserine syntase (n-C18:1)</t>
  </si>
  <si>
    <t xml:space="preserve">ser__L_c + cdpdodec11eg_c  -&gt; h_c + ps181_c + cmp_c </t>
  </si>
  <si>
    <t>DAGK140</t>
  </si>
  <si>
    <t>Diacylglycerol kinase (n-C14:0)</t>
  </si>
  <si>
    <t xml:space="preserve">atp_c + 12dgr140_c  -&gt; h_c + adp_c + pa140_c </t>
  </si>
  <si>
    <t>DAGK160</t>
  </si>
  <si>
    <t>Diacylglycerol kinase (n-C16:0)</t>
  </si>
  <si>
    <t xml:space="preserve">atp_c + 12dgr160_c  -&gt; h_c + pa160_c + adp_c </t>
  </si>
  <si>
    <t>DAGK141</t>
  </si>
  <si>
    <t>Diacylglycerol kinase (n-C14:1)</t>
  </si>
  <si>
    <t xml:space="preserve">atp_c + 12dgr141_c  -&gt; h_c + pa141_c + adp_c </t>
  </si>
  <si>
    <t>DAGK161</t>
  </si>
  <si>
    <t>Diacylglycerol kinase (n-C16:1)</t>
  </si>
  <si>
    <t xml:space="preserve">atp_c + 12dgr161_c  -&gt; h_c + adp_c + pa161_c </t>
  </si>
  <si>
    <t>AGPAT181</t>
  </si>
  <si>
    <t>1-octadec-7-enoyl-sn-glycerol 3-phosphate O-acyltransferase (n-C18:1)</t>
  </si>
  <si>
    <t xml:space="preserve">1odec11eg3p_c + octeACP_c  -&gt; pa181_c + ACP_c </t>
  </si>
  <si>
    <t>MDDEP3pp</t>
  </si>
  <si>
    <t>Murein D,D-endopeptidase (murein5px4p) (periplasm)</t>
  </si>
  <si>
    <t xml:space="preserve">h2o_p + murein5px4p_p  -&gt; murein5p4p_p </t>
  </si>
  <si>
    <t>MDDEP4pp</t>
  </si>
  <si>
    <t>Murein D,D-endopeptidase (murein4px4px4p) (periplasm)</t>
  </si>
  <si>
    <t xml:space="preserve">h2o_p + murein4px4px4p_p  -&gt; murein4px4p4p_p </t>
  </si>
  <si>
    <t>MLTGY1pp</t>
  </si>
  <si>
    <t>Murein lytic transglycosylase (murein4p4p) (periplasm)</t>
  </si>
  <si>
    <t xml:space="preserve">murein4p4p_p  -&gt; 2 anhgm4p_p </t>
  </si>
  <si>
    <t>CGLYtex_f</t>
  </si>
  <si>
    <t>L-Cysteinylglycine transport via diffusion (extracellular to periplasm)</t>
  </si>
  <si>
    <t xml:space="preserve">cgly_e  -&gt; cgly_p </t>
  </si>
  <si>
    <t>3HAD40</t>
  </si>
  <si>
    <t>3-hydroxyacyl-[acyl-carrier-protein] dehydratase (n-C4:0)</t>
  </si>
  <si>
    <t xml:space="preserve">3haACP_c  -&gt; h2o_c + but2eACP_c </t>
  </si>
  <si>
    <t>PLIPA1E141pp</t>
  </si>
  <si>
    <t>Phospholipase A1 (phosphatidylethanolamine, n-C14:1) (periplasm)</t>
  </si>
  <si>
    <t xml:space="preserve">h2o_p + pe141_p  -&gt; h_p + 2agpe141_p + ttdcea_p </t>
  </si>
  <si>
    <t>3OAS60</t>
  </si>
  <si>
    <t>3-oxoacyl-[acyl-carrier-protein] synthase (n-C6:0)</t>
  </si>
  <si>
    <t xml:space="preserve">h_c + butACP_c + malACP_c  -&gt; 3ohexACP_c + co2_c + ACP_c </t>
  </si>
  <si>
    <t>3OAS160</t>
  </si>
  <si>
    <t>3-oxoacyl-[acyl-carrier-protein] synthase (n-C16:0)</t>
  </si>
  <si>
    <t xml:space="preserve">h_c + malACP_c + myrsACP_c  -&gt; 3opalmACP_c + co2_c + ACP_c </t>
  </si>
  <si>
    <t>3OAR60_f</t>
  </si>
  <si>
    <t>3-oxoacyl-[acyl-carrier-protein] reductase (n-C6:0)</t>
  </si>
  <si>
    <t xml:space="preserve">3ohexACP_c + h_c + nadph_c  -&gt; nadp_c + 3hhexACP_c </t>
  </si>
  <si>
    <t>3OAR80_f</t>
  </si>
  <si>
    <t>3-oxoacyl-[acyl-carrier-protein] reductase (n-C8:0)</t>
  </si>
  <si>
    <t xml:space="preserve">h_c + nadph_c + 3ooctACP_c  -&gt; 3hoctACP_c + nadp_c </t>
  </si>
  <si>
    <t>MLDCP3App</t>
  </si>
  <si>
    <t>Murein L,D-carboxypeptidase (murein5px3p) (periplasm)</t>
  </si>
  <si>
    <t xml:space="preserve">h2o_p + murein5px3p_p  -&gt; alaala_p + murein3px3p_p </t>
  </si>
  <si>
    <t>MLDCP1Bpp</t>
  </si>
  <si>
    <t>Murein L,D-carboxypeptidase (murein4p4p) (periplasm)</t>
  </si>
  <si>
    <t xml:space="preserve">h2o_p + murein4p4p_p  -&gt; ala__D_p + murein4p3p_p </t>
  </si>
  <si>
    <t>2AGPE181tipp</t>
  </si>
  <si>
    <t>2-Acyl-sn-glycero-3-phosphoethanolamine (n-C18:1) transporter via facilitated diffusion (periplasm)</t>
  </si>
  <si>
    <t xml:space="preserve">2agpe181_p  -&gt; 2agpe181_c </t>
  </si>
  <si>
    <t>2AGPA140tipp</t>
  </si>
  <si>
    <t>2-Acyl-sn-glycero-3-phosphatidate (n-C14:0) transporter via facilitated diffusion (periplasm)</t>
  </si>
  <si>
    <t xml:space="preserve">2tdecg3p_p  -&gt; 2tdecg3p_c </t>
  </si>
  <si>
    <t>2AGPA160tipp</t>
  </si>
  <si>
    <t>2-Acyl-sn-glycero-3-phosphatidate (n-C16:0) transporter via facilitated diffusion (periplasm)</t>
  </si>
  <si>
    <t xml:space="preserve">2hdecg3p_p  -&gt; 2hdecg3p_c </t>
  </si>
  <si>
    <t>2AGPA180tipp</t>
  </si>
  <si>
    <t>2-Acyl-sn-glycero-3-phosphatidate (n-C18:0) transporter via facilitated diffusion (periplasm)</t>
  </si>
  <si>
    <t xml:space="preserve">2odecg3p_p  -&gt; 2odecg3p_c </t>
  </si>
  <si>
    <t>2AGPA141tipp</t>
  </si>
  <si>
    <t>2-Acyl-sn-glycero-3-phosphatidate (n-C14:1) transporter via facilitated diffusion (periplasm)</t>
  </si>
  <si>
    <t xml:space="preserve">2tdec7eg3p_p  -&gt; 2tdec7eg3p_c </t>
  </si>
  <si>
    <t>PLIPA1G160pp</t>
  </si>
  <si>
    <t>Phospholipase A1 (phosphatidylglycerol, n-C16:0) (periplasm)</t>
  </si>
  <si>
    <t xml:space="preserve">h2o_p + pg160_p  -&gt; hdca_p + h_p + 2agpg160_p </t>
  </si>
  <si>
    <t>PLIPA1G141pp</t>
  </si>
  <si>
    <t>Phospholipase A1 (phosphatidylglycerol, n-C14:1) (periplasm)</t>
  </si>
  <si>
    <t xml:space="preserve">h2o_p + pg141_p  -&gt; h_p + ttdcea_p + 2agpg141_p </t>
  </si>
  <si>
    <t>LPLIPAL2E160</t>
  </si>
  <si>
    <t>Lysophospholipase L2 (2-acylglycerophosphoethanolamine, n-C16:0)</t>
  </si>
  <si>
    <t xml:space="preserve">2agpe160_c + h2o_c  -&gt; h_c + g3pe_c + hdca_c </t>
  </si>
  <si>
    <t>LPLIPAL2G140</t>
  </si>
  <si>
    <t>Lysophospholipase L2 (2-acylglycerophosphoglycerol, n-C14:0)</t>
  </si>
  <si>
    <t xml:space="preserve">2agpg140_c + h2o_c  -&gt; h_c + g3pg_c + ttdca_c </t>
  </si>
  <si>
    <t>LPLIPAL2G160</t>
  </si>
  <si>
    <t>Lysophospholipase L2 (2-acylglycerophosphoglycerol, n-C16:0)</t>
  </si>
  <si>
    <t xml:space="preserve">2agpg160_c + h2o_c  -&gt; h_c + g3pg_c + hdca_c </t>
  </si>
  <si>
    <t>2AGPE140tipp</t>
  </si>
  <si>
    <t>2-Acyl-sn-glycero-3-phosphoethanolamine (n-C14:0) transporter via facilitated diffusion (periplasm)</t>
  </si>
  <si>
    <t xml:space="preserve">2agpe140_p  -&gt; 2agpe140_c </t>
  </si>
  <si>
    <t>2AGPE160tipp</t>
  </si>
  <si>
    <t>2-Acyl-sn-glycero-3-phosphoethanolamine (n-C16:0) transporter via facilitated diffusion (periplasm)</t>
  </si>
  <si>
    <t xml:space="preserve">2agpe160_p  -&gt; 2agpe160_c </t>
  </si>
  <si>
    <t>2AGPE180tipp</t>
  </si>
  <si>
    <t>2-Acyl-sn-glycero-3-phosphoethanolamine (n-C18:0) transporter via facilitated diffusion (periplasm)</t>
  </si>
  <si>
    <t xml:space="preserve">2agpe180_p  -&gt; 2agpe180_c </t>
  </si>
  <si>
    <t>2AGPE141tipp</t>
  </si>
  <si>
    <t>2-Acyl-sn-glycero-3-phosphoethanolamine (n-C14:1) transporter via facilitated diffusion (periplasm)</t>
  </si>
  <si>
    <t xml:space="preserve">2agpe141_p  -&gt; 2agpe141_c </t>
  </si>
  <si>
    <t>2AGPE161tipp</t>
  </si>
  <si>
    <t>2-Acyl-sn-glycero-3-phosphoethanolamine (n-C16:1) transporter via facilitated diffusion (periplasm)</t>
  </si>
  <si>
    <t xml:space="preserve">2agpe161_p  -&gt; 2agpe161_c </t>
  </si>
  <si>
    <t>2AGPA161tipp</t>
  </si>
  <si>
    <t>2-Acyl-sn-glycero-3-phosphatidate (n-C16:1) transporter via facilitated diffusion (periplasm)</t>
  </si>
  <si>
    <t xml:space="preserve">2hdec9eg3p_p  -&gt; 2hdec9eg3p_c </t>
  </si>
  <si>
    <t>2AGPA181tipp</t>
  </si>
  <si>
    <t>2-Acyl-sn-glycero-3-phosphatidate (n-C18:1) transporter via facilitated diffusion (periplasm)</t>
  </si>
  <si>
    <t xml:space="preserve">2odec11eg3p_p  -&gt; 2odec11eg3p_c </t>
  </si>
  <si>
    <t>2AGPG120tipp</t>
  </si>
  <si>
    <t>2-Acyl-sn-glycero-3-phosphoglycerol (n-C12:0) transporter via facilitated diffusion (periplasm)</t>
  </si>
  <si>
    <t xml:space="preserve">2agpg120_p  -&gt; 2agpg120_c </t>
  </si>
  <si>
    <t>LPLIPAL2G120</t>
  </si>
  <si>
    <t>Lysophospholipase L2 (2-acylglycerophosphoglycerol, n-C12:0)</t>
  </si>
  <si>
    <t xml:space="preserve">2agpg120_c + h2o_c  -&gt; h_c + g3pg_c + ddca_c </t>
  </si>
  <si>
    <t>PA141abcpp</t>
  </si>
  <si>
    <t>Phosphatidate transport via ABC system (n-C14:1, periplasm)</t>
  </si>
  <si>
    <t xml:space="preserve">pa141_c + atp_c + h2o_c  -&gt; h_c + adp_c + pi_c + pa141_p </t>
  </si>
  <si>
    <t>PA161abcpp</t>
  </si>
  <si>
    <t>Phosphatidate transport via ABC system (n-C16:1, periplasm)</t>
  </si>
  <si>
    <t xml:space="preserve">atp_c + pa161_c + h2o_c  -&gt; h_c + adp_c + pi_c + pa161_p </t>
  </si>
  <si>
    <t>PA180abcpp</t>
  </si>
  <si>
    <t>Phosphatidate transport via ABC system (n-C18:0, periplasm)</t>
  </si>
  <si>
    <t xml:space="preserve">atp_c + h2o_c + pa180_c  -&gt; h_c + adp_c + pi_c + pa180_p </t>
  </si>
  <si>
    <t>PGPP161pp</t>
  </si>
  <si>
    <t>Phosphatidylglycerol phosphate phosphatase (periplasm, n-C16:1)</t>
  </si>
  <si>
    <t xml:space="preserve">h2o_p + pgp161_p  -&gt; pg161_p + pi_p </t>
  </si>
  <si>
    <t>PE120abcpp</t>
  </si>
  <si>
    <t>Phosphatidylethanolamine transport via ABC system (n-C12:0, periplasm)</t>
  </si>
  <si>
    <t xml:space="preserve">atp_c + pe120_c + h2o_c  -&gt; h_c + adp_c + pe120_p + pi_c </t>
  </si>
  <si>
    <t>PE180abcpp</t>
  </si>
  <si>
    <t>Phosphatidylethanolamine transport via ABC system (n-C18:0, periplasm)</t>
  </si>
  <si>
    <t xml:space="preserve">atp_c + h2o_c + pe180_c  -&gt; h_c + adp_c + pi_c + pe180_p </t>
  </si>
  <si>
    <t>PAPA140</t>
  </si>
  <si>
    <t>Phosphatidate phosphatase (n-C14:0)</t>
  </si>
  <si>
    <t xml:space="preserve">pa140_c + h2o_c  -&gt; pi_c + 12dgr140_c </t>
  </si>
  <si>
    <t>PAPA141</t>
  </si>
  <si>
    <t>Phosphatidate phosphatase (n-C14:1)</t>
  </si>
  <si>
    <t xml:space="preserve">pa141_c + h2o_c  -&gt; pi_c + 12dgr141_c </t>
  </si>
  <si>
    <t>PAPA161</t>
  </si>
  <si>
    <t>Phosphatidate phosphatase (n-C16:1)</t>
  </si>
  <si>
    <t xml:space="preserve">pa161_c + h2o_c  -&gt; pi_c + 12dgr161_c </t>
  </si>
  <si>
    <t>GTHOXtex_f</t>
  </si>
  <si>
    <t>Glutathione (ox) transport via diffusion (extracellular to periplasm)</t>
  </si>
  <si>
    <t xml:space="preserve">gthox_e  -&gt; gthox_p </t>
  </si>
  <si>
    <t>DSBAO1</t>
  </si>
  <si>
    <t>DsbA protein reoxidation reaction (aerobic)</t>
  </si>
  <si>
    <t xml:space="preserve">dsbard_p + q8_c  -&gt; q8h2_c + dsbaox_p </t>
  </si>
  <si>
    <t>DSBAO2</t>
  </si>
  <si>
    <t>DsbA protein reoxidation reaction (anaerobic)</t>
  </si>
  <si>
    <t xml:space="preserve">dsbard_p + mqn8_c  -&gt; dsbaox_p + mql8_c </t>
  </si>
  <si>
    <t>DSBDR</t>
  </si>
  <si>
    <t>DsbD reductase</t>
  </si>
  <si>
    <t xml:space="preserve">dsbdox_c + trdrd_c  -&gt; dsbdrd_c + trdox_c </t>
  </si>
  <si>
    <t>1.8.1.8</t>
  </si>
  <si>
    <t>TDSR1</t>
  </si>
  <si>
    <t>Thiol:disulfide reductase (DsbC)</t>
  </si>
  <si>
    <t xml:space="preserve">dsbdrd_c + dsbcox_p  -&gt; dsbdox_c + dsbcrd_p </t>
  </si>
  <si>
    <t>1.8.1.8, 5.3.4.1</t>
  </si>
  <si>
    <t>CGLYabcpp</t>
  </si>
  <si>
    <t>L-Cysteinylglycine (Cys-Gly) transport via ABC system (periplasm)</t>
  </si>
  <si>
    <t xml:space="preserve">atp_c + cgly_p + h2o_c  -&gt; h_c + cgly_c + adp_c + pi_c </t>
  </si>
  <si>
    <t>PLIPA2A120pp</t>
  </si>
  <si>
    <t>Phospholipase A2 (phosphatidate, n-C12:0) (periplasm)</t>
  </si>
  <si>
    <t xml:space="preserve">h2o_p + pa120_p  -&gt; 1ddecg3p_p + h_p + ddca_p </t>
  </si>
  <si>
    <t>PLIPA2A160pp</t>
  </si>
  <si>
    <t>Phospholipase A2 (phosphatidate, n-C16:0) (periplasm)</t>
  </si>
  <si>
    <t xml:space="preserve">h2o_p + pa160_p  -&gt; hdca_p + h_p + 1hdecg3p_p </t>
  </si>
  <si>
    <t>LPLIPAL2E120</t>
  </si>
  <si>
    <t>Lysophospholipase L2 (2-acylglycerophosphoethanolamine, n-C12:0)</t>
  </si>
  <si>
    <t xml:space="preserve">2agpe120_c + h2o_c  -&gt; h_c + g3pe_c + ddca_c </t>
  </si>
  <si>
    <t>EAR100x</t>
  </si>
  <si>
    <t>Enoyl-[acyl-carrier-protein] reductase (NADH) (n-C10:0)</t>
  </si>
  <si>
    <t xml:space="preserve">h_c + tdec2eACP_c + nadh_c  -&gt; nad_c + dcaACP_c </t>
  </si>
  <si>
    <t>EAR120x</t>
  </si>
  <si>
    <t>Enoyl-[acyl-carrier-protein] reductase (NADH) (n-C12:0)</t>
  </si>
  <si>
    <t xml:space="preserve">h_c + tddec2eACP_c + nadh_c  -&gt; nad_c + ddcaACP_c </t>
  </si>
  <si>
    <t>EAR160x</t>
  </si>
  <si>
    <t>Enoyl-[acyl-carrier-protein] reductase (NADH) (n-C16:0)</t>
  </si>
  <si>
    <t xml:space="preserve">h_c + tpalm2eACP_c + nadh_c  -&gt; nad_c + palmACP_c </t>
  </si>
  <si>
    <t>EAR140y</t>
  </si>
  <si>
    <t>Enoyl-[acyl-carrier-protein] reductase (NADPH) (n-C14:0)</t>
  </si>
  <si>
    <t xml:space="preserve">h_c + tmrs2eACP_c + nadph_c  -&gt; nadp_c + myrsACP_c </t>
  </si>
  <si>
    <t>3OAS121</t>
  </si>
  <si>
    <t>3-oxoacyl-[acyl-carrier-protein] synthase (n-C12:1)</t>
  </si>
  <si>
    <t xml:space="preserve">h_c + cdec3eACP_c + malACP_c  -&gt; 3ocddec5eACP_c + co2_c + ACP_c </t>
  </si>
  <si>
    <t>3OAS80</t>
  </si>
  <si>
    <t>3-oxoacyl-[acyl-carrier-protein] synthase (n-C8:0)</t>
  </si>
  <si>
    <t xml:space="preserve">h_c + hexACP_c + malACP_c  -&gt; co2_c + 3ooctACP_c + ACP_c </t>
  </si>
  <si>
    <t>3OAS100</t>
  </si>
  <si>
    <t>3-oxoacyl-[acyl-carrier-protein] synthase (n-C10:0)</t>
  </si>
  <si>
    <t xml:space="preserve">h_c + ocACP_c + malACP_c  -&gt; 3odecACP_c + co2_c + ACP_c </t>
  </si>
  <si>
    <t>3OAS120</t>
  </si>
  <si>
    <t>3-oxoacyl-[acyl-carrier-protein] synthase (n-C12:0)</t>
  </si>
  <si>
    <t xml:space="preserve">h_c + dcaACP_c + malACP_c  -&gt; 3oddecACP_c + co2_c + ACP_c </t>
  </si>
  <si>
    <t>3OAR40_f</t>
  </si>
  <si>
    <t>3-oxoacyl-[acyl-carrier-protein] reductase (n-C4:0)</t>
  </si>
  <si>
    <t xml:space="preserve">h_c + actACP_c + nadph_c  -&gt; nadp_c + 3haACP_c </t>
  </si>
  <si>
    <t>3OAR100_f</t>
  </si>
  <si>
    <t>3-oxoacyl-[acyl-carrier-protein] reductase (n-C10:0)</t>
  </si>
  <si>
    <t xml:space="preserve">h_c + 3odecACP_c + nadph_c  -&gt; nadp_c + 3hdecACP_c </t>
  </si>
  <si>
    <t>3HAD60</t>
  </si>
  <si>
    <t>3-hydroxyacyl-[acyl-carrier-protein] dehydratase (n-C6:0)</t>
  </si>
  <si>
    <t xml:space="preserve">3hhexACP_c  -&gt; thex2eACP_c + h2o_c </t>
  </si>
  <si>
    <t>3HAD100</t>
  </si>
  <si>
    <t>3-hydroxyacyl-[acyl-carrier-protein] dehydratase (n-C10:0)</t>
  </si>
  <si>
    <t xml:space="preserve">3hdecACP_c  -&gt; tdec2eACP_c + h2o_c </t>
  </si>
  <si>
    <t>3HAD140</t>
  </si>
  <si>
    <t>3-hydroxyacyl-[acyl-carrier-protein] dehydratase (n-C14:0)</t>
  </si>
  <si>
    <t xml:space="preserve">3hmrsACP_c  -&gt; h2o_c + tmrs2eACP_c </t>
  </si>
  <si>
    <t>3HAD160</t>
  </si>
  <si>
    <t>3-hydroxyacyl-[acyl-carrier-protein] dehydratase (n-C16:0)</t>
  </si>
  <si>
    <t xml:space="preserve">3hpalmACP_c  -&gt; tpalm2eACP_c + h2o_c </t>
  </si>
  <si>
    <t>AGPAT180</t>
  </si>
  <si>
    <t>1-octadecanoyl-sn-glycerol 3-phosphate O-acyltransferase (n-C18:0)</t>
  </si>
  <si>
    <t xml:space="preserve">ocdcaACP_c + 1odecg3p_c  -&gt; pa180_c + ACP_c </t>
  </si>
  <si>
    <t>AGPAT141</t>
  </si>
  <si>
    <t>1-tetradec-7-enoyl-sn-glycerol 3-phosphate O-acyltransferase (n-C14:1)</t>
  </si>
  <si>
    <t xml:space="preserve">tdeACP_c + 1tdec7eg3p_c  -&gt; pa141_c + ACP_c </t>
  </si>
  <si>
    <t>AGPAT161</t>
  </si>
  <si>
    <t>1-hexadec-7-enoyl-sn-glycerol 3-phosphate O-acyltransferase (n-C16:1)</t>
  </si>
  <si>
    <t xml:space="preserve">hdeACP_c + 1hdec9eg3p_c  -&gt; pa161_c + ACP_c </t>
  </si>
  <si>
    <t>DASYN120</t>
  </si>
  <si>
    <t>CDP-diacylglycerol synthetase (n-C12:0)</t>
  </si>
  <si>
    <t xml:space="preserve">h_c + ctp_c + pa120_c  -&gt; cdpdddecg_c + ppi_c </t>
  </si>
  <si>
    <t>EAR40x</t>
  </si>
  <si>
    <t>Enoyl-[acyl-carrier-protein] reductase (NADH) (n-C4:0)</t>
  </si>
  <si>
    <t xml:space="preserve">h_c + but2eACP_c + nadh_c  -&gt; nad_c + butACP_c </t>
  </si>
  <si>
    <t>EAR60y</t>
  </si>
  <si>
    <t>Enoyl-[acyl-carrier-protein] reductase (NADPH) (n-C6:0)</t>
  </si>
  <si>
    <t xml:space="preserve">h_c + thex2eACP_c + nadph_c  -&gt; hexACP_c + nadp_c </t>
  </si>
  <si>
    <t>MLDEP1pp</t>
  </si>
  <si>
    <t>Murein L,D-endopeptidase (murein3px3p) (periplasm)</t>
  </si>
  <si>
    <t xml:space="preserve">h2o_p + murein3px3p_p  -&gt; murein3p3p_p </t>
  </si>
  <si>
    <t>3.4.24.-</t>
  </si>
  <si>
    <t>MLDEP2pp</t>
  </si>
  <si>
    <t>Murein L,D-endopeptidase (murein5px3p) (periplasm)</t>
  </si>
  <si>
    <t xml:space="preserve">h2o_p + murein5px3p_p  -&gt; murein5p3p_p </t>
  </si>
  <si>
    <t>MLTGY2pp</t>
  </si>
  <si>
    <t>Murein lytic transglycosylase (murein4p3p) (periplasm)</t>
  </si>
  <si>
    <t xml:space="preserve">murein4p3p_p  -&gt; anhgm4p_p + anhgm3p_p </t>
  </si>
  <si>
    <t>MLTGY4pp</t>
  </si>
  <si>
    <t>Murein lytic transglycosylase (murein4px4p4p) (periplasm)</t>
  </si>
  <si>
    <t xml:space="preserve">murein4px4p4p_p  -&gt; anhgm4p_p + murein4px4p_p </t>
  </si>
  <si>
    <t>EAR60x</t>
  </si>
  <si>
    <t>Enoyl-[acyl-carrier-protein] reductase (NADH) (n-C6:0)</t>
  </si>
  <si>
    <t xml:space="preserve">h_c + thex2eACP_c + nadh_c  -&gt; nad_c + hexACP_c </t>
  </si>
  <si>
    <t>EAR80x</t>
  </si>
  <si>
    <t>Enoyl-[acyl-carrier-protein] reductase (NADH) (n-C8:0)</t>
  </si>
  <si>
    <t xml:space="preserve">h_c + toct2eACP_c + nadh_c  -&gt; nad_c + ocACP_c </t>
  </si>
  <si>
    <t>PE181abcpp</t>
  </si>
  <si>
    <t>Phosphatidylethanolamine transport via ABC system (n-C18:1, periplasm)</t>
  </si>
  <si>
    <t xml:space="preserve">atp_c + pe181_c + h2o_c  -&gt; h_c + adp_c + pi_c + pe181_p </t>
  </si>
  <si>
    <t>NTP11</t>
  </si>
  <si>
    <t>Nucleoside-triphosphatase (dITP)</t>
  </si>
  <si>
    <t xml:space="preserve">ditp_c + h2o_c  -&gt; h_c + pi_c + didp_c </t>
  </si>
  <si>
    <t>3OAS180</t>
  </si>
  <si>
    <t>3-oxoacyl-[acyl-carrier-protein] synthase (n-C18:0)</t>
  </si>
  <si>
    <t xml:space="preserve">h_c + malACP_c + palmACP_c  -&gt; 3ooctdACP_c + co2_c + ACP_c </t>
  </si>
  <si>
    <t>3HAD180</t>
  </si>
  <si>
    <t>3-hydroxyacyl-[acyl-carrier-protein] dehydratase (n-C18:0)</t>
  </si>
  <si>
    <t xml:space="preserve">3hoctaACP_c  -&gt; toctd2eACP_c + h2o_c </t>
  </si>
  <si>
    <t>CDAPPA120</t>
  </si>
  <si>
    <t>CDP-Diacylglycerol pyrophostatase (n-C12:0)</t>
  </si>
  <si>
    <t xml:space="preserve">cdpdddecg_c + h2o_c  -&gt; 2 h_c + pa120_c + cmp_c </t>
  </si>
  <si>
    <t>PSSA120</t>
  </si>
  <si>
    <t>Phosphatidylserine syntase (n-C12:0)</t>
  </si>
  <si>
    <t xml:space="preserve">ser__L_c + cdpdddecg_c  -&gt; h_c + ps120_c + cmp_c </t>
  </si>
  <si>
    <t>PSD120</t>
  </si>
  <si>
    <t>Phosphatidylserine decarboxylase (n-C12:0)</t>
  </si>
  <si>
    <t xml:space="preserve">h_c + ps120_c  -&gt; pe120_c + co2_c </t>
  </si>
  <si>
    <t>PAPA120</t>
  </si>
  <si>
    <t>Phosphatidate phosphatase (n-C12:0)</t>
  </si>
  <si>
    <t xml:space="preserve">h2o_c + pa120_c  -&gt; pi_c + 12dgr120_c </t>
  </si>
  <si>
    <t>MDDEP1pp</t>
  </si>
  <si>
    <t>Murein D,D-endopeptidase (murein4px4p) (periplasm)</t>
  </si>
  <si>
    <t xml:space="preserve">h2o_p + murein4px4p_p  -&gt; murein4p4p_p </t>
  </si>
  <si>
    <t>MDDEP2pp</t>
  </si>
  <si>
    <t>Murein D,D-endopeptidase (murein3px4p) (periplasm)</t>
  </si>
  <si>
    <t xml:space="preserve">murein3px4p_p + h2o_p  -&gt; murein4p3p_p </t>
  </si>
  <si>
    <t>PSD181</t>
  </si>
  <si>
    <t>Phosphatidylserine decarboxylase (n-C18:1)</t>
  </si>
  <si>
    <t xml:space="preserve">h_c + ps181_c  -&gt; pe181_c + co2_c </t>
  </si>
  <si>
    <t>DAGK180</t>
  </si>
  <si>
    <t>Diacylglycerol kinase (n-C18:0)</t>
  </si>
  <si>
    <t xml:space="preserve">atp_c + 12dgr180_c  -&gt; h_c + adp_c + pa180_c </t>
  </si>
  <si>
    <t>DAGK181</t>
  </si>
  <si>
    <t>Diacylglycerol kinase (n-C18:1)</t>
  </si>
  <si>
    <t xml:space="preserve">atp_c + 12dgr181_c  -&gt; h_c + pa181_c + adp_c </t>
  </si>
  <si>
    <t>PLIPA2E120pp</t>
  </si>
  <si>
    <t>Phospholipase A2 (phosphatidylethanolamine, n-C12:0) (periplasm)</t>
  </si>
  <si>
    <t xml:space="preserve">h2o_p + pe120_p  -&gt; h_p + 1agpe120_p + ddca_p </t>
  </si>
  <si>
    <t>PLIPA2G141pp</t>
  </si>
  <si>
    <t>Phospholipase A2 (phosphatidylglycerol, n-C14:1) (periplasm)</t>
  </si>
  <si>
    <t xml:space="preserve">h2o_p + pg141_p  -&gt; h_p + ttdcea_p + 1agpg141_p </t>
  </si>
  <si>
    <t>PLIPA2G161pp</t>
  </si>
  <si>
    <t>Phospholipase A2 (phosphatidylglycerol, n-C16:1) (periplasm)</t>
  </si>
  <si>
    <t xml:space="preserve">h2o_p + pg161_p  -&gt; h_p + 1agpg161_p + hdcea_p </t>
  </si>
  <si>
    <t>LPLIPAL1A120pp</t>
  </si>
  <si>
    <t>Lysophospholipase L1 (2-acylglycerophosphotidate, n-C12:0) (periplasm)</t>
  </si>
  <si>
    <t xml:space="preserve">1ddecg3p_p + h2o_p  -&gt; h_p + ddca_p + glyc3p_p </t>
  </si>
  <si>
    <t>LPLIPAL1A140pp</t>
  </si>
  <si>
    <t>Lysophospholipase L1 (2-acylglycerophosphotidate, n-C14:0) (periplasm)</t>
  </si>
  <si>
    <t xml:space="preserve">h2o_p + 1tdecg3p_p  -&gt; h_p + ttdca_p + glyc3p_p </t>
  </si>
  <si>
    <t>LPLIPAL1A181pp</t>
  </si>
  <si>
    <t>Lysophospholipase L1 (2-acylglycerophosphotidate, n-C18:1) (periplasm)</t>
  </si>
  <si>
    <t xml:space="preserve">h2o_p + 1odec11eg3p_p  -&gt; ocdcea_p + h_p + glyc3p_p </t>
  </si>
  <si>
    <t>LPLIPAL1E120pp</t>
  </si>
  <si>
    <t>Lysophospholipase L1 (2-acylglycerophosphoethanolamine, n-C12:0) (periplasm)</t>
  </si>
  <si>
    <t xml:space="preserve">h2o_p + 1agpe120_p  -&gt; h_p + g3pe_p + ddca_p </t>
  </si>
  <si>
    <t>3OAR180_f</t>
  </si>
  <si>
    <t>3-oxoacyl-[acyl-carrier-protein] reductase (n-C18:0)</t>
  </si>
  <si>
    <t xml:space="preserve">h_c + 3ooctdACP_c + nadph_c  -&gt; 3hoctaACP_c + nadp_c </t>
  </si>
  <si>
    <t>G3PAT120</t>
  </si>
  <si>
    <t>Glycerol-3-phosphate acyltransferase (C12:0)</t>
  </si>
  <si>
    <t xml:space="preserve">glyc3p_c + ddcaACP_c  -&gt; 1ddecg3p_c + ACP_c </t>
  </si>
  <si>
    <t>PGSA120</t>
  </si>
  <si>
    <t>Phosphatidylglycerol synthase (n-C12:0)</t>
  </si>
  <si>
    <t xml:space="preserve">glyc3p_c + cdpdddecg_c  -&gt; h_c + pgp120_c + cmp_c </t>
  </si>
  <si>
    <t>TDSR2</t>
  </si>
  <si>
    <t>Thiol:disulfide reductase (DsbG)</t>
  </si>
  <si>
    <t xml:space="preserve">dsbdrd_c + dsbgox_p  -&gt; dsbdox_c + dsbgrd_p </t>
  </si>
  <si>
    <t>GTHRDtex_f</t>
  </si>
  <si>
    <t>Glutathione transport via diffusion (extracellular to periplasm)</t>
  </si>
  <si>
    <t xml:space="preserve">gthrd_e  -&gt; gthrd_p </t>
  </si>
  <si>
    <t>GTHRDabc2pp</t>
  </si>
  <si>
    <t>Glutathione export via ABC system (cytoplasm to periplasm)</t>
  </si>
  <si>
    <t xml:space="preserve">gthrd_c + atp_c + h2o_c  -&gt; h_c + adp_c + pi_c + gthrd_p </t>
  </si>
  <si>
    <t>NADHPO</t>
  </si>
  <si>
    <t>NADH peroxidase</t>
  </si>
  <si>
    <t xml:space="preserve">h_c + h2o2_c + nadh_c  -&gt; nad_c + 2 h2o_c </t>
  </si>
  <si>
    <t>1.11.1.15</t>
  </si>
  <si>
    <t>ACOAD7f_f</t>
  </si>
  <si>
    <t>Acyl-CoA dehydrogenase (hexadecanoyl-CoA)</t>
  </si>
  <si>
    <t xml:space="preserve">pmtcoa_c + fad_c  -&gt; fadh2_c + hdd2coa_c </t>
  </si>
  <si>
    <t>1.3.8.7, 1.3.8.8</t>
  </si>
  <si>
    <t>ACOAD8f_f</t>
  </si>
  <si>
    <t>Acyl-CoA dehydrogenase (octadecanoyl-CoA)</t>
  </si>
  <si>
    <t xml:space="preserve">stcoa_c + fad_c  -&gt; fadh2_c + od2coa_c </t>
  </si>
  <si>
    <t>ACOAD5f_f</t>
  </si>
  <si>
    <t>Acyl-CoA dehydrogenase (dodecanoyl-CoA)</t>
  </si>
  <si>
    <t xml:space="preserve">ddcacoa_c + fad_c  -&gt; fadh2_c + dd2coa_c </t>
  </si>
  <si>
    <t>1.3.8.7</t>
  </si>
  <si>
    <t>ACOAD3f_f</t>
  </si>
  <si>
    <t>Acyl-CoA dehydrogenase (octanoyl-CoA)</t>
  </si>
  <si>
    <t xml:space="preserve">occoa_c + fad_c  -&gt; fadh2_c + oc2coa_c </t>
  </si>
  <si>
    <t>ACOAD2f_f</t>
  </si>
  <si>
    <t>Acyl-CoA dehydrogenase (hexanoyl-CoA)</t>
  </si>
  <si>
    <t xml:space="preserve">hxcoa_c + fad_c  -&gt; fadh2_c + hx2coa_c </t>
  </si>
  <si>
    <t>1.3.99.3</t>
  </si>
  <si>
    <t>ACOAD4f_f</t>
  </si>
  <si>
    <t>Acyl-CoA dehydrogenase (decanoyl-CoA)</t>
  </si>
  <si>
    <t xml:space="preserve">dcacoa_c + fad_c  -&gt; fadh2_c + dc2coa_c </t>
  </si>
  <si>
    <t>ACOAD6f_f</t>
  </si>
  <si>
    <t>Acyl-CoA dehydrogenase (tetradecanoyl-CoA)</t>
  </si>
  <si>
    <t xml:space="preserve">tdcoa_c + fad_c  -&gt; fadh2_c + td2coa_c </t>
  </si>
  <si>
    <t>NADH16pp</t>
  </si>
  <si>
    <t>NADH dehydrogenase (ubiquinone-8 &amp; 3 protons) (periplasm)</t>
  </si>
  <si>
    <t xml:space="preserve">4 h_c + q8_c + nadh_c  -&gt; 3 h_p + nad_c + q8h2_c </t>
  </si>
  <si>
    <t>1.6.5.11</t>
  </si>
  <si>
    <t>NADH18pp</t>
  </si>
  <si>
    <t>NADH dehydrogenase (demethylmenaquinone-8 &amp; 3 protons) (periplasm)</t>
  </si>
  <si>
    <t xml:space="preserve">4 h_c + 2dmmq8_c + nadh_c  -&gt; 3 h_p + nad_c + 2dmmql8_c </t>
  </si>
  <si>
    <t>GLYBt2pp</t>
  </si>
  <si>
    <t>Glycine betaine transport via proton symport (periplasm)</t>
  </si>
  <si>
    <t xml:space="preserve">h_p + glyb_p  -&gt; h_c + glyb_c </t>
  </si>
  <si>
    <t>DSERt2pp</t>
  </si>
  <si>
    <t>D-serine transport in via proton symport (periplasm)</t>
  </si>
  <si>
    <t xml:space="preserve">h_p + ser__D_p  -&gt; h_c + ser__D_c </t>
  </si>
  <si>
    <t>ALAt4pp</t>
  </si>
  <si>
    <t>L-alanine transport in via sodium symport (periplasm)</t>
  </si>
  <si>
    <t xml:space="preserve">na1_p + ala__L_p  -&gt; ala__L_c + na1_c </t>
  </si>
  <si>
    <t>LYSt3pp</t>
  </si>
  <si>
    <t>L-lysine transport out via proton antiport (cytoplasm to periplasm)</t>
  </si>
  <si>
    <t xml:space="preserve">h_p + lys__L_c  -&gt; h_c + lys__L_p </t>
  </si>
  <si>
    <t>CTBTCAL2</t>
  </si>
  <si>
    <t>Crotonobetaine-CoA Ligase</t>
  </si>
  <si>
    <t xml:space="preserve">ctbt_c + atp_c + coa_c  -&gt; adp_c + pi_c + ctbtcoa_c </t>
  </si>
  <si>
    <t>6.2.1.48</t>
  </si>
  <si>
    <t>BGLA1</t>
  </si>
  <si>
    <t>6-phospho-beta-glucosidase</t>
  </si>
  <si>
    <t xml:space="preserve">6pgg_c + h2o_c  -&gt; glc__D_c + g6p_c </t>
  </si>
  <si>
    <t>GDPMNP</t>
  </si>
  <si>
    <t>GDP-mannose phyrophosphatase</t>
  </si>
  <si>
    <t xml:space="preserve">gdpmann_c + h2o_c  -&gt; 2 h_c + man1p_c + gmp_c </t>
  </si>
  <si>
    <t>AMMQLT8</t>
  </si>
  <si>
    <t>S-adenosylmethione:2-demthylmenaquinole methyltransferase (menaquinone 8)</t>
  </si>
  <si>
    <t xml:space="preserve">amet_c + 2dmmql8_c  -&gt; h_c + ahcys_c + mql8_c </t>
  </si>
  <si>
    <t>2.1.1.163</t>
  </si>
  <si>
    <t>FA120ACPHi</t>
  </si>
  <si>
    <t>Fatty-acyl-ACP hydrolase</t>
  </si>
  <si>
    <t xml:space="preserve">h2o_c + ddcaACP_c  -&gt; h_c + ddca_c + ACP_c </t>
  </si>
  <si>
    <t>3.1.4.14</t>
  </si>
  <si>
    <t>FA80ACPHi</t>
  </si>
  <si>
    <t xml:space="preserve">ocACP_c + h2o_c  -&gt; h_c + octa_c + ACP_c </t>
  </si>
  <si>
    <t>FA140ACPHi</t>
  </si>
  <si>
    <t xml:space="preserve">h2o_c + myrsACP_c  -&gt; h_c + ttdca_c + ACP_c </t>
  </si>
  <si>
    <t>FA100ACPHi</t>
  </si>
  <si>
    <t xml:space="preserve">h2o_c + dcaACP_c  -&gt; dca_c + h_c + ACP_c </t>
  </si>
  <si>
    <t>CRNDCAL2</t>
  </si>
  <si>
    <t>D-Carnitine-CoA Ligase</t>
  </si>
  <si>
    <t xml:space="preserve">atp_c + crn__D_c + coa_c  -&gt; adp_c + pi_c + crnDcoa_c </t>
  </si>
  <si>
    <t>CRNCAL2</t>
  </si>
  <si>
    <t>Carnitine-CoA Ligase</t>
  </si>
  <si>
    <t xml:space="preserve">atp_c + crn_c + coa_c  -&gt; adp_c + pi_c + crncoa_c </t>
  </si>
  <si>
    <t>CHLt2pp</t>
  </si>
  <si>
    <t>Choline transport via proton symport (periplasm)</t>
  </si>
  <si>
    <t xml:space="preserve">h_p + chol_p  -&gt; h_c + chol_c </t>
  </si>
  <si>
    <t>GLYt4pp</t>
  </si>
  <si>
    <t>Glycine transport in via sodium symport (periplasm)</t>
  </si>
  <si>
    <t xml:space="preserve">na1_p + gly_p  -&gt; gly_c + na1_c </t>
  </si>
  <si>
    <t>FRULYSE_f</t>
  </si>
  <si>
    <t>Fructoselysine 3-epimerase</t>
  </si>
  <si>
    <t xml:space="preserve">psclys_c  -&gt; frulys_c </t>
  </si>
  <si>
    <t>FRULYSt2pp</t>
  </si>
  <si>
    <t>Fructoselysine transport via proton symport (periplasm)</t>
  </si>
  <si>
    <t xml:space="preserve">h_p + frulys_p  -&gt; h_c + frulys_c </t>
  </si>
  <si>
    <t>TUNGStex_f</t>
  </si>
  <si>
    <t>Tungstate transport via diffusion (extracellular to periplasm)</t>
  </si>
  <si>
    <t xml:space="preserve">tungs_e  -&gt; tungs_p </t>
  </si>
  <si>
    <t>COBALT2tpp</t>
  </si>
  <si>
    <t>Cobalt transport in via permease (no H+)</t>
  </si>
  <si>
    <t xml:space="preserve">cobalt2_p  -&gt; cobalt2_c </t>
  </si>
  <si>
    <t>OXCDC</t>
  </si>
  <si>
    <t>Oxalyl-CoA decarboxylase</t>
  </si>
  <si>
    <t xml:space="preserve">h_c + oxalcoa_c  -&gt; forcoa_c + co2_c </t>
  </si>
  <si>
    <t>4.1.1.8</t>
  </si>
  <si>
    <t>LPLIPAL2A140</t>
  </si>
  <si>
    <t>Lysophospholipase L2 (2-acylglycerophosphotidate, n-C14:0)</t>
  </si>
  <si>
    <t xml:space="preserve">2tdecg3p_c + h2o_c  -&gt; 2 h_c + glyc3p_c + ttdca_c </t>
  </si>
  <si>
    <t>LPLIPAL2A160</t>
  </si>
  <si>
    <t>Lysophospholipase L2 (2-acylglycerophosphotidate, n-C16:0)</t>
  </si>
  <si>
    <t xml:space="preserve">2hdecg3p_c + h2o_c  -&gt; 2 h_c + glyc3p_c + hdca_c </t>
  </si>
  <si>
    <t>LPLIPAL2A161</t>
  </si>
  <si>
    <t>Lysophospholipase L2 (2-acylglycerophosphotidate, n-C16:1)</t>
  </si>
  <si>
    <t xml:space="preserve">h2o_c + 2hdec9eg3p_c  -&gt; 2 h_c + hdcea_c + glyc3p_c </t>
  </si>
  <si>
    <t>LPLIPAL2A180</t>
  </si>
  <si>
    <t>Lysophospholipase L2 (2-acylglycerophosphotidate, n-C18:0)</t>
  </si>
  <si>
    <t xml:space="preserve">2odecg3p_c + h2o_c  -&gt; 2 h_c + glyc3p_c + ocdca_c </t>
  </si>
  <si>
    <t>LPLIPAL2A181</t>
  </si>
  <si>
    <t>Lysophospholipase L2 (2-acylglycerophosphotidate, n-C18:1)</t>
  </si>
  <si>
    <t xml:space="preserve">2odec11eg3p_c + h2o_c  -&gt; 2 h_c + glyc3p_c + ocdcea_c </t>
  </si>
  <si>
    <t>UM3PL</t>
  </si>
  <si>
    <t>UDP-N-acetylmuramate:L-alanyl-gamma-D-glutamyl-meso-diaminopimelate ligase</t>
  </si>
  <si>
    <t xml:space="preserve">uamr_c + atp_c + LalaDgluMdap_c  -&gt; h_c + adp_c + pi_c + ugmd_c </t>
  </si>
  <si>
    <t>6.3.2.45</t>
  </si>
  <si>
    <t>UM4PL</t>
  </si>
  <si>
    <t>UDP-N-acetylmuramate:L-alanyl-gamma-D-glutamyl-meso-diaminopimelate-D-alanine ligase</t>
  </si>
  <si>
    <t xml:space="preserve">uamr_c + atp_c + LalaDgluMdapDala_c  -&gt; h_c + adp_c + pi_c + um4p_c </t>
  </si>
  <si>
    <t>2MAHMP</t>
  </si>
  <si>
    <t>2-Methyl-4-amino-5-hydroxymethylpyrimidine diphosphatase</t>
  </si>
  <si>
    <t xml:space="preserve">h2o_c + 2mahmp_c  -&gt; h_c + 4ampm_c + pi_c </t>
  </si>
  <si>
    <t>ZN2tpp</t>
  </si>
  <si>
    <t>Zinc transport in via permease (no H+)</t>
  </si>
  <si>
    <t xml:space="preserve">zn2_p  -&gt; zn2_c </t>
  </si>
  <si>
    <t>NI2tpp</t>
  </si>
  <si>
    <t>Nickel (+2) transport in via permease (no H+)</t>
  </si>
  <si>
    <t xml:space="preserve">ni2_p  -&gt; ni2_c </t>
  </si>
  <si>
    <t>COBALT2t3pp</t>
  </si>
  <si>
    <t>Cobalt (Co+2) transport out via proton antiport (periplasm)</t>
  </si>
  <si>
    <t xml:space="preserve">h_p + cobalt2_c  -&gt; h_c + cobalt2_p </t>
  </si>
  <si>
    <t>PLIPA1A120pp</t>
  </si>
  <si>
    <t>Phospholipase A1 (phosphatidate, n-C12:0) (periplasm)</t>
  </si>
  <si>
    <t xml:space="preserve">h2o_p + pa120_p  -&gt; ddca_p + 2ddecg3p_p </t>
  </si>
  <si>
    <t>PLIPA1A140pp</t>
  </si>
  <si>
    <t>Phospholipase A1 (phosphatidate, n-C14:0) (periplasm)</t>
  </si>
  <si>
    <t xml:space="preserve">h2o_p + pa140_p  -&gt; 2tdecg3p_p + ttdca_p </t>
  </si>
  <si>
    <t>PLIPA1A141pp</t>
  </si>
  <si>
    <t>Phospholipase A1 (phosphatidate, n-C14:1) (periplasm)</t>
  </si>
  <si>
    <t xml:space="preserve">h2o_p + pa141_p  -&gt; 2tdec7eg3p_p + ttdcea_p </t>
  </si>
  <si>
    <t>PLIPA1A160pp</t>
  </si>
  <si>
    <t>Phospholipase A1 (phosphatidate, n-C16:0) (periplasm)</t>
  </si>
  <si>
    <t xml:space="preserve">h2o_p + pa160_p  -&gt; hdca_p + 2hdecg3p_p </t>
  </si>
  <si>
    <t>PLIPA1A161pp</t>
  </si>
  <si>
    <t>Phospholipase A1 (phosphatidate, n-C16:1) (periplasm)</t>
  </si>
  <si>
    <t xml:space="preserve">h2o_p + pa161_p  -&gt; 2hdec9eg3p_p + hdcea_p </t>
  </si>
  <si>
    <t>PLIPA1A180pp</t>
  </si>
  <si>
    <t>Phospholipase A1 (phosphatidate, n-C18:0) (periplasm)</t>
  </si>
  <si>
    <t xml:space="preserve">h2o_p + pa180_p  -&gt; ocdca_p + 2odecg3p_p </t>
  </si>
  <si>
    <t>LPLIPAL2A120</t>
  </si>
  <si>
    <t>Lysophospholipase L2 (2-acylglycerophosphotidate, n-C12:0)</t>
  </si>
  <si>
    <t xml:space="preserve">2ddecg3p_c + h2o_c  -&gt; 2 h_c + glyc3p_c + ddca_c </t>
  </si>
  <si>
    <t>CAt6pp_f</t>
  </si>
  <si>
    <t>Calcium / sodium antiporter (1:1)</t>
  </si>
  <si>
    <t xml:space="preserve">na1_p + ca2_c  -&gt; ca2_p + na1_c </t>
  </si>
  <si>
    <t>5DGLCNt2rpp_f</t>
  </si>
  <si>
    <t>5-Dehydro-D-gluconate transport via proton symport, reversible (periplasm)</t>
  </si>
  <si>
    <t xml:space="preserve">h_p + 5dglcn_p  -&gt; h_c + 5dglcn_c </t>
  </si>
  <si>
    <t>GALCTNt2pp</t>
  </si>
  <si>
    <t>D-galactonate transport via proton symport (periplasm)</t>
  </si>
  <si>
    <t xml:space="preserve">h_p + galctn__D_p  -&gt; h_c + galctn__D_c </t>
  </si>
  <si>
    <t>GALCTNLtex_f</t>
  </si>
  <si>
    <t>L-galactonate transport via diffusion (extracellular to periplasm)</t>
  </si>
  <si>
    <t xml:space="preserve">galctn__L_e  -&gt; galctn__L_p </t>
  </si>
  <si>
    <t>KDUI</t>
  </si>
  <si>
    <t>5-keto-4-deoxyuronate isomerase</t>
  </si>
  <si>
    <t xml:space="preserve">dt5hsu_c  -&gt; dkdglcn_c </t>
  </si>
  <si>
    <t>5.3.1.17</t>
  </si>
  <si>
    <t>CA2t3pp</t>
  </si>
  <si>
    <t>Calcium (Ca+2) transport out via proton antiport (periplasm)</t>
  </si>
  <si>
    <t xml:space="preserve">h_p + ca2_c  -&gt; h_c + ca2_p </t>
  </si>
  <si>
    <t>NADH17pp</t>
  </si>
  <si>
    <t>NADH dehydrogenase (menaquinone-8 &amp; 3 protons) (periplasm)</t>
  </si>
  <si>
    <t xml:space="preserve">4 h_c + mqn8_c + nadh_c  -&gt; 3 h_p + nad_c + mql8_c </t>
  </si>
  <si>
    <t>FA161ACPHi</t>
  </si>
  <si>
    <t xml:space="preserve">hdeACP_c + h2o_c  -&gt; h_c + hdcea_c + ACP_c </t>
  </si>
  <si>
    <t>FA141ACPHi</t>
  </si>
  <si>
    <t xml:space="preserve">tdeACP_c + h2o_c  -&gt; h_c + ttdcea_c + ACP_c </t>
  </si>
  <si>
    <t>ARGt3pp</t>
  </si>
  <si>
    <t>L-arginine transport out via proton antiport (cytoplasm to periplasm)</t>
  </si>
  <si>
    <t xml:space="preserve">arg__L_c + h_p  -&gt; h_c + arg__L_p </t>
  </si>
  <si>
    <t>FA160ACPHi</t>
  </si>
  <si>
    <t xml:space="preserve">h2o_c + palmACP_c  -&gt; h_c + hdca_c + ACP_c </t>
  </si>
  <si>
    <t>MALDtex_f</t>
  </si>
  <si>
    <t>D-Malate transport via diffusion (extracellular to periplasm)</t>
  </si>
  <si>
    <t xml:space="preserve">mal__D_e  -&gt; mal__D_p </t>
  </si>
  <si>
    <t>OROTtex_f</t>
  </si>
  <si>
    <t>Orotate transport via diffusion (extracellular to periplasm)</t>
  </si>
  <si>
    <t xml:space="preserve">orot_e  -&gt; orot_p </t>
  </si>
  <si>
    <t>PPAt4pp</t>
  </si>
  <si>
    <t>Na+/Propionate symporter (periplasm)</t>
  </si>
  <si>
    <t xml:space="preserve">na1_p + ppa_p  -&gt; ppa_c + na1_c </t>
  </si>
  <si>
    <t>OROTt2_2pp</t>
  </si>
  <si>
    <t>Orotate transport via proton symport (2 H) (periplasm)</t>
  </si>
  <si>
    <t xml:space="preserve">2 h_p + orot_p  -&gt; 2 h_c + orot_c </t>
  </si>
  <si>
    <t>MALDt2_2pp</t>
  </si>
  <si>
    <t>D-Malate transport via proton symport (2 H) (periplasm)</t>
  </si>
  <si>
    <t xml:space="preserve">2 h_p + mal__D_p  -&gt; 2 h_c + mal__D_c </t>
  </si>
  <si>
    <t>5DGLCNtex_f</t>
  </si>
  <si>
    <t>5-Dehydro-D-gluconate transport via diffusion (extracellular to periplasm)</t>
  </si>
  <si>
    <t xml:space="preserve">5dglcn_e  -&gt; 5dglcn_p </t>
  </si>
  <si>
    <t>DTARTD</t>
  </si>
  <si>
    <t>D(-)-tartrate dehydratase</t>
  </si>
  <si>
    <t xml:space="preserve">tartr__D_c  -&gt; h2o_c + oaa_c </t>
  </si>
  <si>
    <t>PLIPA2E161pp</t>
  </si>
  <si>
    <t>Phospholipase A2 (phosphatidylethanolamine, n-C16:1) (periplasm)</t>
  </si>
  <si>
    <t xml:space="preserve">h2o_p + pe161_p  -&gt; h_p + 1agpe161_p + hdcea_p </t>
  </si>
  <si>
    <t>PLIPA2E180pp</t>
  </si>
  <si>
    <t>Phospholipase A2 (phosphatidylethanolamine, n-C18:0) (periplasm)</t>
  </si>
  <si>
    <t xml:space="preserve">h2o_p + pe180_p  -&gt; h_p + ocdca_p + 1agpe180_p </t>
  </si>
  <si>
    <t>PLIPA2G120pp</t>
  </si>
  <si>
    <t>Phospholipase A2 (phosphatidylglycerol, n-C12:0) (periplasm)</t>
  </si>
  <si>
    <t xml:space="preserve">h2o_p + pg120_p  -&gt; h_p + ddca_p + 1agpg120_p </t>
  </si>
  <si>
    <t>PLIPA2G180pp</t>
  </si>
  <si>
    <t>Phospholipase A2 (phosphatidylglycerol, n-C18:0) (periplasm)</t>
  </si>
  <si>
    <t xml:space="preserve">h2o_p + pg180_p  -&gt; h_p + ocdca_p + 1agpg180_p </t>
  </si>
  <si>
    <t>LPLIPAL1A161pp</t>
  </si>
  <si>
    <t>Lysophospholipase L1 (2-acylglycerophosphotidate, n-C16:1) (periplasm)</t>
  </si>
  <si>
    <t xml:space="preserve">h2o_p + 1hdec9eg3p_p  -&gt; h_p + glyc3p_p + hdcea_p </t>
  </si>
  <si>
    <t>LPLIPAL1A160pp</t>
  </si>
  <si>
    <t>Lysophospholipase L1 (2-acylglycerophosphotidate, n-C16:0) (periplasm)</t>
  </si>
  <si>
    <t xml:space="preserve">h2o_p + 1hdecg3p_p  -&gt; hdca_p + h_p + glyc3p_p </t>
  </si>
  <si>
    <t>PSCLYSt2pp</t>
  </si>
  <si>
    <t>Psicoselysine transport via proton symport (periplasm)</t>
  </si>
  <si>
    <t xml:space="preserve">h_p + psclys_p  -&gt; h_c + psclys_c </t>
  </si>
  <si>
    <t>LYSt2pp</t>
  </si>
  <si>
    <t>L-lysine transport in via proton symport (periplasm)</t>
  </si>
  <si>
    <t xml:space="preserve">h_p + lys__L_p  -&gt; h_c + lys__L_c </t>
  </si>
  <si>
    <t>GLYt2pp</t>
  </si>
  <si>
    <t>Glycine transport in via proton symport (periplasm)</t>
  </si>
  <si>
    <t xml:space="preserve">h_p + gly_p  -&gt; h_c + gly_c </t>
  </si>
  <si>
    <t>ALAt2pp</t>
  </si>
  <si>
    <t>L-alanine transport in via proton symport (periplasm)</t>
  </si>
  <si>
    <t xml:space="preserve">h_p + ala__L_p  -&gt; h_c + ala__L_c </t>
  </si>
  <si>
    <t>BALAt2pp</t>
  </si>
  <si>
    <t>Beta-alanine transport in via proton symport (periplasm)</t>
  </si>
  <si>
    <t xml:space="preserve">h_p + ala_B_p  -&gt; h_c + ala_B_c </t>
  </si>
  <si>
    <t>DALAt2pp</t>
  </si>
  <si>
    <t>D-alanine transport in via proton symport (periplasm)</t>
  </si>
  <si>
    <t xml:space="preserve">h_p + ala__D_p  -&gt; h_c + ala__D_c </t>
  </si>
  <si>
    <t>FE2tpp</t>
  </si>
  <si>
    <t>Iron (+2) transport in via permease (no H+)</t>
  </si>
  <si>
    <t xml:space="preserve">fe2_p  -&gt; fe2_c </t>
  </si>
  <si>
    <t>MN2tpp</t>
  </si>
  <si>
    <t>Manganese transport in via permease (no H+)</t>
  </si>
  <si>
    <t xml:space="preserve">mn2_p  -&gt; mn2_c </t>
  </si>
  <si>
    <t>MG2tpp</t>
  </si>
  <si>
    <t>Magnesium (+2) transport in via diffusion</t>
  </si>
  <si>
    <t xml:space="preserve">mg2_p  -&gt; mg2_c </t>
  </si>
  <si>
    <t>NI2t3pp</t>
  </si>
  <si>
    <t>Nickle (Ni+2) transport out via proton antiport (periplasm)</t>
  </si>
  <si>
    <t xml:space="preserve">ni2_c + h_p  -&gt; h_c + ni2_p </t>
  </si>
  <si>
    <t>PPAtex_f</t>
  </si>
  <si>
    <t>Propionate transport via diffusion</t>
  </si>
  <si>
    <t xml:space="preserve">ppa_e  -&gt; ppa_p </t>
  </si>
  <si>
    <t>GALCTNLt2pp</t>
  </si>
  <si>
    <t>L-galactonate transport via proton symport (periplasm)</t>
  </si>
  <si>
    <t xml:space="preserve">h_p + galctn__L_p  -&gt; h_c + galctn__L_c </t>
  </si>
  <si>
    <t>GALCTLO</t>
  </si>
  <si>
    <t>L-galactonate oxidoreductase</t>
  </si>
  <si>
    <t xml:space="preserve">nad_c + galctn__L_c  -&gt; h_c + tagur_c + nadh_c </t>
  </si>
  <si>
    <t>1.1.1.-</t>
  </si>
  <si>
    <t>PSCLYStex_f</t>
  </si>
  <si>
    <t>Psicoselysine transporter via diffusion (extracellular)</t>
  </si>
  <si>
    <t xml:space="preserve">psclys_e  -&gt; psclys_p </t>
  </si>
  <si>
    <t>THYMtex_f</t>
  </si>
  <si>
    <t>Thymine transport via diffusion (extracellular to periplasm)</t>
  </si>
  <si>
    <t xml:space="preserve">thym_e  -&gt; thym_p </t>
  </si>
  <si>
    <t>CU2tpp</t>
  </si>
  <si>
    <t>Copper transport in via permease (no H+)</t>
  </si>
  <si>
    <t xml:space="preserve">cu2_p  -&gt; cu2_c </t>
  </si>
  <si>
    <t>FE2t3pp</t>
  </si>
  <si>
    <t>Iron (Fe+2) transport out via proton antiport (periplasm)</t>
  </si>
  <si>
    <t xml:space="preserve">h_p + fe2_c  -&gt; h_c + fe2_p </t>
  </si>
  <si>
    <t>MN2t3pp</t>
  </si>
  <si>
    <t>Manganese (Mn+2) transport out via proton antiport (periplasm)</t>
  </si>
  <si>
    <t xml:space="preserve">mn2_c + h_p  -&gt; h_c + mn2_p </t>
  </si>
  <si>
    <t>CD2tpp</t>
  </si>
  <si>
    <t>Cadmium (+2) transport in via permease (no H+)</t>
  </si>
  <si>
    <t xml:space="preserve">cd2_p  -&gt; cd2_c </t>
  </si>
  <si>
    <t>THRA</t>
  </si>
  <si>
    <t>Threonine aldolase</t>
  </si>
  <si>
    <t xml:space="preserve">thr__L_c  -&gt; gly_c + acald_c </t>
  </si>
  <si>
    <t>XYLK2</t>
  </si>
  <si>
    <t>L-xylulokinase</t>
  </si>
  <si>
    <t xml:space="preserve">atp_c + xylu__L_c  -&gt; h_c + adp_c + xu5p__L_c </t>
  </si>
  <si>
    <t>GLDBRAN2</t>
  </si>
  <si>
    <t>Glycogen debranching enzyme (bglycogen -&gt; glycogen)</t>
  </si>
  <si>
    <t xml:space="preserve">bglycogen_c  -&gt; glycogen_c </t>
  </si>
  <si>
    <t>3.2.1.196</t>
  </si>
  <si>
    <t>CLt3_2pp</t>
  </si>
  <si>
    <t>Chloride transport out via proton antiport (2:1) (periplasm)</t>
  </si>
  <si>
    <t xml:space="preserve">h_c + 2 cl_p  -&gt; h_p + 2 cl_c </t>
  </si>
  <si>
    <t>POR5_f</t>
  </si>
  <si>
    <t>Pyruvate synthase</t>
  </si>
  <si>
    <t xml:space="preserve">2 flxso_c + pyr_c + coa_c  -&gt; h_c + 2 flxr_c + accoa_c + co2_c </t>
  </si>
  <si>
    <t>1.2.7.-</t>
  </si>
  <si>
    <t>HACD8_f</t>
  </si>
  <si>
    <t>3-hydroxyacyl-CoA dehydrogenase (3-oxooctadecanoyl-CoA), peroxisomal</t>
  </si>
  <si>
    <t xml:space="preserve">h_c + 3ohodcoa_c + nadh_c  -&gt; 3hodcoa_c + nad_c </t>
  </si>
  <si>
    <t>CTECOAI8_f</t>
  </si>
  <si>
    <t>3-cis-2-trans-enoyl-CoA isomerase</t>
  </si>
  <si>
    <t xml:space="preserve">odecoa_c  -&gt; od2coa_c </t>
  </si>
  <si>
    <t>5.3.3.8</t>
  </si>
  <si>
    <t>CTECOAI6_f</t>
  </si>
  <si>
    <t xml:space="preserve">tdecoa_c  -&gt; td2coa_c </t>
  </si>
  <si>
    <t>MALCOAMT</t>
  </si>
  <si>
    <t>Malonyl-CoA methyltransferase</t>
  </si>
  <si>
    <t xml:space="preserve">amet_c + malcoa_c  -&gt; malcoame_c + ahcys_c </t>
  </si>
  <si>
    <t>2.1.1.197</t>
  </si>
  <si>
    <t>OGMEACPS</t>
  </si>
  <si>
    <t>3-Oxo-glutaryl-[ACP] methyl ester synthase</t>
  </si>
  <si>
    <t xml:space="preserve">h_c + malcoame_c + malACP_c  -&gt; ogmeACP_c + coa_c + co2_c </t>
  </si>
  <si>
    <t>OGMEACPR</t>
  </si>
  <si>
    <t>3-Oxo-glutaryl-[ACP] methyl ester reductase</t>
  </si>
  <si>
    <t xml:space="preserve">h_c + ogmeACP_c + nadph_c  -&gt; hgmeACP_c + nadp_c </t>
  </si>
  <si>
    <t>OPMEACPS</t>
  </si>
  <si>
    <t>3-Oxo-pimeloyl-[ACP] methyl ester synthase</t>
  </si>
  <si>
    <t xml:space="preserve">h_c + gmeACP_c + malACP_c  -&gt; opmeACP_c + co2_c + ACP_c </t>
  </si>
  <si>
    <t>LIPAabctex</t>
  </si>
  <si>
    <t>Lipid A transport via ABC system (periplasm to extracellular)</t>
  </si>
  <si>
    <t xml:space="preserve">lipa_p + atp_c + h2o_c  -&gt; h_c + adp_c + pi_c + lipa_e </t>
  </si>
  <si>
    <t>DGUNC</t>
  </si>
  <si>
    <t>Diguanylate cyclase</t>
  </si>
  <si>
    <t xml:space="preserve">2 gtp_c  -&gt; cdigmp_c + 2 ppi_c </t>
  </si>
  <si>
    <t>2.7.7.65</t>
  </si>
  <si>
    <t>CDGUNPD</t>
  </si>
  <si>
    <t>3,5-cyclic-nucleotide phosphodiesterase</t>
  </si>
  <si>
    <t xml:space="preserve">cdigmp_c + h2o_c  -&gt; h_c + 5pg35pg_c </t>
  </si>
  <si>
    <t>LDGUNPD</t>
  </si>
  <si>
    <t>Linear diguanylate phosphodiesterase</t>
  </si>
  <si>
    <t xml:space="preserve">5pg35pg_c + h2o_c  -&gt; h_c + 2 gmp_c </t>
  </si>
  <si>
    <t>MPTAT</t>
  </si>
  <si>
    <t>Molybdopterin adenylyltransferase</t>
  </si>
  <si>
    <t xml:space="preserve">h_c + mpt_c + atp_c  -&gt; mptamp_c + ppi_c </t>
  </si>
  <si>
    <t>2.7.7.75</t>
  </si>
  <si>
    <t>MOADSUx</t>
  </si>
  <si>
    <t>MoaD sulfuration (nadh, assumed)</t>
  </si>
  <si>
    <t xml:space="preserve">iscssh_c + moadamp_c + nadh_c  -&gt; nad_c + moadcosh_c + iscs_c + amp_c </t>
  </si>
  <si>
    <t>CMtpp</t>
  </si>
  <si>
    <t>Chloramphenicol transport via TolC system</t>
  </si>
  <si>
    <t xml:space="preserve">h_p + cm_p  -&gt; h_c + cm_e </t>
  </si>
  <si>
    <t>FUSAtpp</t>
  </si>
  <si>
    <t>Fusidic acid transport via TolC system</t>
  </si>
  <si>
    <t xml:space="preserve">fusa_p + h_p  -&gt; h_c + fusa_e </t>
  </si>
  <si>
    <t>MINCYCtex_f</t>
  </si>
  <si>
    <t>Minocycline transport via diffusion (extracellular to periplasm)</t>
  </si>
  <si>
    <t xml:space="preserve">mincyc_e  -&gt; mincyc_p </t>
  </si>
  <si>
    <t>MINCYCtpp</t>
  </si>
  <si>
    <t>Minocycline transport via TolC system</t>
  </si>
  <si>
    <t xml:space="preserve">h_p + mincyc_p  -&gt; h_c + mincyc_e </t>
  </si>
  <si>
    <t>DOXRBCNtex_f</t>
  </si>
  <si>
    <t>Doxorubicin transport via diffusion (extracellular to periplasm)</t>
  </si>
  <si>
    <t xml:space="preserve">doxrbcn_e  -&gt; doxrbcn_p </t>
  </si>
  <si>
    <t>DOXRBCNtpp</t>
  </si>
  <si>
    <t>Doxorubicin transport via TolC system</t>
  </si>
  <si>
    <t xml:space="preserve">h_p + doxrbcn_p  -&gt; h_c + doxrbcn_e </t>
  </si>
  <si>
    <t>REPHACCOAI_f</t>
  </si>
  <si>
    <t>Ring 1,2-epoxyphenylacetyl-CoA isomerase (oxepin-CoA forming)</t>
  </si>
  <si>
    <t xml:space="preserve">rephaccoa_c  -&gt; 2oxpaccoa_c </t>
  </si>
  <si>
    <t>5.3.3.18</t>
  </si>
  <si>
    <t>ACPPAT141</t>
  </si>
  <si>
    <t>Acyl-(acyl carrier protein):phosphate acyltransferase (C14:1)</t>
  </si>
  <si>
    <t xml:space="preserve">h_c + tdeACP_c + pi_c  -&gt; ttdceap_c + ACP_c </t>
  </si>
  <si>
    <t>2.3.1.n2</t>
  </si>
  <si>
    <t>ACPPAT161</t>
  </si>
  <si>
    <t>Acyl-(acyl carrier protein):phosphate acyltransferase (C16:1)</t>
  </si>
  <si>
    <t xml:space="preserve">h_c + hdeACP_c + pi_c  -&gt; hdceap_c + ACP_c </t>
  </si>
  <si>
    <t>ACPPAT180</t>
  </si>
  <si>
    <t>Acyl-(acyl carrier protein):phosphate acyltransferase (C18:0)</t>
  </si>
  <si>
    <t xml:space="preserve">h_c + pi_c + ocdcaACP_c  -&gt; ocdcap_c + ACP_c </t>
  </si>
  <si>
    <t>APG3PAT160</t>
  </si>
  <si>
    <t>Acyl-phosphate:glycerol-3-phosphate acyltransferase (C16:0)</t>
  </si>
  <si>
    <t xml:space="preserve">glyc3p_c + hdcap_c  -&gt; h_c + 1hdecg3p_c + pi_c </t>
  </si>
  <si>
    <t>APG3PAT161</t>
  </si>
  <si>
    <t>Acyl-phosphate:glycerol-3-phosphate acyltransferase (C16:1)</t>
  </si>
  <si>
    <t xml:space="preserve">glyc3p_c + hdceap_c  -&gt; h_c + pi_c + 1hdec9eg3p_c </t>
  </si>
  <si>
    <t>APG3PAT180</t>
  </si>
  <si>
    <t>Acyl-phosphate:glycerol-3-phosphate acyltransferase (C18:0)</t>
  </si>
  <si>
    <t xml:space="preserve">glyc3p_c + ocdcap_c  -&gt; h_c + pi_c + 1odecg3p_c </t>
  </si>
  <si>
    <t>ICYSDS</t>
  </si>
  <si>
    <t>ISC Cysteine desulfuration</t>
  </si>
  <si>
    <t xml:space="preserve">cys__L_c + iscs_c  -&gt; iscssh_c + ala__L_c </t>
  </si>
  <si>
    <t>I4FE4SR</t>
  </si>
  <si>
    <t>ISC [4Fe-4S] Reduction</t>
  </si>
  <si>
    <t xml:space="preserve">2 h_c + fadh2_c + iscu_2fe2s2_c  -&gt; iscu_4fe4s_c + fad_c </t>
  </si>
  <si>
    <t>S2FE2ST</t>
  </si>
  <si>
    <t>SUF [2Fe-2S] Transfer</t>
  </si>
  <si>
    <t xml:space="preserve">4 h_c + sufbcd_2fe2s_c  -&gt; sufbcd_c + 2fe2s_c </t>
  </si>
  <si>
    <t>BMOCOS</t>
  </si>
  <si>
    <t>Bis-molybdenum cofactor synthase</t>
  </si>
  <si>
    <t xml:space="preserve">mptamp_c + moco_c  -&gt; bmoco_c + cu2_c + amp_c </t>
  </si>
  <si>
    <t>2.10.1.1</t>
  </si>
  <si>
    <t>BWCOS</t>
  </si>
  <si>
    <t>Tungsten bispterin cofactor synthase</t>
  </si>
  <si>
    <t xml:space="preserve">wco_c + mptamp_c  -&gt; bwco_c + cu2_c + amp_c </t>
  </si>
  <si>
    <t>BWCOGDS1</t>
  </si>
  <si>
    <t>Tungsten bispterin guanine dinucleotide synthase (single GDP)</t>
  </si>
  <si>
    <t xml:space="preserve">h_c + bwco_c + gtp_c  -&gt; ppi_c + bwco1gdp_c </t>
  </si>
  <si>
    <t>2.7.7.77</t>
  </si>
  <si>
    <t>BWCOGDS2</t>
  </si>
  <si>
    <t>Tungsten bispterin guanine dinucleotide synthase</t>
  </si>
  <si>
    <t xml:space="preserve">h_c + bwco1gdp_c + gtp_c  -&gt; bwcogdp_c + ppi_c </t>
  </si>
  <si>
    <t>DHNPTE_f</t>
  </si>
  <si>
    <t>Dihydroneopterin epimerase</t>
  </si>
  <si>
    <t xml:space="preserve">dhnpt_c  -&gt; dhmpt_c </t>
  </si>
  <si>
    <t>4.1.2.25</t>
  </si>
  <si>
    <t>DHMPTR</t>
  </si>
  <si>
    <t>Dihydromonapterin reductase</t>
  </si>
  <si>
    <t xml:space="preserve">h_c + dhmpt_c + nadph_c  -&gt; thmnp_c + nadp_c </t>
  </si>
  <si>
    <t>NOVBCNtpp</t>
  </si>
  <si>
    <t>Novobiocin transport via TolC system</t>
  </si>
  <si>
    <t xml:space="preserve">novbcn_p + h_p  -&gt; h_c + novbcn_e </t>
  </si>
  <si>
    <t>CMtex_f</t>
  </si>
  <si>
    <t>Chloramphenicol transport via diffusion (extracellular to periplasm)</t>
  </si>
  <si>
    <t xml:space="preserve">cm_e  -&gt; cm_p </t>
  </si>
  <si>
    <t>LALALGLUtex_f</t>
  </si>
  <si>
    <t>L-alanyl-L-glutamate transport via diffusion (extracellular to periplasm)</t>
  </si>
  <si>
    <t xml:space="preserve">LalaLglu_e  -&gt; LalaLglu_p </t>
  </si>
  <si>
    <t>LALADGLUtpp</t>
  </si>
  <si>
    <t>L-alanyl-D-glutamate transport in via proton symport (periplasm)</t>
  </si>
  <si>
    <t xml:space="preserve">h_p + LalaDglu_p  -&gt; h_c + LalaDglu_c </t>
  </si>
  <si>
    <t>I2FE2SS</t>
  </si>
  <si>
    <t>ISC [2Fe-2S] Synthesis</t>
  </si>
  <si>
    <t xml:space="preserve">2 iscssh_c + fadh2_c + 2 fe2_c + iscu_c  -&gt; 6 h_c + iscu_2fe2s_c + 2 iscs_c + fad_c </t>
  </si>
  <si>
    <t>I2FE2ST</t>
  </si>
  <si>
    <t>ISC [2Fe-2S] Transfer</t>
  </si>
  <si>
    <t xml:space="preserve">4 h_c + iscu_2fe2s_c  -&gt; 2fe2s_c + iscu_c </t>
  </si>
  <si>
    <t>I2FE2SS2</t>
  </si>
  <si>
    <t>ISC [2Fe-2S] Synthesis II</t>
  </si>
  <si>
    <t xml:space="preserve">2 iscssh_c + iscu_2fe2s_c + fadh2_c + 2 fe2_c  -&gt; 6 h_c + iscu_2fe2s2_c + 2 iscs_c + fad_c </t>
  </si>
  <si>
    <t>I4FE4ST</t>
  </si>
  <si>
    <t>ISC [4Fe-4S] Transfer</t>
  </si>
  <si>
    <t xml:space="preserve">4 h_c + iscu_4fe4s_c  -&gt; iscu_c + 4fe4s_c </t>
  </si>
  <si>
    <t>S4FE4ST</t>
  </si>
  <si>
    <t>SUF [4Fe-4S] Transfer</t>
  </si>
  <si>
    <t xml:space="preserve">4 h_c + sufbcd_4fe4s_c  -&gt; sufbcd_c + 4fe4s_c </t>
  </si>
  <si>
    <t>S2FE2SS2</t>
  </si>
  <si>
    <t>SUF [2Fe-2S] Synthesis II</t>
  </si>
  <si>
    <t xml:space="preserve">sufbcd_2fe2s_c + fadh2_c + 2 sufsesh_c + atp_c + 2 fe2_c + h2o_c  -&gt; 7 h_c + adp_c + pi_c + 2 sufse_c + sufbcd_2fe2s2_c + fad_c </t>
  </si>
  <si>
    <t>2.8.1.7, 4.4.1.16</t>
  </si>
  <si>
    <t>BTS5</t>
  </si>
  <si>
    <t>Biotin synthase</t>
  </si>
  <si>
    <t xml:space="preserve">amet_c + 2fe2s_c + dtbt_c  -&gt; h_c + met__L_c + dad_5_c + 2fe1s_c + btn_c </t>
  </si>
  <si>
    <t>2.8.1.6</t>
  </si>
  <si>
    <t>5MTRtex_f</t>
  </si>
  <si>
    <t>5-Methylthio-D-ribose transport via proton diffusion (extracellular to periplasm)</t>
  </si>
  <si>
    <t xml:space="preserve">5mtr_e  -&gt; 5mtr_p </t>
  </si>
  <si>
    <t>LALADGLUtex_f</t>
  </si>
  <si>
    <t>L-alanyl-D-glutamate transport via diffusion (extracellular to periplasm)</t>
  </si>
  <si>
    <t xml:space="preserve">LalaDglu_e  -&gt; LalaDglu_p </t>
  </si>
  <si>
    <t>LALALGLUtpp</t>
  </si>
  <si>
    <t>L-alanyl-L-glutamate transport in via proton symport (periplasm)</t>
  </si>
  <si>
    <t xml:space="preserve">h_p + LalaLglu_p  -&gt; h_c + LalaLglu_c </t>
  </si>
  <si>
    <t>3AMACHYD</t>
  </si>
  <si>
    <t>3-aminoacrylate hydrolase</t>
  </si>
  <si>
    <t xml:space="preserve">h_c + h2o_c + 3amac_c  -&gt; nh4_c + msa_c </t>
  </si>
  <si>
    <t>3.5.1.-</t>
  </si>
  <si>
    <t>3HPPtex_f</t>
  </si>
  <si>
    <t>3-hydroxypropionate transport via diffusion (extracellular to periplasm)</t>
  </si>
  <si>
    <t xml:space="preserve">3hpp_e  -&gt; 3hpp_p </t>
  </si>
  <si>
    <t>CCGS</t>
  </si>
  <si>
    <t>7-cyano-7-carbaguanine synthase</t>
  </si>
  <si>
    <t xml:space="preserve">nh4_c + atp_c + cdg_c  -&gt; h_c + preq0_c + adp_c + pi_c + h2o_c </t>
  </si>
  <si>
    <t>6.3.4.20</t>
  </si>
  <si>
    <t>CDGR</t>
  </si>
  <si>
    <t>7-cyano-7-deazaguanine reductase</t>
  </si>
  <si>
    <t xml:space="preserve">3 h_c + preq0_c + 2 nadph_c  -&gt; preq1_c + 2 nadp_c </t>
  </si>
  <si>
    <t>1.7.1.13</t>
  </si>
  <si>
    <t>MSAR</t>
  </si>
  <si>
    <t>Malonic semialdehyde reductase</t>
  </si>
  <si>
    <t xml:space="preserve">h_c + msa_c + nadph_c  -&gt; nadp_c + 3hpp_c </t>
  </si>
  <si>
    <t>1.1.1.298</t>
  </si>
  <si>
    <t>ACPPAT120</t>
  </si>
  <si>
    <t>Acyl-(acyl carrier protein):phosphate acyltransferase (C12:0)</t>
  </si>
  <si>
    <t xml:space="preserve">h_c + pi_c + ddcaACP_c  -&gt; ddcap_c + ACP_c </t>
  </si>
  <si>
    <t>CPH4S</t>
  </si>
  <si>
    <t>6-carboxy-5,6,7,8-tetrahydropterin synthase</t>
  </si>
  <si>
    <t xml:space="preserve">h2o_c + ahdt_c  -&gt; h_c + pppi_c + cph4_c + acald_c </t>
  </si>
  <si>
    <t>4.1.2.50</t>
  </si>
  <si>
    <t>SHCHCS3</t>
  </si>
  <si>
    <t>2-succinyl-6-hydroxy-2,4-cyclohexadiene 1-carboxylate synthase</t>
  </si>
  <si>
    <t xml:space="preserve">2sephchc_c  -&gt; 2shchc_c + pyr_c </t>
  </si>
  <si>
    <t>4.2.99.20</t>
  </si>
  <si>
    <t>URACPAH</t>
  </si>
  <si>
    <t>Peroxyureidoacrylate hydrolase</t>
  </si>
  <si>
    <t xml:space="preserve">uracp_c + h2o_c  -&gt; h_c + cbm_c + poaac_c </t>
  </si>
  <si>
    <t>3.5.1.110</t>
  </si>
  <si>
    <t>POAACR</t>
  </si>
  <si>
    <t>Peroxyaminoacrylate reductase</t>
  </si>
  <si>
    <t xml:space="preserve">poaac_c + nadh_c  -&gt; nad_c + h2o_c + 3amac_c </t>
  </si>
  <si>
    <t>ACPPAT160</t>
  </si>
  <si>
    <t>Acyl-(acyl carrier protein):phosphate acyltransferase (C16:0)</t>
  </si>
  <si>
    <t xml:space="preserve">h_c + pi_c + palmACP_c  -&gt; hdcap_c + ACP_c </t>
  </si>
  <si>
    <t>ACPPAT181</t>
  </si>
  <si>
    <t>Acyl-(acyl carrier protein):phosphate acyltransferase (C18:1)</t>
  </si>
  <si>
    <t xml:space="preserve">h_c + pi_c + octeACP_c  -&gt; ocdceap_c + ACP_c </t>
  </si>
  <si>
    <t>APH141</t>
  </si>
  <si>
    <t>Acylphosphatase (C14:1)</t>
  </si>
  <si>
    <t xml:space="preserve">ttdceap_c + h2o_c  -&gt; 2 h_c + pi_c + ttdcea_c </t>
  </si>
  <si>
    <t>3.6.1.7</t>
  </si>
  <si>
    <t>APH161</t>
  </si>
  <si>
    <t>Acylphosphatase (C16:1)</t>
  </si>
  <si>
    <t xml:space="preserve">hdceap_c + h2o_c  -&gt; 2 h_c + hdcea_c + pi_c </t>
  </si>
  <si>
    <t>APH180</t>
  </si>
  <si>
    <t>Acylphosphatase (C18:0)</t>
  </si>
  <si>
    <t xml:space="preserve">h2o_c + ocdcap_c  -&gt; 2 h_c + ocdca_c + pi_c </t>
  </si>
  <si>
    <t>APH181</t>
  </si>
  <si>
    <t>Acylphosphatase (C18:1)</t>
  </si>
  <si>
    <t xml:space="preserve">h2o_c + ocdceap_c  -&gt; 2 h_c + ocdcea_c + pi_c </t>
  </si>
  <si>
    <t>GTHPi</t>
  </si>
  <si>
    <t>Glutathione peridoxase</t>
  </si>
  <si>
    <t xml:space="preserve">2 gthrd_c + h2o2_c  -&gt; 2 h2o_c + gthox_c </t>
  </si>
  <si>
    <t>1.11.1.9</t>
  </si>
  <si>
    <t>SEPHCHCS</t>
  </si>
  <si>
    <t>2-succinyl-5-enolpyruvyl-6-hydroxy-3-cyclohexene-1-carboxylate synthase</t>
  </si>
  <si>
    <t xml:space="preserve">h_c + akg_c + ichor_c  -&gt; 2sephchc_c + co2_c </t>
  </si>
  <si>
    <t>2.2.1.9</t>
  </si>
  <si>
    <t>DHNCOAS</t>
  </si>
  <si>
    <t>1,4-dihydroxy-2-napthoyl-CoA synthase</t>
  </si>
  <si>
    <t xml:space="preserve">h_c + sbzcoa_c  -&gt; h2o_c + 14dhncoa_c </t>
  </si>
  <si>
    <t>4.1.3.36</t>
  </si>
  <si>
    <t>DHNCOAT</t>
  </si>
  <si>
    <t>1,4-dihydroxy-2-napthoyl-CoA thioesterase</t>
  </si>
  <si>
    <t xml:space="preserve">h2o_c + 14dhncoa_c  -&gt; h_c + dhna_c + coa_c </t>
  </si>
  <si>
    <t>3.1.2.28</t>
  </si>
  <si>
    <t>I2FE2SR</t>
  </si>
  <si>
    <t>ISC [2Fe-2S] regeneration</t>
  </si>
  <si>
    <t xml:space="preserve">iscssh_c + 2fe1s_c + iscu_c  -&gt; 4 h_c + iscu_2fe2s_c + iscs_c </t>
  </si>
  <si>
    <t>TYRL</t>
  </si>
  <si>
    <t>Tyrosine lyase</t>
  </si>
  <si>
    <t xml:space="preserve">amet_c + tyr__L_c + nadph_c  -&gt; h_c + met__L_c + 4crsol_c + dad_5_c + nadp_c + dhgly_c </t>
  </si>
  <si>
    <t>2.8.1.10</t>
  </si>
  <si>
    <t>THZPSN3</t>
  </si>
  <si>
    <t>Thiazole phosphate synthesis</t>
  </si>
  <si>
    <t xml:space="preserve">h_c + iscssh_c + atp_c + dxyl5p_c + dhgly_c + nadph_c  -&gt; ppi_c + nadp_c + 2 h2o_c + 4mpetz_c + iscs_c + amp_c + co2_c </t>
  </si>
  <si>
    <t>APG3PAT120</t>
  </si>
  <si>
    <t>Acyl-phosphate:glycerol-3-phosphate acyltransferase (C12:0)</t>
  </si>
  <si>
    <t xml:space="preserve">glyc3p_c + ddcap_c  -&gt; h_c + pi_c + 1ddecg3p_c </t>
  </si>
  <si>
    <t>APH120</t>
  </si>
  <si>
    <t>Acylphosphatase (C12:0)</t>
  </si>
  <si>
    <t xml:space="preserve">ddcap_c + h2o_c  -&gt; 2 h_c + pi_c + ddca_c </t>
  </si>
  <si>
    <t>MOCDS</t>
  </si>
  <si>
    <t>Molybdopterin cytidine dinucleotide synthase</t>
  </si>
  <si>
    <t xml:space="preserve">h_c + ctp_c + moco_c  -&gt; ppi_c + mococdp_c </t>
  </si>
  <si>
    <t>2.7.7.76</t>
  </si>
  <si>
    <t>FUSAtex_f</t>
  </si>
  <si>
    <t>Fusidic acid transport via diffusion (extracellular to periplasm)</t>
  </si>
  <si>
    <t xml:space="preserve">fusa_e  -&gt; fusa_p </t>
  </si>
  <si>
    <t>QUIN2tex_f</t>
  </si>
  <si>
    <t>Quinate transport via diffusion (extracellular to periplasm)</t>
  </si>
  <si>
    <t xml:space="preserve">quin_e  -&gt; quin_p </t>
  </si>
  <si>
    <t>FORCT_f</t>
  </si>
  <si>
    <t>Formyl-CoA Transferase</t>
  </si>
  <si>
    <t xml:space="preserve">oxa_c + forcoa_c  -&gt; oxalcoa_c + for_c </t>
  </si>
  <si>
    <t>2.8.3.16</t>
  </si>
  <si>
    <t>PACCOAE</t>
  </si>
  <si>
    <t>Ring 1,2-phenylacetyl-CoA epoxidase (NADPH)</t>
  </si>
  <si>
    <t xml:space="preserve">h_c + phaccoa_c + o2_c + nadph_c  -&gt; nadp_c + h2o_c + rephaccoa_c </t>
  </si>
  <si>
    <t>1.14.13.149</t>
  </si>
  <si>
    <t>OXDHCOAT</t>
  </si>
  <si>
    <t>3-oxo-5,6-dehydrosuberyl-CoA thiolase</t>
  </si>
  <si>
    <t xml:space="preserve">3oxdhscoa_c + coa_c  -&gt; accoa_c + 23dhacoa_c </t>
  </si>
  <si>
    <t>2.3.1.174</t>
  </si>
  <si>
    <t>HADPCOADH3_f</t>
  </si>
  <si>
    <t>3-hydroxyadipyl-CoA dehydrogenase (NAD+)</t>
  </si>
  <si>
    <t xml:space="preserve">nad_c + 3hadpcoa_c  -&gt; h_c + oxadpcoa_c + nadh_c </t>
  </si>
  <si>
    <t>O16A4COLIPAabctex</t>
  </si>
  <si>
    <t>O16 antigen (x4) core oligosaccharide lipid A transport via ABC system (periplasm to extracellular)</t>
  </si>
  <si>
    <t xml:space="preserve">atp_c + h2o_c + o16a4colipa_p  -&gt; h_c + o16a4colipa_e + adp_c + pi_c </t>
  </si>
  <si>
    <t>COLIPAabctex</t>
  </si>
  <si>
    <t>Core oligosaccharide lipid A transport via ABC system (periplasm to extracellular)</t>
  </si>
  <si>
    <t xml:space="preserve">atp_c + colipa_p + h2o_c  -&gt; h_c + adp_c + pi_c + colipa_e </t>
  </si>
  <si>
    <t>ENLIPAabctex</t>
  </si>
  <si>
    <t>Phosphoethanolamine lipid A transport via ABC system (periplasm to extracellular)</t>
  </si>
  <si>
    <t xml:space="preserve">atp_c + enlipa_p + h2o_c  -&gt; h_c + adp_c + pi_c + enlipa_e </t>
  </si>
  <si>
    <t>PYROX</t>
  </si>
  <si>
    <t>Pyrimidine oxygenase</t>
  </si>
  <si>
    <t xml:space="preserve">h_c + o2_c + ura_c + nadh_c  -&gt; uracp_c + nad_c </t>
  </si>
  <si>
    <t>1.5.1.42</t>
  </si>
  <si>
    <t>BMOGDS1</t>
  </si>
  <si>
    <t>Bis-molybdopterin guanine dinucleotide synthase (single GDP)</t>
  </si>
  <si>
    <t xml:space="preserve">h_c + bmoco_c + gtp_c  -&gt; bmoco1gdp_c + ppi_c </t>
  </si>
  <si>
    <t>MPTS</t>
  </si>
  <si>
    <t>Molybdopterin synthase</t>
  </si>
  <si>
    <t xml:space="preserve">cpmp_c + cu2_c + 2 moadcosh_c  -&gt; 5 h_c + mpt_c + 2 moadcoo_c </t>
  </si>
  <si>
    <t>2.8.1.12</t>
  </si>
  <si>
    <t>MOCOS</t>
  </si>
  <si>
    <t>Molybdenum cofactor synthase</t>
  </si>
  <si>
    <t xml:space="preserve">2 h_c + mptamp_c + mobd_c  -&gt; h2o_c + cu2_c + moco_c + amp_c </t>
  </si>
  <si>
    <t>BMOGDS2</t>
  </si>
  <si>
    <t>Bis-molybdopterin guanine dinucleotide synthase</t>
  </si>
  <si>
    <t xml:space="preserve">h_c + bmoco1gdp_c + gtp_c  -&gt; bmocogdp_c + ppi_c </t>
  </si>
  <si>
    <t>S2FE2SR</t>
  </si>
  <si>
    <t>SUF [2Fe-2S] regeneration</t>
  </si>
  <si>
    <t xml:space="preserve">sufsesh_c + atp_c + h2o_c + 2fe1s_c + sufbcd_c  -&gt; 5 h_c + sufbcd_2fe2s_c + adp_c + pi_c + sufse_c </t>
  </si>
  <si>
    <t>ACACT8r_f</t>
  </si>
  <si>
    <t>Acetyl-CoA acyltransferase (hexadecanoyl-CoA), (r)</t>
  </si>
  <si>
    <t xml:space="preserve">3ohodcoa_c + coa_c  -&gt; accoa_c + pmtcoa_c </t>
  </si>
  <si>
    <t>CTECOAI7_f</t>
  </si>
  <si>
    <t xml:space="preserve">hdcoa_c  -&gt; hdd2coa_c </t>
  </si>
  <si>
    <t>CLIPAabctex</t>
  </si>
  <si>
    <t>Cold lipid A transport via ABC system (periplasm to extracellular)</t>
  </si>
  <si>
    <t xml:space="preserve">lipa_cold_p + atp_c + h2o_c  -&gt; h_c + adp_c + pi_c + lipa_cold_e </t>
  </si>
  <si>
    <t>K2L4Aabctex</t>
  </si>
  <si>
    <t>KDO(2)-lipid IV A transport via ABC system (periplasm to extracellular)</t>
  </si>
  <si>
    <t xml:space="preserve">atp_c + kdo2lipid4_p + h2o_c  -&gt; h_c + adp_c + pi_c + kdo2lipid4_e </t>
  </si>
  <si>
    <t>FDH4pp</t>
  </si>
  <si>
    <t>Formate dehydrogenase (quinone-8) (periplasm)</t>
  </si>
  <si>
    <t xml:space="preserve">2 h_c + q8_c + for_p  -&gt; h_p + q8h2_c + co2_p </t>
  </si>
  <si>
    <t>1.17.1.9</t>
  </si>
  <si>
    <t>FDH5pp</t>
  </si>
  <si>
    <t>Formate Dehydrogenase (menaquinone-8) (periplasm)</t>
  </si>
  <si>
    <t xml:space="preserve">2 h_c + for_p + mqn8_c  -&gt; h_p + co2_p + mql8_c </t>
  </si>
  <si>
    <t>ACPPAT140</t>
  </si>
  <si>
    <t>Acyl-(acyl carrier protein):phosphate acyltransferase (C14:0)</t>
  </si>
  <si>
    <t xml:space="preserve">h_c + pi_c + myrsACP_c  -&gt; ttdcap_c + ACP_c </t>
  </si>
  <si>
    <t>APG3PAT140</t>
  </si>
  <si>
    <t>Acyl-phosphate:glycerol-3-phosphate acyltransferase (C14:0)</t>
  </si>
  <si>
    <t xml:space="preserve">glyc3p_c + ttdcap_c  -&gt; h_c + pi_c + 1tdecg3p_c </t>
  </si>
  <si>
    <t>APG3PAT141</t>
  </si>
  <si>
    <t>Acyl-phosphate:glycerol-3-phosphate acyltransferase (C14:1)</t>
  </si>
  <si>
    <t xml:space="preserve">glyc3p_c + ttdceap_c  -&gt; h_c + pi_c + 1tdec7eg3p_c </t>
  </si>
  <si>
    <t>APG3PAT181</t>
  </si>
  <si>
    <t>Acyl-phosphate:glycerol-3-phosphate acyltransferase (C18:1)</t>
  </si>
  <si>
    <t xml:space="preserve">glyc3p_c + ocdceap_c  -&gt; h_c + 1odec11eg3p_c + pi_c </t>
  </si>
  <si>
    <t>APH140</t>
  </si>
  <si>
    <t>Acylphosphatase (C14:0)</t>
  </si>
  <si>
    <t xml:space="preserve">ttdcap_c + h2o_c  -&gt; 2 h_c + pi_c + ttdca_c </t>
  </si>
  <si>
    <t>APH160</t>
  </si>
  <si>
    <t>Acylphosphatase (C16:0)</t>
  </si>
  <si>
    <t xml:space="preserve">hdcap_c + h2o_c  -&gt; 2 h_c + pi_c + hdca_c </t>
  </si>
  <si>
    <t>OPMEACPD</t>
  </si>
  <si>
    <t>3-Oxo-pimeloyl-[ACP] methyl ester dehydratase</t>
  </si>
  <si>
    <t xml:space="preserve">hpmeACP_c  -&gt; epmeACP_c + h2o_c </t>
  </si>
  <si>
    <t>EPMEACPR</t>
  </si>
  <si>
    <t>Enoylpimeloyl-[ACP] methyl ester reductase</t>
  </si>
  <si>
    <t xml:space="preserve">h_c + epmeACP_c + nadph_c  -&gt; pmeACP_c + nadp_c </t>
  </si>
  <si>
    <t>AOXSr2</t>
  </si>
  <si>
    <t>8-amino-7-oxononanoate synthase</t>
  </si>
  <si>
    <t xml:space="preserve">pimACP_c + ala__L_c  -&gt; 8aonn_c + co2_c + ACP_c </t>
  </si>
  <si>
    <t>2.3.1.47</t>
  </si>
  <si>
    <t>SCYSDS</t>
  </si>
  <si>
    <t>SUF Cysteine desulfuration</t>
  </si>
  <si>
    <t xml:space="preserve">cys__L_c + sufse_c  -&gt; sufsesh_c + ala__L_c </t>
  </si>
  <si>
    <t>S2FE2SS</t>
  </si>
  <si>
    <t>SUF [2Fe-2S] Synthesis</t>
  </si>
  <si>
    <t xml:space="preserve">fadh2_c + 2 sufsesh_c + atp_c + 2 fe2_c + h2o_c + sufbcd_c  -&gt; 7 h_c + sufbcd_2fe2s_c + adp_c + pi_c + 2 sufse_c + fad_c </t>
  </si>
  <si>
    <t>S4FE4SR</t>
  </si>
  <si>
    <t>SUF [4Fe-4S] Reduction</t>
  </si>
  <si>
    <t xml:space="preserve">2 h_c + fadh2_c + sufbcd_2fe2s2_c  -&gt; sufbcd_4fe4s_c + fad_c </t>
  </si>
  <si>
    <t>SELtex_f</t>
  </si>
  <si>
    <t>Selenate transport via diffusion (extracellular to periplasm)</t>
  </si>
  <si>
    <t xml:space="preserve">sel_e  -&gt; sel_p </t>
  </si>
  <si>
    <t>SELR</t>
  </si>
  <si>
    <t>Selenate reductase</t>
  </si>
  <si>
    <t xml:space="preserve">mql8_c + sel_c  -&gt; slnt_c + h2o_c + mqn8_c </t>
  </si>
  <si>
    <t>1.8.99.-</t>
  </si>
  <si>
    <t>OGMEACPD</t>
  </si>
  <si>
    <t>3-Oxo-glutaryl-[ACP] methyl ester dehydratase</t>
  </si>
  <si>
    <t xml:space="preserve">hgmeACP_c  -&gt; egmeACP_c + h2o_c </t>
  </si>
  <si>
    <t>EGMEACPR</t>
  </si>
  <si>
    <t>Enoylglutaryl-[ACP] methyl ester reductase</t>
  </si>
  <si>
    <t xml:space="preserve">h_c + egmeACP_c + nadph_c  -&gt; gmeACP_c + nadp_c </t>
  </si>
  <si>
    <t>OPMEACPR</t>
  </si>
  <si>
    <t>3-Oxo-pimeloyl-[ACP] methyl ester reductase</t>
  </si>
  <si>
    <t xml:space="preserve">h_c + opmeACP_c + nadph_c  -&gt; hpmeACP_c + nadp_c </t>
  </si>
  <si>
    <t>PMEACPE</t>
  </si>
  <si>
    <t>Pimeloyl-[ACP] methyl ester esterase</t>
  </si>
  <si>
    <t xml:space="preserve">pmeACP_c + h2o_c  -&gt; pimACP_c + meoh_c </t>
  </si>
  <si>
    <t>3.1.1.85</t>
  </si>
  <si>
    <t>MEOHtex_f</t>
  </si>
  <si>
    <t>Methanol transport via diffusion (extracellular to periplasm)</t>
  </si>
  <si>
    <t xml:space="preserve">meoh_e  -&gt; meoh_p </t>
  </si>
  <si>
    <t>MECDPDH5</t>
  </si>
  <si>
    <t>2C-methyl-D-erythritol 2,4 cyclodiphosphate dehydratase</t>
  </si>
  <si>
    <t xml:space="preserve">h_c + 2 flxr_c + 2mecdp_c  -&gt; h2o_c + 2 flxso_c + h2mb4p_c </t>
  </si>
  <si>
    <t>1.17.7.3</t>
  </si>
  <si>
    <t>RNTR1c2</t>
  </si>
  <si>
    <t>Ribonucleoside-triphosphate reductase (ATP) (flavodoxin)</t>
  </si>
  <si>
    <t xml:space="preserve">2 h_c + 2 flxr_c + atp_c  -&gt; datp_c + h2o_c + 2 flxso_c </t>
  </si>
  <si>
    <t>1.1.98.6</t>
  </si>
  <si>
    <t>RNTR2c2</t>
  </si>
  <si>
    <t>Ribonucleoside-triphosphate reductase (GTP) (flavodoxin)</t>
  </si>
  <si>
    <t xml:space="preserve">2 h_c + 2 flxr_c + gtp_c  -&gt; h2o_c + 2 flxso_c + dgtp_c </t>
  </si>
  <si>
    <t>RNTR3c2</t>
  </si>
  <si>
    <t>Ribonucleoside-triphosphate reductase (CTP) (flavodoxin)</t>
  </si>
  <si>
    <t xml:space="preserve">2 h_c + 2 flxr_c + ctp_c  -&gt; dctp_c + h2o_c + 2 flxso_c </t>
  </si>
  <si>
    <t>RNTR4c2</t>
  </si>
  <si>
    <t>Ribonucleoside-triphosphate reductase (UTP) (flavodoxin)</t>
  </si>
  <si>
    <t xml:space="preserve">2 h_c + 2 flxr_c + utp_c  -&gt; dutp_c + h2o_c + 2 flxso_c </t>
  </si>
  <si>
    <t>FLDR2</t>
  </si>
  <si>
    <t>Flavodoxin reductase (NADPH)</t>
  </si>
  <si>
    <t xml:space="preserve">2 flxso_c + nadph_c  -&gt; h_c + 2 flxr_c + nadp_c </t>
  </si>
  <si>
    <t>1.18.1.2, 1.19.1.1</t>
  </si>
  <si>
    <t>TTRCYCtex_f</t>
  </si>
  <si>
    <t>Tetracycline transport via diffusion (extracellular to periplasm)</t>
  </si>
  <si>
    <t xml:space="preserve">ttrcyc_e  -&gt; ttrcyc_p </t>
  </si>
  <si>
    <t>TTRCYCtpp</t>
  </si>
  <si>
    <t>Tetracycline transport via TolC system</t>
  </si>
  <si>
    <t xml:space="preserve">h_p + ttrcyc_p  -&gt; h_c + ttrcyc_e </t>
  </si>
  <si>
    <t>FESR</t>
  </si>
  <si>
    <t>Iron-sulfur cluster repair</t>
  </si>
  <si>
    <t xml:space="preserve">fe2_c + 3fe4s_c  -&gt; 4fe4s_c </t>
  </si>
  <si>
    <t>OXCOAHDH</t>
  </si>
  <si>
    <t>Oxepin-CoA hydrolase/ 3-oxo-5,6-dehydrosuberyl-CoA semialdehyde dehydrogenase (NADP+)</t>
  </si>
  <si>
    <t xml:space="preserve">nadp_c + 2 h2o_c + 2oxpaccoa_c  -&gt; 2 h_c + 3oxdhscoa_c + nadph_c </t>
  </si>
  <si>
    <t>3.3.2.12</t>
  </si>
  <si>
    <t>DHACOAH_f</t>
  </si>
  <si>
    <t>2,3-dehydroadipyl-CoA hydratase</t>
  </si>
  <si>
    <t xml:space="preserve">h2o_c + 23dhacoa_c  -&gt; 3hadpcoa_c </t>
  </si>
  <si>
    <t>4.2.1.17</t>
  </si>
  <si>
    <t>THFAT</t>
  </si>
  <si>
    <t>Tetrahydrofolate aminomethyltransferase</t>
  </si>
  <si>
    <t xml:space="preserve">h2o_c + methf_c  -&gt; h_c + 5fthf_c </t>
  </si>
  <si>
    <t>FOMETRi</t>
  </si>
  <si>
    <t>Aminomethyltransferase</t>
  </si>
  <si>
    <t xml:space="preserve">h_c + 5fthf_c  -&gt; h2o_c + methf_c </t>
  </si>
  <si>
    <t>6.3.3.2</t>
  </si>
  <si>
    <t>SLNTtex_f</t>
  </si>
  <si>
    <t>Selenite transport via diffusion (extracellular to periplasm)</t>
  </si>
  <si>
    <t xml:space="preserve">slnt_e  -&gt; slnt_p </t>
  </si>
  <si>
    <t>GDPTPDP</t>
  </si>
  <si>
    <t>Guanosine 3'-diphosphate 5'-triphosphate 3'-diphosphatase</t>
  </si>
  <si>
    <t xml:space="preserve">gdptp_c + h2o_c  -&gt; ppi_c + gtp_c </t>
  </si>
  <si>
    <t>COLIPAKpp</t>
  </si>
  <si>
    <t>Lipid A core kinase (periplasm)</t>
  </si>
  <si>
    <t xml:space="preserve">udcpdp_p + colipa_p  -&gt; colipap_p + udcpp_p </t>
  </si>
  <si>
    <t>2.7.4.29</t>
  </si>
  <si>
    <t>MPTSS</t>
  </si>
  <si>
    <t>Molybdopterin synthase sulfurylase</t>
  </si>
  <si>
    <t xml:space="preserve">h_c + atp_c + moadcoo_c  -&gt; moadamp_c + ppi_c </t>
  </si>
  <si>
    <t>2.7.7.80</t>
  </si>
  <si>
    <t>CPMPS</t>
  </si>
  <si>
    <t>Cyclic pyranopterin monophosphate synthase</t>
  </si>
  <si>
    <t xml:space="preserve">h2o_c + gtp_c  -&gt; cpmp_c + ppi_c </t>
  </si>
  <si>
    <t>4.1.99.22</t>
  </si>
  <si>
    <t>LIPOCT</t>
  </si>
  <si>
    <t>Lipoyl(octanoyl) transferase</t>
  </si>
  <si>
    <t xml:space="preserve">h_c + ocACP_c  -&gt; octapb_c + ACP_c </t>
  </si>
  <si>
    <t>2.3.1.181</t>
  </si>
  <si>
    <t>LIPOS</t>
  </si>
  <si>
    <t>Lipoate synthase</t>
  </si>
  <si>
    <t xml:space="preserve">h_c + octapb_c + nad_c + 2 amet_c + 4fe4s_c  -&gt; 2 met__L_c + 2 dad_5_c + 2 fe2_c + lipopb_c + 2fe2s_c + nadh_c </t>
  </si>
  <si>
    <t>2.8.1.8</t>
  </si>
  <si>
    <t>OCTNLL</t>
  </si>
  <si>
    <t>Octanoate non-lipoylated apo domain ligase</t>
  </si>
  <si>
    <t xml:space="preserve">h_c + octa_c + atp_c  -&gt; octapb_c + ppi_c + amp_c </t>
  </si>
  <si>
    <t>6.3.1.20</t>
  </si>
  <si>
    <t>LIPATPT</t>
  </si>
  <si>
    <t>Lipoate-ATP adenylate transferase</t>
  </si>
  <si>
    <t xml:space="preserve">atp_c + lipoate_c  -&gt; ppi_c + lipoamp_c </t>
  </si>
  <si>
    <t>LIPAMPL</t>
  </si>
  <si>
    <t>Lipoyl-adenylate protein ligase</t>
  </si>
  <si>
    <t xml:space="preserve">lipoamp_c  -&gt; lipopb_c + amp_c </t>
  </si>
  <si>
    <t>ALDD19xr_f</t>
  </si>
  <si>
    <t>Aldehyde dehydrogenase (phenylacetaldehyde, NAD)</t>
  </si>
  <si>
    <t xml:space="preserve">nad_c + pacald_c + h2o_c  -&gt; 2 h_c + pac_c + nadh_c </t>
  </si>
  <si>
    <t>1.2.1.39</t>
  </si>
  <si>
    <t>MMM</t>
  </si>
  <si>
    <t>Methylmalonyl-CoA mutase</t>
  </si>
  <si>
    <t xml:space="preserve">succoa_c  -&gt; mmcoa__S_c </t>
  </si>
  <si>
    <t>5.4.99.2</t>
  </si>
  <si>
    <t>MOGDS</t>
  </si>
  <si>
    <t>Molybdopterin guanine dinucleotide synthase</t>
  </si>
  <si>
    <t xml:space="preserve">h_c + gtp_c + moco_c  -&gt; mocogdp_c + ppi_c </t>
  </si>
  <si>
    <t>WCOS</t>
  </si>
  <si>
    <t>Tungsten pterin cofactor synthase</t>
  </si>
  <si>
    <t xml:space="preserve">2 h_c + mptamp_c + tungs_c  -&gt; wco_c + h2o_c + cu2_c + amp_c </t>
  </si>
  <si>
    <t>RFAMPtpp</t>
  </si>
  <si>
    <t>Rifampin transport via TolC system</t>
  </si>
  <si>
    <t xml:space="preserve">h_p + rfamp_p  -&gt; h_c + rfamp_e </t>
  </si>
  <si>
    <t>VPAMTr_f</t>
  </si>
  <si>
    <t>Valine-pyruvate aminotransferase</t>
  </si>
  <si>
    <t xml:space="preserve">3mob_c + ala__L_c  -&gt; val__L_c + pyr_c </t>
  </si>
  <si>
    <t>2.6.1.66</t>
  </si>
  <si>
    <t>ACOLIPAabctex</t>
  </si>
  <si>
    <t>Arabinose modified core oligosaccharide lipid A transport via ABC system (periplasm to extracellular)</t>
  </si>
  <si>
    <t xml:space="preserve">atp_c + acolipa_p + h2o_c  -&gt; h_c + adp_c + pi_c + acolipa_e </t>
  </si>
  <si>
    <t>ECA4COLIPAabctex</t>
  </si>
  <si>
    <t>Enterobacterial common antigen (x4) core oligosaccharide lipid A transport via ABC system (periplasm to extracellular)</t>
  </si>
  <si>
    <t xml:space="preserve">atp_c + eca4colipa_p + h2o_c  -&gt; h_c + adp_c + pi_c + eca4colipa_e </t>
  </si>
  <si>
    <t>COLIPAPabctex</t>
  </si>
  <si>
    <t>Core oligosaccharide lipid A diphosphate transport via ABC system (periplasm to extracellular)</t>
  </si>
  <si>
    <t xml:space="preserve">colipap_p + atp_c + h2o_c  -&gt; h_c + adp_c + pi_c + colipap_e </t>
  </si>
  <si>
    <t>TARTRDtex_f</t>
  </si>
  <si>
    <t>D-tartrate transport via diffusion (extracellular to periplasm)</t>
  </si>
  <si>
    <t xml:space="preserve">tartr__D_e  -&gt; tartr__D_p </t>
  </si>
  <si>
    <t>3OXCOAT</t>
  </si>
  <si>
    <t>3-oxoadipyl-CoA thiolase</t>
  </si>
  <si>
    <t xml:space="preserve">oxadpcoa_c + coa_c  -&gt; accoa_c + succoa_c </t>
  </si>
  <si>
    <t>BTNtex_f</t>
  </si>
  <si>
    <t>Biotin transport via diffusion (extracellular to periplasm)</t>
  </si>
  <si>
    <t xml:space="preserve">btn_e  -&gt; btn_p </t>
  </si>
  <si>
    <t>2DGULRGx</t>
  </si>
  <si>
    <t>2-Dehydro-L-gulonate reductase to gluconate (NADH)</t>
  </si>
  <si>
    <t xml:space="preserve">h_c + 2dhguln_c + nadh_c  -&gt; nad_c + glcn_c </t>
  </si>
  <si>
    <t>2DGULRGy</t>
  </si>
  <si>
    <t>2-Dehydro-L-gulonate reductase to gluconate (NADPH)</t>
  </si>
  <si>
    <t xml:space="preserve">h_c + 2dhguln_c + nadph_c  -&gt; glcn_c + nadp_c </t>
  </si>
  <si>
    <t>AP4AS</t>
  </si>
  <si>
    <t>Ap4A synthetase</t>
  </si>
  <si>
    <t xml:space="preserve">h_c + 2 atp_c  -&gt; ppi_c + ap4a_c </t>
  </si>
  <si>
    <t>6.1.1.6</t>
  </si>
  <si>
    <t>ARBTptspp</t>
  </si>
  <si>
    <t>Arbutin transport via PEP:Pyr PTS (periplasm)</t>
  </si>
  <si>
    <t xml:space="preserve">pep_c + arbt_p  -&gt; arbt6p_c + pyr_c </t>
  </si>
  <si>
    <t>ARBTtex</t>
  </si>
  <si>
    <t>Arbutin transport via diffusion (extracellular to periplasm)</t>
  </si>
  <si>
    <t xml:space="preserve">arbt_e  -&gt; arbt_p </t>
  </si>
  <si>
    <t>PYDXtex_f</t>
  </si>
  <si>
    <t>Pyridoxal transport via diffusion (extracellular)</t>
  </si>
  <si>
    <t xml:space="preserve">pydx_e  -&gt; pydx_p </t>
  </si>
  <si>
    <t>SUCASPtpp_f</t>
  </si>
  <si>
    <t>Succinate:aspartate antiporter (periplasm)</t>
  </si>
  <si>
    <t xml:space="preserve">asp__L_p + succ_c  -&gt; succ_p + asp__L_c </t>
  </si>
  <si>
    <t>SUCMALtpp_f</t>
  </si>
  <si>
    <t>Succinate:malate antiporter (periplasm)</t>
  </si>
  <si>
    <t xml:space="preserve">mal__L_p + succ_c  -&gt; succ_p + mal__L_c </t>
  </si>
  <si>
    <t>PYDXNtex_f</t>
  </si>
  <si>
    <t>Pyridoxine transport via diffusion (extracellular)</t>
  </si>
  <si>
    <t xml:space="preserve">pydxn_e  -&gt; pydxn_p </t>
  </si>
  <si>
    <t>PYDAMtex_f</t>
  </si>
  <si>
    <t>Pyridoxamine transport via diffusion (extracellular)</t>
  </si>
  <si>
    <t xml:space="preserve">pydam_e  -&gt; pydam_p </t>
  </si>
  <si>
    <t>13PPDH2_f</t>
  </si>
  <si>
    <t>1,3-propanediol dehydrogenase</t>
  </si>
  <si>
    <t xml:space="preserve">h_c + 3hppnl_c + nadph_c  -&gt; 13ppd_c + nadp_c </t>
  </si>
  <si>
    <t>TARTt2_3pp</t>
  </si>
  <si>
    <t>D-tartrate transport via proton symport (3 H) (periplasm)</t>
  </si>
  <si>
    <t xml:space="preserve">3 h_p + tartr__D_p  -&gt; 3 h_c + tartr__D_c </t>
  </si>
  <si>
    <t>SUCTARTtpp_f</t>
  </si>
  <si>
    <t>Succinate:D-tartrate antiporter (periplasm)</t>
  </si>
  <si>
    <t xml:space="preserve">succ_c + tartr__D_p  -&gt; succ_p + tartr__D_c </t>
  </si>
  <si>
    <t>APCS</t>
  </si>
  <si>
    <t>Aminopropylcadaverine synthase</t>
  </si>
  <si>
    <t xml:space="preserve">15dap_c + ametam_c  -&gt; h_c + 5mta_c + na15dap_c </t>
  </si>
  <si>
    <t>CHTBSptspp</t>
  </si>
  <si>
    <t>Chitobiose transport via PEP:Pyr PTS (periplasm)</t>
  </si>
  <si>
    <t xml:space="preserve">chtbs_p + pep_c  -&gt; chtbs6p_c + pyr_c </t>
  </si>
  <si>
    <t>2.7.1.196</t>
  </si>
  <si>
    <t>CHTBStex_f</t>
  </si>
  <si>
    <t>Chitobiose transport via diffusion (extracellular to periplasm)</t>
  </si>
  <si>
    <t xml:space="preserve">chtbs_e  -&gt; chtbs_p </t>
  </si>
  <si>
    <t>TRPtipp</t>
  </si>
  <si>
    <t>L-tryptophan transport out (periplasm)</t>
  </si>
  <si>
    <t xml:space="preserve">trp__L_c  -&gt; trp__L_p </t>
  </si>
  <si>
    <t>TYRtipp</t>
  </si>
  <si>
    <t>L-tyrosine transport out (periplasm)</t>
  </si>
  <si>
    <t xml:space="preserve">tyr__L_c  -&gt; tyr__L_p </t>
  </si>
  <si>
    <t>GHBDHx_f</t>
  </si>
  <si>
    <t>Gamma-hydroxybutyrate dehydrogenase (NADH)</t>
  </si>
  <si>
    <t xml:space="preserve">h_c + nadh_c + sucsal_c  -&gt; nad_c + ghb_c </t>
  </si>
  <si>
    <t>1.1.1.373</t>
  </si>
  <si>
    <t>APPLDHr_f</t>
  </si>
  <si>
    <t>Aminopropanol dehydrogenase reversible</t>
  </si>
  <si>
    <t xml:space="preserve">h_c + aact_c + nadh_c  -&gt; nad_c + appl_c </t>
  </si>
  <si>
    <t>SPMDt3pp</t>
  </si>
  <si>
    <t>Spermidine transport out via proton antiport (periplasm)</t>
  </si>
  <si>
    <t xml:space="preserve">h_p + spmd_c  -&gt; h_c + spmd_p </t>
  </si>
  <si>
    <t>PHEtipp</t>
  </si>
  <si>
    <t>L-phenylalanine transport out (periplasm)</t>
  </si>
  <si>
    <t xml:space="preserve">phe__L_c  -&gt; phe__L_p </t>
  </si>
  <si>
    <t>G2PP</t>
  </si>
  <si>
    <t>Glycerol-2-phosphate phosphatase</t>
  </si>
  <si>
    <t xml:space="preserve">glyc2p_c + h2o_c  -&gt; pi_c + glyc_c </t>
  </si>
  <si>
    <t>DHNPA2r_f</t>
  </si>
  <si>
    <t>Dihydroneopterin aldolase reversible</t>
  </si>
  <si>
    <t xml:space="preserve">dhnpt_c  -&gt; 6hmhpt_c + gcald_c </t>
  </si>
  <si>
    <t>GLYC2Pabcpp</t>
  </si>
  <si>
    <t>Sn-Glycerol 2-phosphate transport via ABC system (periplasm)</t>
  </si>
  <si>
    <t xml:space="preserve">atp_c + glyc2p_p + h2o_c  -&gt; h_c + adp_c + pi_c + glyc2p_c </t>
  </si>
  <si>
    <t>CRNDtex_f</t>
  </si>
  <si>
    <t>D-carnitine transport via diffusion (extracellular to periplasm)</t>
  </si>
  <si>
    <t xml:space="preserve">crn__D_e  -&gt; crn__D_p </t>
  </si>
  <si>
    <t>SHGO</t>
  </si>
  <si>
    <t>S-2-hydroxyglutarate oxidase</t>
  </si>
  <si>
    <t xml:space="preserve">o2_c + S2hglut_c  -&gt; akg_c + h2o2_c </t>
  </si>
  <si>
    <t>NADHXD</t>
  </si>
  <si>
    <t>NADHX dehydratase</t>
  </si>
  <si>
    <t xml:space="preserve">adp_c + nadhx__S_c  -&gt; h_c + pi_c + nadh_c + amp_c </t>
  </si>
  <si>
    <t>4.2.1.136, 5.1.99.6</t>
  </si>
  <si>
    <t>NADPHHR</t>
  </si>
  <si>
    <t>NADPH hydratase</t>
  </si>
  <si>
    <t xml:space="preserve">h2o_c + nadph_c  -&gt; nadphx__R_c </t>
  </si>
  <si>
    <t>NADPHHS</t>
  </si>
  <si>
    <t xml:space="preserve">h2o_c + nadph_c  -&gt; nadphx__S_c </t>
  </si>
  <si>
    <t>NADHHS</t>
  </si>
  <si>
    <t>NADH hydratase</t>
  </si>
  <si>
    <t xml:space="preserve">h2o_c + nadh_c  -&gt; nadhx__S_c </t>
  </si>
  <si>
    <t>NADHXE_f</t>
  </si>
  <si>
    <t>NADHX epimerase</t>
  </si>
  <si>
    <t xml:space="preserve">nadhx__S_c  -&gt; nadhx__R_c </t>
  </si>
  <si>
    <t>SELabcpp</t>
  </si>
  <si>
    <t>Selenatenate transport via ABC system (periplasm)</t>
  </si>
  <si>
    <t xml:space="preserve">atp_c + sel_p + h2o_c  -&gt; h_c + adp_c + pi_c + sel_c </t>
  </si>
  <si>
    <t>PYK2</t>
  </si>
  <si>
    <t>Pyruvate kinase(2)</t>
  </si>
  <si>
    <t xml:space="preserve">pep_c + h_c + udp_c  -&gt; utp_c + pyr_c </t>
  </si>
  <si>
    <t>PYK3</t>
  </si>
  <si>
    <t>Pyruvate kinase(3)</t>
  </si>
  <si>
    <t xml:space="preserve">pep_c + h_c + gdp_c  -&gt; gtp_c + pyr_c </t>
  </si>
  <si>
    <t>PYK4</t>
  </si>
  <si>
    <t>Pyruvate kinase(4)</t>
  </si>
  <si>
    <t xml:space="preserve">pep_c + h_c + cdp_c  -&gt; ctp_c + pyr_c </t>
  </si>
  <si>
    <t>NADPHXD</t>
  </si>
  <si>
    <t>NADPHX dehydratase</t>
  </si>
  <si>
    <t xml:space="preserve">adp_c + nadphx__S_c  -&gt; h_c + pi_c + nadph_c + amp_c </t>
  </si>
  <si>
    <t>NADHHR</t>
  </si>
  <si>
    <t xml:space="preserve">h2o_c + nadh_c  -&gt; nadhx__R_c </t>
  </si>
  <si>
    <t>NADPHXE_f</t>
  </si>
  <si>
    <t>NADPHX epimerase</t>
  </si>
  <si>
    <t xml:space="preserve">nadphx__R_c  -&gt; nadphx__S_c </t>
  </si>
  <si>
    <t>ALAtpp</t>
  </si>
  <si>
    <t>L-alanine export via facilited diffusion</t>
  </si>
  <si>
    <t xml:space="preserve">ala__L_c  -&gt; ala__L_p </t>
  </si>
  <si>
    <t>DHBSZ3FEabcpp</t>
  </si>
  <si>
    <t>23dhbsz3 Fe III transport via ABC system periplasm</t>
  </si>
  <si>
    <t xml:space="preserve">atp_c + h2o_c + fe3dhbzs3_p  -&gt; h_c + adp_c + pi_c + fe3dhbzs3_c </t>
  </si>
  <si>
    <t>FE3DHBZS3R</t>
  </si>
  <si>
    <t>Fe(III)-(2,3-dihydroxybenzoylserine)3 reductase via NADPH</t>
  </si>
  <si>
    <t xml:space="preserve">nadph_c + 2 fe3dhbzs3_c  -&gt; 3 h_c + 2 fe2_c + 2 23dhbzs3_c + nadp_c </t>
  </si>
  <si>
    <t>1.16.1.9</t>
  </si>
  <si>
    <t>DXYLTD_f</t>
  </si>
  <si>
    <t>D-xylonate dehydratase</t>
  </si>
  <si>
    <t xml:space="preserve">dxylnt_c  -&gt; h2o_c + 2ddara_c </t>
  </si>
  <si>
    <t>4.2.1.82</t>
  </si>
  <si>
    <t>2DDARAA_f</t>
  </si>
  <si>
    <t>2-dehydro-3-deoxy-D-arabinonate Aldolase</t>
  </si>
  <si>
    <t xml:space="preserve">2ddara_c  -&gt; pyr_c + gcald_c </t>
  </si>
  <si>
    <t>4.1.2.28</t>
  </si>
  <si>
    <t>2DGLCptspp</t>
  </si>
  <si>
    <t>2-Deoxy-D-glucose transport via PEP:Pyr PTS (periplasm)</t>
  </si>
  <si>
    <t xml:space="preserve">pep_c + 2dglc_p  -&gt; 2doxg6p_c + pyr_c </t>
  </si>
  <si>
    <t>GNP</t>
  </si>
  <si>
    <t>Phosphogluconate phosphatase</t>
  </si>
  <si>
    <t xml:space="preserve">6pgc_c + h2o_c  -&gt; pi_c + glcn_c </t>
  </si>
  <si>
    <t>ALLTAMH2</t>
  </si>
  <si>
    <t>Allantoate amidinohydrolase</t>
  </si>
  <si>
    <t xml:space="preserve">2 h_c + h2o_c + alltt_c  -&gt; nh4_c + urdgci_c + co2_c </t>
  </si>
  <si>
    <t>3.5.3.9</t>
  </si>
  <si>
    <t>UGCIAMH</t>
  </si>
  <si>
    <t>Ureidoglycine aminohydrolase</t>
  </si>
  <si>
    <t xml:space="preserve">h2o_c + urdgci_c  -&gt; nh4_c + urdglyc_c </t>
  </si>
  <si>
    <t>3.5.3.26</t>
  </si>
  <si>
    <t>METGLCUR</t>
  </si>
  <si>
    <t>1-O-Methyl-Beta-D-glucuronidase</t>
  </si>
  <si>
    <t xml:space="preserve">metglcur_c + h2o_c  -&gt; glcur_c + meoh_c </t>
  </si>
  <si>
    <t>3.2.1.31</t>
  </si>
  <si>
    <t>ACOAD1fr</t>
  </si>
  <si>
    <t>Acyl-CoA dehydrogenase (butanoyl-CoA)</t>
  </si>
  <si>
    <t xml:space="preserve">fadh2_c + b2coa_c  -&gt; btcoa_c + fad_c </t>
  </si>
  <si>
    <t>1.3.-.-</t>
  </si>
  <si>
    <t>23DOGULNt4pp</t>
  </si>
  <si>
    <t>Na+/ 2,3-Dioxo-L-gulonate symport (periplasm)</t>
  </si>
  <si>
    <t xml:space="preserve">na1_p + 23doguln_p  -&gt; 23doguln_c + na1_c </t>
  </si>
  <si>
    <t>FEENTERES</t>
  </si>
  <si>
    <t>Enterochelin Esterase (Fe containing)</t>
  </si>
  <si>
    <t xml:space="preserve">h2o_c + feenter_c  -&gt; fe3dhbzs3_c </t>
  </si>
  <si>
    <t>FEENTERR4</t>
  </si>
  <si>
    <t>Fe-enterobactin reduction via nadph</t>
  </si>
  <si>
    <t xml:space="preserve">nadph_c + 2 feenter_c  -&gt; h_c + 2 fe2_c + nadp_c + 2 enter_c </t>
  </si>
  <si>
    <t>DXYLONtex_f</t>
  </si>
  <si>
    <t>D-xylonate transport via diffusion (extracellular)</t>
  </si>
  <si>
    <t xml:space="preserve">dxylnt_e  -&gt; dxylnt_p </t>
  </si>
  <si>
    <t>PSURItex_f</t>
  </si>
  <si>
    <t>Pseudouridine transport via diffusion (extracellular to periplasm)</t>
  </si>
  <si>
    <t xml:space="preserve">psuri_e  -&gt; psuri_p </t>
  </si>
  <si>
    <t>ALR2x</t>
  </si>
  <si>
    <t>Aldose reductase (methylglyoxal) (nadh)</t>
  </si>
  <si>
    <t xml:space="preserve">h_c + mthgxl_c + nadh_c  -&gt; nad_c + acetol_c </t>
  </si>
  <si>
    <t>OMPHHXy</t>
  </si>
  <si>
    <t>2-octaprenyl-6-methoxyphenol hydroxylase (NADPH)</t>
  </si>
  <si>
    <t xml:space="preserve">h_c + o2_c + 2omph_c + nadph_c  -&gt; nadp_c + h2o_c + 2ombzl_c </t>
  </si>
  <si>
    <t>1.14.13.-</t>
  </si>
  <si>
    <t>CHLt3pp</t>
  </si>
  <si>
    <t>Choline transport via proton antiport (periplasm)</t>
  </si>
  <si>
    <t xml:space="preserve">h_p + chol_c  -&gt; h_c + chol_p </t>
  </si>
  <si>
    <t>GLYBt3pp</t>
  </si>
  <si>
    <t>Glycine betaine transport via proton antiport (periplasm)</t>
  </si>
  <si>
    <t xml:space="preserve">glyb_c + h_p  -&gt; h_c + glyb_p </t>
  </si>
  <si>
    <t>AI2tpp</t>
  </si>
  <si>
    <t>Quorum signal AI-2 exporter</t>
  </si>
  <si>
    <t xml:space="preserve">mththf_c  -&gt; mththf_p </t>
  </si>
  <si>
    <t>Ftpp</t>
  </si>
  <si>
    <t>F- efflux transport</t>
  </si>
  <si>
    <t xml:space="preserve">f_c  -&gt; f_p </t>
  </si>
  <si>
    <t>SQVOSI</t>
  </si>
  <si>
    <t>Sulfoquinovose isomerase</t>
  </si>
  <si>
    <t xml:space="preserve">sq_c  -&gt; sf_c </t>
  </si>
  <si>
    <t>5.3.1.31</t>
  </si>
  <si>
    <t>6D6SPA</t>
  </si>
  <si>
    <t>6-deoxy-6-sulfofructose-1-phosphate aldolase</t>
  </si>
  <si>
    <t xml:space="preserve">sfp_c  -&gt; dhap_c + sla_c </t>
  </si>
  <si>
    <t>4.1.2.57</t>
  </si>
  <si>
    <t>DHPStr</t>
  </si>
  <si>
    <t>2,3-dihydroxypropane 1-sulfonate transporter</t>
  </si>
  <si>
    <t xml:space="preserve">dhps_c  -&gt; dhps_p </t>
  </si>
  <si>
    <t>SQtr</t>
  </si>
  <si>
    <t>Sulfoquinovose transporter</t>
  </si>
  <si>
    <t xml:space="preserve">sq_p  -&gt; sq_c </t>
  </si>
  <si>
    <t>DHPStex_f</t>
  </si>
  <si>
    <t>2,3-dihydroxypropane 1-sulfonate transport via diffusion</t>
  </si>
  <si>
    <t xml:space="preserve">dhps_e  -&gt; dhps_p </t>
  </si>
  <si>
    <t>FMNtex_f</t>
  </si>
  <si>
    <t>FMN transport, outer membrane</t>
  </si>
  <si>
    <t xml:space="preserve">fmn_p  -&gt; fmn_e </t>
  </si>
  <si>
    <t>AI2K</t>
  </si>
  <si>
    <t>Autoinducer-2 kinase</t>
  </si>
  <si>
    <t xml:space="preserve">dhptd_c + atp_c  -&gt; h_c + adp_c + dhptdp_c </t>
  </si>
  <si>
    <t>2.7.1.189</t>
  </si>
  <si>
    <t>CLBtex_f</t>
  </si>
  <si>
    <t xml:space="preserve">Cellobiose transport transport via diffusion extracellular to periplasm </t>
  </si>
  <si>
    <t xml:space="preserve">cellb_e  -&gt; cellb_p </t>
  </si>
  <si>
    <t>ACOXT_f</t>
  </si>
  <si>
    <t>Acetyl-CoA:oxalate CoA-transferase</t>
  </si>
  <si>
    <t xml:space="preserve">accoa_c + oxa_c  -&gt; ac_c + oxalcoa_c </t>
  </si>
  <si>
    <t>2.8.3.19</t>
  </si>
  <si>
    <t>2HESR</t>
  </si>
  <si>
    <t>2-hydroxyethyldisulfide reductase</t>
  </si>
  <si>
    <t xml:space="preserve">2 gthrd_c + dtgcl_c  -&gt; 2 mercpeth_c + gthox_c </t>
  </si>
  <si>
    <t>1.8.4.-</t>
  </si>
  <si>
    <t>CHOLID</t>
  </si>
  <si>
    <t>7-?-hydroxysteroid dehydrogenase</t>
  </si>
  <si>
    <t xml:space="preserve">nad_c + cholate_c  -&gt; h_c + dhcholn_c + nadh_c </t>
  </si>
  <si>
    <t>1.1.1.159</t>
  </si>
  <si>
    <t>CHOLATEtpp</t>
  </si>
  <si>
    <t>Cholate transport via proton antiport</t>
  </si>
  <si>
    <t xml:space="preserve">h_p + cholate_c  -&gt; h_c + cholate_p </t>
  </si>
  <si>
    <t>4ABZGLUH_f</t>
  </si>
  <si>
    <t>P-aminobenzoyl-glutamate hydrolase</t>
  </si>
  <si>
    <t xml:space="preserve">h2o_c + 4abzglu_c  -&gt; glu__L_c + 4abz_c </t>
  </si>
  <si>
    <t>4ABZGLUtr_f</t>
  </si>
  <si>
    <t>P-aminobenzoyl glutamate:H+ symporter</t>
  </si>
  <si>
    <t xml:space="preserve">h_p + 4abzglu_p  -&gt; h_c + 4abzglu_c </t>
  </si>
  <si>
    <t>PHDA</t>
  </si>
  <si>
    <t>Phenylhydantoinase</t>
  </si>
  <si>
    <t xml:space="preserve">5phdt_c + h2o_c  -&gt; 5phua_c </t>
  </si>
  <si>
    <t>3.5.2.-</t>
  </si>
  <si>
    <t>TEO2M</t>
  </si>
  <si>
    <t>Tellurite methyltransferase</t>
  </si>
  <si>
    <t xml:space="preserve">amet_c + teo2_c  -&gt; ahcys_c + mteo2_c </t>
  </si>
  <si>
    <t>2.1.1.265</t>
  </si>
  <si>
    <t>PACOAT</t>
  </si>
  <si>
    <t>Phenylacetyl-CoA thioesterase</t>
  </si>
  <si>
    <t xml:space="preserve">phaccoa_c + h2o_c  -&gt; h_c + pac_c + coa_c </t>
  </si>
  <si>
    <t>CYSItpp</t>
  </si>
  <si>
    <t>Cystine efflux transport</t>
  </si>
  <si>
    <t xml:space="preserve">cysi__L_c  -&gt; cysi__L_p </t>
  </si>
  <si>
    <t>DHPTDNR</t>
  </si>
  <si>
    <t>Dihydropteridine reductase</t>
  </si>
  <si>
    <t xml:space="preserve">3 h_c + nadph_c + dhptdn_c  -&gt; thptdn_c + nadp_c </t>
  </si>
  <si>
    <t>1.5.1.34</t>
  </si>
  <si>
    <t>DHPTDNRN</t>
  </si>
  <si>
    <t>Dihydropteridine reductase (NADH)</t>
  </si>
  <si>
    <t xml:space="preserve">3 h_c + dhptdn_c + nadh_c  -&gt; nad_c + thptdn_c </t>
  </si>
  <si>
    <t>PCNO_f</t>
  </si>
  <si>
    <t>Propanoyl-CoA:NADP+ 2-oxidoreductase</t>
  </si>
  <si>
    <t xml:space="preserve">ppcoa_c + nadp_c  -&gt; h_c + nadph_c + prpncoa_c </t>
  </si>
  <si>
    <t>1.3.1.84</t>
  </si>
  <si>
    <t>HPACOAT</t>
  </si>
  <si>
    <t>Hydroxyphenylacetyl-CoA thioesterase</t>
  </si>
  <si>
    <t xml:space="preserve">34dphacoa_c + h2o_c  -&gt; h_c + 34dhpha_c + coa_c </t>
  </si>
  <si>
    <t>PUACGAMtr</t>
  </si>
  <si>
    <t>Transport of poly-?-1,6-N-acetyl-D-glucosamine (poly-?-1,6-N-acetyl-D-glucosamine synthase)</t>
  </si>
  <si>
    <t xml:space="preserve">puacgam_c  -&gt; puacgam_p </t>
  </si>
  <si>
    <t>DC6PDA</t>
  </si>
  <si>
    <t>Chito-oligosaccharide mono-deacetylase</t>
  </si>
  <si>
    <t xml:space="preserve">chtbs6p_c + h2o_c  -&gt; ac_c + mchtbs6p_c </t>
  </si>
  <si>
    <t>3.5.1.105</t>
  </si>
  <si>
    <t>5DGLCNR</t>
  </si>
  <si>
    <t>5-dehydro-D-gluconate reductase</t>
  </si>
  <si>
    <t xml:space="preserve">h_c + 5dglcn_c + nadph_c  -&gt; glcn_c + nadp_c </t>
  </si>
  <si>
    <t>1.1.1.69</t>
  </si>
  <si>
    <t>PIt2rpp</t>
  </si>
  <si>
    <t>Phosphate reversible transport via symport (periplasm)</t>
  </si>
  <si>
    <t xml:space="preserve">h_p + pi_p  -&gt; h_c + pi_c </t>
  </si>
  <si>
    <t>LEUt2rpp</t>
  </si>
  <si>
    <t>L-leucine reversible transport via proton symport (periplasm)</t>
  </si>
  <si>
    <t xml:space="preserve">h_p + leu__L_p  -&gt; h_c + leu__L_c </t>
  </si>
  <si>
    <t>LCTStpp</t>
  </si>
  <si>
    <t>Lactose transport via proton symport (periplasm)</t>
  </si>
  <si>
    <t xml:space="preserve">h_p + lcts_p  -&gt; h_c + lcts_c </t>
  </si>
  <si>
    <t>ILEt3pp</t>
  </si>
  <si>
    <t>L-isoleucine transport out via proton antiport (periplasm)</t>
  </si>
  <si>
    <t xml:space="preserve">h_p + ile__L_c  -&gt; h_c + ile__L_p </t>
  </si>
  <si>
    <t>METt3pp</t>
  </si>
  <si>
    <t>L-methionine tranport out via proton antiport (periplasm)</t>
  </si>
  <si>
    <t xml:space="preserve">h_p + met__L_c  -&gt; h_c + met__L_p </t>
  </si>
  <si>
    <t>GSNt3pp</t>
  </si>
  <si>
    <t>Guanosine transport out via proton antiport (periplasm)</t>
  </si>
  <si>
    <t xml:space="preserve">h_p + gsn_c  -&gt; h_c + gsn_p </t>
  </si>
  <si>
    <t>CLtipp</t>
  </si>
  <si>
    <t>Chloride ion transport in via diffusion (periplasm)</t>
  </si>
  <si>
    <t xml:space="preserve">cl_p  -&gt; cl_c </t>
  </si>
  <si>
    <t>5DKGR_f</t>
  </si>
  <si>
    <t>5-keto-D-gluconate 5-reductase</t>
  </si>
  <si>
    <t xml:space="preserve">nad_c + glcn_c  -&gt; h_c + 5dglcn_c + nadh_c </t>
  </si>
  <si>
    <t>1.1.1.127</t>
  </si>
  <si>
    <t>PItpp</t>
  </si>
  <si>
    <t>Phosphate export via facillated diffusion (periplasm)</t>
  </si>
  <si>
    <t xml:space="preserve">pi_c  -&gt; pi_p </t>
  </si>
  <si>
    <t>LEUt3pp</t>
  </si>
  <si>
    <t>L-leucine transport out via proton antiport (periplasm)</t>
  </si>
  <si>
    <t xml:space="preserve">h_p + leu__L_c  -&gt; h_c + leu__L_p </t>
  </si>
  <si>
    <t>INSt3pp</t>
  </si>
  <si>
    <t>Inosine transport out via proton antiport (perisplasm)</t>
  </si>
  <si>
    <t xml:space="preserve">h_p + ins_c  -&gt; h_c + ins_p </t>
  </si>
  <si>
    <t>INDOLEt2rpp</t>
  </si>
  <si>
    <t>Indole transport via proton symport, reversible (periplasm)</t>
  </si>
  <si>
    <t xml:space="preserve">h_p + indole_p  -&gt; h_c + indole_c </t>
  </si>
  <si>
    <t>ILEt2rpp</t>
  </si>
  <si>
    <t>L-isoleucine reversible transport via proton symport (periplasm)</t>
  </si>
  <si>
    <t xml:space="preserve">h_p + ile__L_p  -&gt; h_c + ile__L_c </t>
  </si>
  <si>
    <t>GLYtpp_f</t>
  </si>
  <si>
    <t>Glycine transport via facillitated diffusion</t>
  </si>
  <si>
    <t xml:space="preserve">gly_c  -&gt; gly_p </t>
  </si>
  <si>
    <t>PYK6</t>
  </si>
  <si>
    <t>RE2954</t>
  </si>
  <si>
    <t xml:space="preserve">pep_c + h_c + dtdp_c  -&gt; dttp_c + pyr_c </t>
  </si>
  <si>
    <t>FADt</t>
  </si>
  <si>
    <t>FAD transporter, periplasm</t>
  </si>
  <si>
    <t xml:space="preserve">fad_c  -&gt; fad_p </t>
  </si>
  <si>
    <t>FADtex_f</t>
  </si>
  <si>
    <t>FAD transport, outer membrane</t>
  </si>
  <si>
    <t xml:space="preserve">fad_p  -&gt; fad_e </t>
  </si>
  <si>
    <t>AI2abcpp</t>
  </si>
  <si>
    <t>Autoinducer-2 ABC transporter</t>
  </si>
  <si>
    <t xml:space="preserve">mththf_p + atp_c + h2o_c  -&gt; h_c + mththf_c + adp_c + pi_c </t>
  </si>
  <si>
    <t>PAI2I</t>
  </si>
  <si>
    <t>Phospho-AI-2 isomerase</t>
  </si>
  <si>
    <t xml:space="preserve">dhptdp_c  -&gt; dhptdd_c </t>
  </si>
  <si>
    <t>5.3.1.32</t>
  </si>
  <si>
    <t>4HBZt3pp</t>
  </si>
  <si>
    <t>4-hydroxybenzoate transport out via antiporter</t>
  </si>
  <si>
    <t xml:space="preserve">h_p + 4hbz_c  -&gt; h_c + 4hbz_p </t>
  </si>
  <si>
    <t>CURR</t>
  </si>
  <si>
    <t>NADPH-dependent curcumin reductase</t>
  </si>
  <si>
    <t xml:space="preserve">h_c + cur_c + nadph_c  -&gt; nadp_c + dhcur_c </t>
  </si>
  <si>
    <t>1.3.1.n3</t>
  </si>
  <si>
    <t>LKDRA_f</t>
  </si>
  <si>
    <t>2-keto-3-deoxy-L-rhamnonate aldolase</t>
  </si>
  <si>
    <t xml:space="preserve">lkdr_c  -&gt; lald__L_c + pyr_c </t>
  </si>
  <si>
    <t>4.1.2.53</t>
  </si>
  <si>
    <t>METNA_f</t>
  </si>
  <si>
    <t>L-amino acid N-acyltransferase</t>
  </si>
  <si>
    <t xml:space="preserve">accoa_c + met__L_c  -&gt; h_c + acmet_c + coa_c </t>
  </si>
  <si>
    <t>XYHDL</t>
  </si>
  <si>
    <t>?-D-xyloside xylohydrolase</t>
  </si>
  <si>
    <t xml:space="preserve">iprimv_c + h2o_c  -&gt; glc__D_c + xyl__D_c </t>
  </si>
  <si>
    <t>3.2.1.177</t>
  </si>
  <si>
    <t>2DGLCtex_f</t>
  </si>
  <si>
    <t>2-Deoxy-D-glucose transport via diffusion (extracellular)</t>
  </si>
  <si>
    <t xml:space="preserve">2dglc_e  -&gt; 2dglc_p </t>
  </si>
  <si>
    <t>E4PP</t>
  </si>
  <si>
    <t>Erythrose-4-phosphate phosphatase</t>
  </si>
  <si>
    <t xml:space="preserve">e4p_c + h2o_c  -&gt; pi_c + erthrs_c </t>
  </si>
  <si>
    <t>PUACGAMS_f</t>
  </si>
  <si>
    <t>Poly-?-1,6-N-acetyl-D-glucosamine synthase</t>
  </si>
  <si>
    <t xml:space="preserve">puacgam_c + udp_c  -&gt; uacgam_c </t>
  </si>
  <si>
    <t>RU5PP</t>
  </si>
  <si>
    <t>Ribulose-5-Phosphate Phosphatase</t>
  </si>
  <si>
    <t xml:space="preserve">ru5p__D_c + h2o_c  -&gt; rbl__D_c + pi_c </t>
  </si>
  <si>
    <t>6D6SFK</t>
  </si>
  <si>
    <t>6-deoxy-6-sulfofructose kinase</t>
  </si>
  <si>
    <t xml:space="preserve">sf_c + atp_c  -&gt; h_c + adp_c + sfp_c </t>
  </si>
  <si>
    <t>2.7.1.184</t>
  </si>
  <si>
    <t>3SLAR</t>
  </si>
  <si>
    <t>3-sulfolactaldehyde reductase</t>
  </si>
  <si>
    <t xml:space="preserve">h_c + sla_c + nadh_c  -&gt; nad_c + dhps_c </t>
  </si>
  <si>
    <t>SQtex_f</t>
  </si>
  <si>
    <t>Sulphoquinovose transport via diffusion</t>
  </si>
  <si>
    <t xml:space="preserve">sq_e  -&gt; sq_p </t>
  </si>
  <si>
    <t>URATEtex_f</t>
  </si>
  <si>
    <t>Uric acid transport</t>
  </si>
  <si>
    <t xml:space="preserve">urate_e  -&gt; urate_p </t>
  </si>
  <si>
    <t>CBL1tonex</t>
  </si>
  <si>
    <t>Cob(1)alamin transport via ton system (extermal)</t>
  </si>
  <si>
    <t xml:space="preserve">h_p + cbl1_e  -&gt; h_c + cbl1_p </t>
  </si>
  <si>
    <t>CBItonex</t>
  </si>
  <si>
    <t>Cobinamide transport via ton system (extermal)</t>
  </si>
  <si>
    <t xml:space="preserve">h_p + cbi_e  -&gt; h_c + cbi_p </t>
  </si>
  <si>
    <t>ARHGDx_f</t>
  </si>
  <si>
    <t>(R)-alpha-hydroxyglutarate dehydrogenase</t>
  </si>
  <si>
    <t xml:space="preserve">nad_c + r2hglut_c  -&gt; h_c + akg_c + nadh_c </t>
  </si>
  <si>
    <t>CPL</t>
  </si>
  <si>
    <t>Carbon-phosphorous lyase</t>
  </si>
  <si>
    <t xml:space="preserve">prpmn_c  -&gt; prcp_c + ch4_c </t>
  </si>
  <si>
    <t>4.7.1.1</t>
  </si>
  <si>
    <t>INOSTO_f</t>
  </si>
  <si>
    <t>Myo-Inositol:oxygen oxidoreductase</t>
  </si>
  <si>
    <t xml:space="preserve">o2_c + inost_c  -&gt; h_c + glcur_c + h2o_c </t>
  </si>
  <si>
    <t>1.13.99.1</t>
  </si>
  <si>
    <t>HPYRP</t>
  </si>
  <si>
    <t>3-phosphohydroxypyruvate phosphatase</t>
  </si>
  <si>
    <t xml:space="preserve">h2o_c + 3php_c  -&gt; pi_c + hpyr_c </t>
  </si>
  <si>
    <t>PSURIK</t>
  </si>
  <si>
    <t>Pseudouridine kinase</t>
  </si>
  <si>
    <t xml:space="preserve">psuri_c + atp_c  -&gt; h_c + adp_c + psd5p_c </t>
  </si>
  <si>
    <t>2.7.1.83</t>
  </si>
  <si>
    <t>Ftex_f</t>
  </si>
  <si>
    <t>Fluoride transport via diffusion</t>
  </si>
  <si>
    <t xml:space="preserve">f_p  -&gt; f_e </t>
  </si>
  <si>
    <t>CYSItex_f</t>
  </si>
  <si>
    <t xml:space="preserve">L cystine transport via diffusion extracellular to periplasm </t>
  </si>
  <si>
    <t xml:space="preserve">cysi__L_e  -&gt; cysi__L_p </t>
  </si>
  <si>
    <t>SERtpp</t>
  </si>
  <si>
    <t>L-serine export via facilitated transport</t>
  </si>
  <si>
    <t xml:space="preserve">ser__L_c  -&gt; ser__L_p </t>
  </si>
  <si>
    <t>QUINDHyi</t>
  </si>
  <si>
    <t>Quinate dehydrogenase (NADP)</t>
  </si>
  <si>
    <t xml:space="preserve">nadp_c + quin_c  -&gt; 2 h_c + 3dhq_c + nadph_c </t>
  </si>
  <si>
    <t>1.1.1.282</t>
  </si>
  <si>
    <t>PNSPA</t>
  </si>
  <si>
    <t>Purine Nucleoside Phorphoramidase</t>
  </si>
  <si>
    <t xml:space="preserve">gmplys_c + h2o_c  -&gt; nalme_c + gmp_c </t>
  </si>
  <si>
    <t>3.9.1.-</t>
  </si>
  <si>
    <t>4HTHRK</t>
  </si>
  <si>
    <t>4-Hydroxy-L-threonine kinase</t>
  </si>
  <si>
    <t xml:space="preserve">atp_c + 4hthr_c  -&gt; h_c + adp_c + phthr_c </t>
  </si>
  <si>
    <t>URATEtpp</t>
  </si>
  <si>
    <t>Uric acid transporter</t>
  </si>
  <si>
    <t xml:space="preserve">h_p + urate_p  -&gt; h_c + urate_c </t>
  </si>
  <si>
    <t>CS1tex_f</t>
  </si>
  <si>
    <t>Cesium transport via diffusion</t>
  </si>
  <si>
    <t xml:space="preserve">cs1_e  -&gt; cs1_p </t>
  </si>
  <si>
    <t>ADOCBLtonex</t>
  </si>
  <si>
    <t>Adenosylcobalimin transport via ton system (extermal)</t>
  </si>
  <si>
    <t xml:space="preserve">adocbl_e + h_p  -&gt; h_c + adocbl_p </t>
  </si>
  <si>
    <t>PETNT181pp</t>
  </si>
  <si>
    <t xml:space="preserve">lipa_p + pe181_p  -&gt; 12dgr181_p + enlipa_p </t>
  </si>
  <si>
    <t>ARMEPNS</t>
  </si>
  <si>
    <t>?-D-ribose 1-methylphosphonate 5-triphosphate synthase</t>
  </si>
  <si>
    <t xml:space="preserve">mepn_c + atp_c  -&gt; rpntp_c + ade_c </t>
  </si>
  <si>
    <t>2.7.8.37</t>
  </si>
  <si>
    <t>RPNTPH</t>
  </si>
  <si>
    <t>RPnTP hydrolase</t>
  </si>
  <si>
    <t xml:space="preserve">rpntp_c + h2o_c  -&gt; h_c + prpmn_c + ppi_c </t>
  </si>
  <si>
    <t>3.6.1.63</t>
  </si>
  <si>
    <t>PRCPD</t>
  </si>
  <si>
    <t>5-phospho-?-D-ribosyl 1,2-cyclic phosphate phosphodiesterase</t>
  </si>
  <si>
    <t xml:space="preserve">h2o_c + prcp_c  -&gt; h_c + r15bp_c </t>
  </si>
  <si>
    <t>3.1.4.55</t>
  </si>
  <si>
    <t>MEPNtex_f</t>
  </si>
  <si>
    <t>Methylphosphonic acid transport via diffusion (extracellular to periplasm)</t>
  </si>
  <si>
    <t xml:space="preserve">mepn_e  -&gt; mepn_p </t>
  </si>
  <si>
    <t>UDPGPT_f</t>
  </si>
  <si>
    <t>Undecaprenyl-phosphate glucose phosphotransferase</t>
  </si>
  <si>
    <t xml:space="preserve">udpg_c + udcpp_c  -&gt; ump_c + udcpgl_c </t>
  </si>
  <si>
    <t>2.7.8.31</t>
  </si>
  <si>
    <t>MEPNabcpp</t>
  </si>
  <si>
    <t>Methylpshophonic acid abc transporter</t>
  </si>
  <si>
    <t xml:space="preserve">mepn_p + atp_c + h2o_c  -&gt; h_c + mepn_c + adp_c + pi_c </t>
  </si>
  <si>
    <t>3.6.3.28</t>
  </si>
  <si>
    <t>OMMBLHXy</t>
  </si>
  <si>
    <t>2-Octaprenyl-3-methyl-6-methoxy-1,4-benzoquinol hydroxylase (NADPHl)</t>
  </si>
  <si>
    <t xml:space="preserve">h_c + o2_c + nadph_c + 2ommbl_c  -&gt; nadp_c + 2omhmbl_c + h2o_c </t>
  </si>
  <si>
    <t>OPHHXy</t>
  </si>
  <si>
    <t>2-Octaprenylphenol hydroxylase (NADPH)</t>
  </si>
  <si>
    <t xml:space="preserve">h_c + o2_c + 2oph_c + nadph_c  -&gt; nadp_c + h2o_c + 2ohph_c </t>
  </si>
  <si>
    <t>PROD3</t>
  </si>
  <si>
    <t>Proline dehydrogenase (q8)</t>
  </si>
  <si>
    <t xml:space="preserve">q8_c + pro__L_c  -&gt; h_c + q8h2_c + 1pyr5c_c </t>
  </si>
  <si>
    <t>1.5.5.2</t>
  </si>
  <si>
    <t>F1PP</t>
  </si>
  <si>
    <t>D-fructose 1-phosphate phosphatase</t>
  </si>
  <si>
    <t xml:space="preserve">f1p_c + h2o_c  -&gt; fru_c + pi_c </t>
  </si>
  <si>
    <t>ACP1p</t>
  </si>
  <si>
    <t xml:space="preserve">h2o_p + fmn_p  -&gt; ribflv_p + pi_p </t>
  </si>
  <si>
    <t>3HPADHi</t>
  </si>
  <si>
    <t>3-Hydroxypropanal Dehydrogenase</t>
  </si>
  <si>
    <t xml:space="preserve">nad_c + 3hppnl_c + h2o_c  -&gt; 2 h_c + nadh_c + 3hpp_c </t>
  </si>
  <si>
    <t>4ABZGLUtex_f</t>
  </si>
  <si>
    <t>P-aminobenzoyl glutamate transport via diffusion (extracellular to periplasm)</t>
  </si>
  <si>
    <t xml:space="preserve">4abzglu_e  -&gt; 4abzglu_p </t>
  </si>
  <si>
    <t>2HPTCOAT</t>
  </si>
  <si>
    <t>2-hydroxycyclohepta-1,4,6-triene-1-carboxyl-CoA thioesterase</t>
  </si>
  <si>
    <t xml:space="preserve">2hptcoa_c + h2o_c  -&gt; 2hptcl_c + coa_c </t>
  </si>
  <si>
    <t>MC6PH</t>
  </si>
  <si>
    <t>Monoacetylchitobiose-6-phosphate hydrolase</t>
  </si>
  <si>
    <t xml:space="preserve">mchtbs6p_c + h2o_c  -&gt; acgam6p_c + gam_c </t>
  </si>
  <si>
    <t>SLNTabcpp</t>
  </si>
  <si>
    <t>Selenite ABC transporter (periplasm)</t>
  </si>
  <si>
    <t xml:space="preserve">slnt_p + atp_c + h2o_c  -&gt; h_c + adp_c + pi_c + slnt_c </t>
  </si>
  <si>
    <t>VALt2rpp</t>
  </si>
  <si>
    <t>L-valine reversible transport via proton symport (periplasm)</t>
  </si>
  <si>
    <t xml:space="preserve">val__L_p + h_p  -&gt; h_c + val__L_c </t>
  </si>
  <si>
    <t>VALt3pp</t>
  </si>
  <si>
    <t>L-valine transport out via proton antiport (periplasm)</t>
  </si>
  <si>
    <t xml:space="preserve">h_p + val__L_c  -&gt; h_c + val__L_p </t>
  </si>
  <si>
    <t>MN2tipp</t>
  </si>
  <si>
    <t xml:space="preserve">mn2_c  -&gt; mn2_p </t>
  </si>
  <si>
    <t>PSURItpp</t>
  </si>
  <si>
    <t>Pseudouridine transport via permease</t>
  </si>
  <si>
    <t xml:space="preserve">psuri_p  -&gt; psuri_c </t>
  </si>
  <si>
    <t>CYSTA</t>
  </si>
  <si>
    <t>Cysteine transaminase</t>
  </si>
  <si>
    <t xml:space="preserve">akg_c + cys__L_c  -&gt; glu__L_c + mercppyr_c </t>
  </si>
  <si>
    <t>2.6.1.1</t>
  </si>
  <si>
    <t>FE3DCITR5</t>
  </si>
  <si>
    <t>Ferric-dicitrate reductase via nadph</t>
  </si>
  <si>
    <t xml:space="preserve">2 fe3dcit_c + nadph_c  -&gt; h_c + 2 fe2_c + nadp_c + 4 cit_c </t>
  </si>
  <si>
    <t>4HTHRA_f</t>
  </si>
  <si>
    <t>4-hydroxy-L-threonine aldolase</t>
  </si>
  <si>
    <t xml:space="preserve">4hthr_c  -&gt; gly_c + gcald_c </t>
  </si>
  <si>
    <t>GAPP</t>
  </si>
  <si>
    <t>Glyceraldehyde-3-phosphate phosphatase</t>
  </si>
  <si>
    <t xml:space="preserve">g3p_c + h2o_c  -&gt; glyald_c + pi_c </t>
  </si>
  <si>
    <t>METGLCURt2pp</t>
  </si>
  <si>
    <t>1-O-methyl-Beta-D-glucuronate transport via proton symport (periplasm)</t>
  </si>
  <si>
    <t xml:space="preserve">h_p + metglcur_p  -&gt; metglcur_c + h_c </t>
  </si>
  <si>
    <t>METGLCURtex_f</t>
  </si>
  <si>
    <t>1-O-methyl-Beta-D-glucuronate via diffusion (extracellular)</t>
  </si>
  <si>
    <t xml:space="preserve">metglcur_e  -&gt; metglcur_p </t>
  </si>
  <si>
    <t>FMNt</t>
  </si>
  <si>
    <t>FMN transporter, periplasm</t>
  </si>
  <si>
    <t xml:space="preserve">fmn_c  -&gt; fmn_p </t>
  </si>
  <si>
    <t>AI2tex_f</t>
  </si>
  <si>
    <t>Ai2 transport, outer membrane</t>
  </si>
  <si>
    <t xml:space="preserve">mththf_e  -&gt; mththf_p </t>
  </si>
  <si>
    <t>PAI2T</t>
  </si>
  <si>
    <t>3-hydroxy-2,4-pentadione 5-phosphate thiolase</t>
  </si>
  <si>
    <t xml:space="preserve">dhptdd_c + coa_c  -&gt; dhap_c + accoa_c </t>
  </si>
  <si>
    <t>2.3.1.245</t>
  </si>
  <si>
    <t>CUt2pp</t>
  </si>
  <si>
    <t>Copper transport out via permease (no H+)</t>
  </si>
  <si>
    <t xml:space="preserve">cu_c  -&gt; cu_p </t>
  </si>
  <si>
    <t>DHCURR</t>
  </si>
  <si>
    <t>NADPH-dependent dihydrocurcumin reductase</t>
  </si>
  <si>
    <t xml:space="preserve">h_c + nadph_c + dhcur_c  -&gt; nadp_c + thcur_c </t>
  </si>
  <si>
    <t>RHMND_f</t>
  </si>
  <si>
    <t>L-rhamnonate dehydratase</t>
  </si>
  <si>
    <t xml:space="preserve">rhmn_c  -&gt; lkdr_c + h2o_c </t>
  </si>
  <si>
    <t>4.2.1.90</t>
  </si>
  <si>
    <t>3HBZCT</t>
  </si>
  <si>
    <t>3-hydroxybenzoyl-CoA thioesterase</t>
  </si>
  <si>
    <t xml:space="preserve">3hbzcoa_c + h2o_c  -&gt; 3hbz_c + coa_c </t>
  </si>
  <si>
    <t>CXSAMS</t>
  </si>
  <si>
    <t>Carboxy-S-adenosyl-L-methionine synthase</t>
  </si>
  <si>
    <t xml:space="preserve">amet_c + pphn_c  -&gt; phpyr_c + h2o_c + cxsam_c </t>
  </si>
  <si>
    <t>2.1.3.-</t>
  </si>
  <si>
    <t>THRt2rpp</t>
  </si>
  <si>
    <t>L-threonine reversible transport via proton symport (periplasm)</t>
  </si>
  <si>
    <t xml:space="preserve">h_p + thr__L_p  -&gt; h_c + thr__L_c </t>
  </si>
  <si>
    <t>SERt2rpp</t>
  </si>
  <si>
    <t>L-serine reversible transport via proton symport (periplasm)</t>
  </si>
  <si>
    <t xml:space="preserve">h_p + ser__L_p  -&gt; h_c + ser__L_c </t>
  </si>
  <si>
    <t>ACOAD1f</t>
  </si>
  <si>
    <t xml:space="preserve">btcoa_c + fad_c  -&gt; fadh2_c + b2coa_c </t>
  </si>
  <si>
    <t>AMPNTAT</t>
  </si>
  <si>
    <t>Aminoalkylphosphonate N-acetyltransferase</t>
  </si>
  <si>
    <t xml:space="preserve">accoa_c + ampnt_c  -&gt; acampnt_c + coa_c </t>
  </si>
  <si>
    <t>SQGH</t>
  </si>
  <si>
    <t>Sulfoquinovosidase</t>
  </si>
  <si>
    <t xml:space="preserve">sqg_c + h2o_c  -&gt; sq_c + glyc_c </t>
  </si>
  <si>
    <t>3.2.1.199</t>
  </si>
  <si>
    <t>ASPtpp_f</t>
  </si>
  <si>
    <t>L-aspartate uptake via facillitated diffusion</t>
  </si>
  <si>
    <t xml:space="preserve">asp__L_p  -&gt; asp__L_c </t>
  </si>
  <si>
    <t>FUMt1pp_f</t>
  </si>
  <si>
    <t>Fumarate transport via diffusion in (periplasm)</t>
  </si>
  <si>
    <t xml:space="preserve">fum_p  -&gt; fum_c </t>
  </si>
  <si>
    <t>SUCCt1pp_f</t>
  </si>
  <si>
    <t>Succinate transport via diffusion in (periplasm)</t>
  </si>
  <si>
    <t xml:space="preserve">succ_p  -&gt; succ_c </t>
  </si>
  <si>
    <t>QUINDH</t>
  </si>
  <si>
    <t>Quinate dehydrogenase</t>
  </si>
  <si>
    <t xml:space="preserve">nad_c + quin_c  -&gt; 2 h_c + 3dhq_c + nadh_c </t>
  </si>
  <si>
    <t>LCARSyi</t>
  </si>
  <si>
    <t xml:space="preserve">h_c + lald__L_c + nadph_c  -&gt; nadp_c + 12ppd__S_c </t>
  </si>
  <si>
    <t>GTHOr_b</t>
  </si>
  <si>
    <t xml:space="preserve">2 gthrd_c + nadp_c  -&gt; h_c + nadph_c + gthox_c </t>
  </si>
  <si>
    <t>SHK3Dr_b</t>
  </si>
  <si>
    <t xml:space="preserve">skm_c + nadp_c  -&gt; h_c + 3dhsk_c + nadph_c </t>
  </si>
  <si>
    <t>MAN6PI_b</t>
  </si>
  <si>
    <t xml:space="preserve">f6p_c  -&gt; man6p_c </t>
  </si>
  <si>
    <t>TMDPP_b</t>
  </si>
  <si>
    <t xml:space="preserve">2dr1p_c + thym_c  -&gt; pi_c + thymd_c </t>
  </si>
  <si>
    <t>HCO3E_b</t>
  </si>
  <si>
    <t xml:space="preserve">h_c + hco3_c  -&gt; h2o_c + co2_c </t>
  </si>
  <si>
    <t>IMPC_b</t>
  </si>
  <si>
    <t xml:space="preserve">fprica_c  -&gt; imp_c + h2o_c </t>
  </si>
  <si>
    <t>ECOAH4_b</t>
  </si>
  <si>
    <t xml:space="preserve">dc2coa_c + h2o_c  -&gt; 3hdcoa_c </t>
  </si>
  <si>
    <t>NDPK5_b</t>
  </si>
  <si>
    <t xml:space="preserve">adp_c + dgtp_c  -&gt; dgdp_c + atp_c </t>
  </si>
  <si>
    <t>DHORTS_b</t>
  </si>
  <si>
    <t xml:space="preserve">h_c + cbasp_c  -&gt; dhor__S_c + h2o_c </t>
  </si>
  <si>
    <t>ICDHyr_b</t>
  </si>
  <si>
    <t xml:space="preserve">akg_c + nadph_c + co2_c  -&gt; nadp_c + icit_c </t>
  </si>
  <si>
    <t>ACALD_b</t>
  </si>
  <si>
    <t xml:space="preserve">h_c + accoa_c + nadh_c  -&gt; nad_c + coa_c + acald_c </t>
  </si>
  <si>
    <t>ALAR_b</t>
  </si>
  <si>
    <t xml:space="preserve">ala__D_c  -&gt; ala__L_c </t>
  </si>
  <si>
    <t>ALATA_L_b</t>
  </si>
  <si>
    <t xml:space="preserve">glu__L_c + pyr_c  -&gt; akg_c + ala__L_c </t>
  </si>
  <si>
    <t>PPM_b</t>
  </si>
  <si>
    <t xml:space="preserve">r5p_c  -&gt; r1p_c </t>
  </si>
  <si>
    <t>ASPTA_b</t>
  </si>
  <si>
    <t xml:space="preserve">glu__L_c + oaa_c  -&gt; akg_c + asp__L_c </t>
  </si>
  <si>
    <t>A5PISO_b</t>
  </si>
  <si>
    <t xml:space="preserve">ara5p_c  -&gt; ru5p__D_c </t>
  </si>
  <si>
    <t>IPPMIb_b</t>
  </si>
  <si>
    <t xml:space="preserve">3c3hmp_c  -&gt; h2o_c + 2ippm_c </t>
  </si>
  <si>
    <t>PSCVT_b</t>
  </si>
  <si>
    <t xml:space="preserve">pi_c + 3psme_c  -&gt; pep_c + skm5p_c </t>
  </si>
  <si>
    <t>ECOAH6_b</t>
  </si>
  <si>
    <t xml:space="preserve">h2o_c + td2coa_c  -&gt; 3htdcoa_c </t>
  </si>
  <si>
    <t>ENO_b</t>
  </si>
  <si>
    <t xml:space="preserve">pep_c + h2o_c  -&gt; 2pg_c </t>
  </si>
  <si>
    <t>FBA_b</t>
  </si>
  <si>
    <t xml:space="preserve">dhap_c + g3p_c  -&gt; fdp_c </t>
  </si>
  <si>
    <t>PGI_b</t>
  </si>
  <si>
    <t xml:space="preserve">f6p_c  -&gt; g6p_c </t>
  </si>
  <si>
    <t>PGK_b</t>
  </si>
  <si>
    <t xml:space="preserve">13dpg_c + adp_c  -&gt; 3pg_c + atp_c </t>
  </si>
  <si>
    <t>RPE_b</t>
  </si>
  <si>
    <t xml:space="preserve">xu5p__D_c  -&gt; ru5p__D_c </t>
  </si>
  <si>
    <t>TALA_b</t>
  </si>
  <si>
    <t xml:space="preserve">e4p_c + f6p_c  -&gt; g3p_c + s7p_c </t>
  </si>
  <si>
    <t>TKT1_b</t>
  </si>
  <si>
    <t xml:space="preserve">g3p_c + s7p_c  -&gt; r5p_c + xu5p__D_c </t>
  </si>
  <si>
    <t>ALCD2x_b</t>
  </si>
  <si>
    <t xml:space="preserve">h_c + acald_c + nadh_c  -&gt; nad_c + etoh_c </t>
  </si>
  <si>
    <t>RMI_b</t>
  </si>
  <si>
    <t xml:space="preserve">rml_c  -&gt; rmn_c </t>
  </si>
  <si>
    <t>NDPK6_b</t>
  </si>
  <si>
    <t xml:space="preserve">dutp_c + adp_c  -&gt; atp_c + dudp_c </t>
  </si>
  <si>
    <t>NDPK8_b</t>
  </si>
  <si>
    <t xml:space="preserve">adp_c + datp_c  -&gt; dadp_c + atp_c </t>
  </si>
  <si>
    <t>PYNP2r_b</t>
  </si>
  <si>
    <t xml:space="preserve">r1p_c + ura_c  -&gt; pi_c + uri_c </t>
  </si>
  <si>
    <t>DURIPP_b</t>
  </si>
  <si>
    <t xml:space="preserve">2dr1p_c + ura_c  -&gt; duri_c + pi_c </t>
  </si>
  <si>
    <t>TRPAS2_b</t>
  </si>
  <si>
    <t xml:space="preserve">nh4_c + indole_c + pyr_c  -&gt; trp__L_c + h2o_c </t>
  </si>
  <si>
    <t>ILETA_b</t>
  </si>
  <si>
    <t xml:space="preserve">glu__L_c + 3mop_c  -&gt; akg_c + ile__L_c </t>
  </si>
  <si>
    <t>VALTA_b</t>
  </si>
  <si>
    <t xml:space="preserve">3mob_c + glu__L_c  -&gt; akg_c + val__L_c </t>
  </si>
  <si>
    <t>ORPT_b</t>
  </si>
  <si>
    <t xml:space="preserve">prpp_c + orot_c  -&gt; orot5p_c + ppi_c </t>
  </si>
  <si>
    <t>PTAr_b</t>
  </si>
  <si>
    <t xml:space="preserve">actp_c + coa_c  -&gt; accoa_c + pi_c </t>
  </si>
  <si>
    <t>ACKr_b</t>
  </si>
  <si>
    <t xml:space="preserve">actp_c + adp_c  -&gt; ac_c + atp_c </t>
  </si>
  <si>
    <t>AIRC3_b</t>
  </si>
  <si>
    <t xml:space="preserve">5caiz_c  -&gt; 5aizc_c </t>
  </si>
  <si>
    <t>ADSL2r_b</t>
  </si>
  <si>
    <t xml:space="preserve">aicar_c + fum_c  -&gt; 25aics_c </t>
  </si>
  <si>
    <t>PUNP5_b</t>
  </si>
  <si>
    <t xml:space="preserve">r1p_c + hxan_c  -&gt; pi_c + ins_c </t>
  </si>
  <si>
    <t>PUNP6_b</t>
  </si>
  <si>
    <t xml:space="preserve">2dr1p_c + hxan_c  -&gt; pi_c + din_c </t>
  </si>
  <si>
    <t>PUNP7_b</t>
  </si>
  <si>
    <t xml:space="preserve">xan_c + r1p_c  -&gt; xtsn_c + pi_c </t>
  </si>
  <si>
    <t>PUNP1_b</t>
  </si>
  <si>
    <t xml:space="preserve">r1p_c + ade_c  -&gt; pi_c + adn_c </t>
  </si>
  <si>
    <t>PUNP2_b</t>
  </si>
  <si>
    <t xml:space="preserve">2dr1p_c + ade_c  -&gt; pi_c + dad_2_c </t>
  </si>
  <si>
    <t>PUNP3_b</t>
  </si>
  <si>
    <t xml:space="preserve">r1p_c + gua_c  -&gt; pi_c + gsn_c </t>
  </si>
  <si>
    <t>LYSAM_b</t>
  </si>
  <si>
    <t xml:space="preserve">36dahx_c  -&gt; lys__L_c </t>
  </si>
  <si>
    <t>IPPMIa_b</t>
  </si>
  <si>
    <t xml:space="preserve">h2o_c + 2ippm_c  -&gt; 3c2hmp_c </t>
  </si>
  <si>
    <t>MDH_b</t>
  </si>
  <si>
    <t xml:space="preserve">h_c + oaa_c + nadh_c  -&gt; nad_c + mal__L_c </t>
  </si>
  <si>
    <t>FUM_b</t>
  </si>
  <si>
    <t xml:space="preserve">mal__L_c  -&gt; fum_c + h2o_c </t>
  </si>
  <si>
    <t>OHPBAT_b</t>
  </si>
  <si>
    <t xml:space="preserve">akg_c + phthr_c  -&gt; ohpb_c + glu__L_c </t>
  </si>
  <si>
    <t>AGPR_b</t>
  </si>
  <si>
    <t xml:space="preserve">h_c + nadph_c + acg5p_c  -&gt; acg5sa_c + pi_c + nadp_c </t>
  </si>
  <si>
    <t>G1SAT_b</t>
  </si>
  <si>
    <t xml:space="preserve">5aop_c  -&gt; glu1sa_c </t>
  </si>
  <si>
    <t>GUI1_b</t>
  </si>
  <si>
    <t xml:space="preserve">fruur_c  -&gt; glcur_c </t>
  </si>
  <si>
    <t>PGAMT_b</t>
  </si>
  <si>
    <t xml:space="preserve">gam6p_c  -&gt; gam1p_c </t>
  </si>
  <si>
    <t>GLUR_b</t>
  </si>
  <si>
    <t xml:space="preserve">glu__L_c  -&gt; glu__D_c </t>
  </si>
  <si>
    <t>UAG2E_b</t>
  </si>
  <si>
    <t xml:space="preserve">uacmam_c  -&gt; uacgam_c </t>
  </si>
  <si>
    <t>HACD5_b</t>
  </si>
  <si>
    <t xml:space="preserve">nad_c + 3hddcoa_c  -&gt; h_c + 3oddcoa_c + nadh_c </t>
  </si>
  <si>
    <t>GHMT2r_b</t>
  </si>
  <si>
    <t xml:space="preserve">mlthf_c + h2o_c + gly_c  -&gt; ser__L_c + thf_c </t>
  </si>
  <si>
    <t>ADK4_b</t>
  </si>
  <si>
    <t xml:space="preserve">adp_c + idp_c  -&gt; itp_c + amp_c </t>
  </si>
  <si>
    <t>KARA1_b</t>
  </si>
  <si>
    <t xml:space="preserve">h_c + alac__S_c + nadph_c  -&gt; 23dhmb_c + nadp_c </t>
  </si>
  <si>
    <t>KARA2_b</t>
  </si>
  <si>
    <t xml:space="preserve">nadp_c + 23dhmp_c  -&gt; h_c + 2ahbut_c + nadph_c </t>
  </si>
  <si>
    <t>ICHORS_copy2_b</t>
  </si>
  <si>
    <t xml:space="preserve">ichor_c  -&gt; chor_c </t>
  </si>
  <si>
    <t>DHBD_b</t>
  </si>
  <si>
    <t xml:space="preserve">h_c + 23dhb_c + nadh_c  -&gt; nad_c + 23ddhb_c </t>
  </si>
  <si>
    <t>RBP4E_b</t>
  </si>
  <si>
    <t xml:space="preserve">xu5p__D_c  -&gt; ru5p__L_c </t>
  </si>
  <si>
    <t>HACD6_b</t>
  </si>
  <si>
    <t xml:space="preserve">nad_c + 3htdcoa_c  -&gt; h_c + 3otdcoa_c + nadh_c </t>
  </si>
  <si>
    <t>ECOAH1_b</t>
  </si>
  <si>
    <t xml:space="preserve">h2o_c + b2coa_c  -&gt; 3hbcoa_c </t>
  </si>
  <si>
    <t>ECOAH2_b</t>
  </si>
  <si>
    <t xml:space="preserve">hx2coa_c + h2o_c  -&gt; 3hhcoa_c </t>
  </si>
  <si>
    <t>ECOAH3_b</t>
  </si>
  <si>
    <t xml:space="preserve">h2o_c + oc2coa_c  -&gt; 3hocoa_c </t>
  </si>
  <si>
    <t>UGLT_b</t>
  </si>
  <si>
    <t xml:space="preserve">udpgal_c + g1p_c  -&gt; gal1p_c + udpg_c </t>
  </si>
  <si>
    <t>XYLI2_b</t>
  </si>
  <si>
    <t xml:space="preserve">fru_c  -&gt; glc__D_c </t>
  </si>
  <si>
    <t>PMANM_b</t>
  </si>
  <si>
    <t xml:space="preserve">man6p_c  -&gt; man1p_c </t>
  </si>
  <si>
    <t>UDPG4E_b</t>
  </si>
  <si>
    <t xml:space="preserve">udpgal_c  -&gt; udpg_c </t>
  </si>
  <si>
    <t>XYLI1_b</t>
  </si>
  <si>
    <t xml:space="preserve">xylu__D_c  -&gt; xyl__D_c </t>
  </si>
  <si>
    <t>LCARS_b</t>
  </si>
  <si>
    <t xml:space="preserve">nad_c + 12ppd__S_c  -&gt; h_c + lald__L_c + nadh_c </t>
  </si>
  <si>
    <t>ALCD19_b</t>
  </si>
  <si>
    <t xml:space="preserve">nad_c + glyc_c  -&gt; h_c + glyald_c + nadh_c </t>
  </si>
  <si>
    <t>RMPA_b</t>
  </si>
  <si>
    <t xml:space="preserve">dhap_c + lald__L_c  -&gt; rml1p_c </t>
  </si>
  <si>
    <t>SBTPD_b</t>
  </si>
  <si>
    <t xml:space="preserve">h_c + f6p_c + nadh_c  -&gt; nad_c + sbt6p_c </t>
  </si>
  <si>
    <t>GLTPD_b</t>
  </si>
  <si>
    <t xml:space="preserve">h_c + tag6p__D_c + nadh_c  -&gt; nad_c + galt1p_c </t>
  </si>
  <si>
    <t>TGBPA_b</t>
  </si>
  <si>
    <t xml:space="preserve">dhap_c + g3p_c  -&gt; tagdp__D_c </t>
  </si>
  <si>
    <t>MANAO_b</t>
  </si>
  <si>
    <t xml:space="preserve">h_c + fruur_c + nadh_c  -&gt; nad_c + mana_c </t>
  </si>
  <si>
    <t>TAGURr_b</t>
  </si>
  <si>
    <t xml:space="preserve">h_c + tagur_c + nadh_c  -&gt; nad_c + altrn_c </t>
  </si>
  <si>
    <t>HACD4_b</t>
  </si>
  <si>
    <t xml:space="preserve">nad_c + 3hdcoa_c  -&gt; h_c + 3odcoa_c + nadh_c </t>
  </si>
  <si>
    <t>HACD7_b</t>
  </si>
  <si>
    <t xml:space="preserve">nad_c + 3hhdcoa_c  -&gt; h_c + 3ohdcoa_c + nadh_c </t>
  </si>
  <si>
    <t>ADK1_b</t>
  </si>
  <si>
    <t xml:space="preserve">2 adp_c  -&gt; atp_c + amp_c </t>
  </si>
  <si>
    <t>SERASr_b</t>
  </si>
  <si>
    <t xml:space="preserve">ppi_c + seramp_c  -&gt; h_c + ser__L_c + atp_c </t>
  </si>
  <si>
    <t>MLTP2_b</t>
  </si>
  <si>
    <t xml:space="preserve">g1p_c + maltpt_c  -&gt; pi_c + malthx_c </t>
  </si>
  <si>
    <t>CYTK1_b</t>
  </si>
  <si>
    <t xml:space="preserve">adp_c + cdp_c  -&gt; atp_c + cmp_c </t>
  </si>
  <si>
    <t>CYTK2_b</t>
  </si>
  <si>
    <t xml:space="preserve">adp_c + dcdp_c  -&gt; atp_c + dcmp_c </t>
  </si>
  <si>
    <t>GK1_b</t>
  </si>
  <si>
    <t xml:space="preserve">adp_c + gdp_c  -&gt; atp_c + gmp_c </t>
  </si>
  <si>
    <t>HACD1_b</t>
  </si>
  <si>
    <t xml:space="preserve">nad_c + 3hbcoa_c  -&gt; h_c + aacoa_c + nadh_c </t>
  </si>
  <si>
    <t>HACD2_b</t>
  </si>
  <si>
    <t xml:space="preserve">nad_c + 3hhcoa_c  -&gt; h_c + 3ohcoa_c + nadh_c </t>
  </si>
  <si>
    <t>NDPK7_b</t>
  </si>
  <si>
    <t xml:space="preserve">adp_c + dctp_c  -&gt; atp_c + dcdp_c </t>
  </si>
  <si>
    <t>GLYAT_b</t>
  </si>
  <si>
    <t xml:space="preserve">2aobut_c + coa_c  -&gt; accoa_c + gly_c </t>
  </si>
  <si>
    <t>CRNBTCT_b</t>
  </si>
  <si>
    <t xml:space="preserve">gbbtn_c + crncoa_c  -&gt; bbtcoa_c + crn_c </t>
  </si>
  <si>
    <t>CRNCBCT_b</t>
  </si>
  <si>
    <t xml:space="preserve">ctbt_c + crncoa_c  -&gt; crn_c + ctbtcoa_c </t>
  </si>
  <si>
    <t>CRNCDH_b</t>
  </si>
  <si>
    <t xml:space="preserve">h2o_c + ctbtcoa_c  -&gt; crncoa_c </t>
  </si>
  <si>
    <t>NDPK2_b</t>
  </si>
  <si>
    <t xml:space="preserve">adp_c + utp_c  -&gt; atp_c + udp_c </t>
  </si>
  <si>
    <t>NDPK3_b</t>
  </si>
  <si>
    <t xml:space="preserve">ctp_c + adp_c  -&gt; atp_c + cdp_c </t>
  </si>
  <si>
    <t>NDPK4_b</t>
  </si>
  <si>
    <t xml:space="preserve">adp_c + dttp_c  -&gt; atp_c + dtdp_c </t>
  </si>
  <si>
    <t>DGK1_b</t>
  </si>
  <si>
    <t xml:space="preserve">adp_c + dgdp_c  -&gt; atp_c + dgmp_c </t>
  </si>
  <si>
    <t>DTMPK_b</t>
  </si>
  <si>
    <t xml:space="preserve">adp_c + dtdp_c  -&gt; atp_c + dtmp_c </t>
  </si>
  <si>
    <t>NDPK1_b</t>
  </si>
  <si>
    <t xml:space="preserve">adp_c + gtp_c  -&gt; atp_c + gdp_c </t>
  </si>
  <si>
    <t>PGMT_b</t>
  </si>
  <si>
    <t xml:space="preserve">g6p_c  -&gt; g1p_c </t>
  </si>
  <si>
    <t>5.4.2.2, 5.4.2.6</t>
  </si>
  <si>
    <t>UMPK_b</t>
  </si>
  <si>
    <t xml:space="preserve">adp_c + udp_c  -&gt; ump_c + atp_c </t>
  </si>
  <si>
    <t>DDPGALA_b</t>
  </si>
  <si>
    <t xml:space="preserve">g3p_c + pyr_c  -&gt; 2dh3dgal6p_c </t>
  </si>
  <si>
    <t>F6PA_b</t>
  </si>
  <si>
    <t xml:space="preserve">g3p_c + dha_c  -&gt; f6p_c </t>
  </si>
  <si>
    <t>IDOND_b</t>
  </si>
  <si>
    <t xml:space="preserve">nad_c + idon__L_c  -&gt; h_c + 5dglcn_c + nadh_c </t>
  </si>
  <si>
    <t>MCOATA_b</t>
  </si>
  <si>
    <t xml:space="preserve">coa_c + malACP_c  -&gt; malcoa_c + ACP_c </t>
  </si>
  <si>
    <t>DAPE_b</t>
  </si>
  <si>
    <t xml:space="preserve">26dap__M_c  -&gt; 26dap_LL_c </t>
  </si>
  <si>
    <t>SDPTA_b</t>
  </si>
  <si>
    <t xml:space="preserve">glu__L_c + sl2a6o_c  -&gt; akg_c + sl26da_c </t>
  </si>
  <si>
    <t>ARAI_b</t>
  </si>
  <si>
    <t xml:space="preserve">rbl__L_c  -&gt; arab__L_c </t>
  </si>
  <si>
    <t>M1PD_b</t>
  </si>
  <si>
    <t xml:space="preserve">h_c + f6p_c + nadh_c  -&gt; nad_c + mnl1p_c </t>
  </si>
  <si>
    <t>G3PD2_b</t>
  </si>
  <si>
    <t xml:space="preserve">h_c + dhap_c + nadph_c  -&gt; glyc3p_c + nadp_c </t>
  </si>
  <si>
    <t>FCI_b</t>
  </si>
  <si>
    <t xml:space="preserve">fcl__L_c  -&gt; fuc__L_c </t>
  </si>
  <si>
    <t>FCLPA_b</t>
  </si>
  <si>
    <t xml:space="preserve">dhap_c + lald__L_c  -&gt; fc1p_c </t>
  </si>
  <si>
    <t>UAGAAT_b</t>
  </si>
  <si>
    <t xml:space="preserve">u3aga_c + ACP_c  -&gt; uacgam_c + 3hmrsACP_c </t>
  </si>
  <si>
    <t>PRPPS_b</t>
  </si>
  <si>
    <t xml:space="preserve">h_c + prpp_c + amp_c  -&gt; r5p_c + atp_c </t>
  </si>
  <si>
    <t>PRMICI_b</t>
  </si>
  <si>
    <t xml:space="preserve">prlp_c  -&gt; prfp_c </t>
  </si>
  <si>
    <t>SERAT_b</t>
  </si>
  <si>
    <t xml:space="preserve">acser_c + coa_c  -&gt; ser__L_c + accoa_c </t>
  </si>
  <si>
    <t>ASPK_b</t>
  </si>
  <si>
    <t xml:space="preserve">adp_c + 4pasp_c  -&gt; asp__L_c + atp_c </t>
  </si>
  <si>
    <t>ASAD_b</t>
  </si>
  <si>
    <t xml:space="preserve">h_c + nadph_c + 4pasp_c  -&gt; aspsa_c + pi_c + nadp_c </t>
  </si>
  <si>
    <t>CBMKr_b</t>
  </si>
  <si>
    <t xml:space="preserve">2 h_c + adp_c + cbp_c  -&gt; nh4_c + atp_c + co2_c </t>
  </si>
  <si>
    <t>AMANAPEr_b</t>
  </si>
  <si>
    <t xml:space="preserve">acgam6p_c  -&gt; acmanap_c </t>
  </si>
  <si>
    <t>NNATr_b</t>
  </si>
  <si>
    <t xml:space="preserve">ppi_c + dnad_c  -&gt; h_c + atp_c + nicrnt_c </t>
  </si>
  <si>
    <t>GAPD_b</t>
  </si>
  <si>
    <t xml:space="preserve">13dpg_c + h_c + nadh_c  -&gt; nad_c + g3p_c + pi_c </t>
  </si>
  <si>
    <t>ARGSL_b</t>
  </si>
  <si>
    <t xml:space="preserve">arg__L_c + fum_c  -&gt; argsuc_c </t>
  </si>
  <si>
    <t>ACOATA_b</t>
  </si>
  <si>
    <t xml:space="preserve">acACP_c + coa_c  -&gt; accoa_c + ACP_c </t>
  </si>
  <si>
    <t>MLTP3_b</t>
  </si>
  <si>
    <t xml:space="preserve">g1p_c + malthx_c  -&gt; pi_c + malthp_c </t>
  </si>
  <si>
    <t>OCBT_b</t>
  </si>
  <si>
    <t xml:space="preserve">h_c + citr__L_c + pi_c  -&gt; cbp_c + orn_c </t>
  </si>
  <si>
    <t>GARFT_b</t>
  </si>
  <si>
    <t xml:space="preserve">h_c + thf_c + fgam_c  -&gt; 10fthf_c + gar_c </t>
  </si>
  <si>
    <t>PHETA1_b</t>
  </si>
  <si>
    <t xml:space="preserve">phpyr_c + glu__L_c  -&gt; akg_c + phe__L_c </t>
  </si>
  <si>
    <t>MCITL2_b</t>
  </si>
  <si>
    <t xml:space="preserve">succ_c + pyr_c  -&gt; micit_c </t>
  </si>
  <si>
    <t>ACOTA_b</t>
  </si>
  <si>
    <t xml:space="preserve">acg5sa_c + glu__L_c  -&gt; akg_c + acorn_c </t>
  </si>
  <si>
    <t>2.6.1.19, 2.6.1.81</t>
  </si>
  <si>
    <t>PRAGSr_b</t>
  </si>
  <si>
    <t xml:space="preserve">h_c + adp_c + pi_c + gar_c  -&gt; atp_c + gly_c + pram_c </t>
  </si>
  <si>
    <t>PPAKr_b</t>
  </si>
  <si>
    <t xml:space="preserve">atp_c + ppa_c  -&gt; ppap_c + adp_c </t>
  </si>
  <si>
    <t>PPM2_b</t>
  </si>
  <si>
    <t xml:space="preserve">2dr5p_c  -&gt; 2dr1p_c </t>
  </si>
  <si>
    <t>G6PDH2r_b</t>
  </si>
  <si>
    <t xml:space="preserve">h_c + 6pgl_c + nadph_c  -&gt; nadp_c + g6p_c </t>
  </si>
  <si>
    <t>FBA3_b</t>
  </si>
  <si>
    <t xml:space="preserve">dhap_c + e4p_c  -&gt; s17bp_c </t>
  </si>
  <si>
    <t>ADK3_b</t>
  </si>
  <si>
    <t xml:space="preserve">adp_c + gdp_c  -&gt; gtp_c + amp_c </t>
  </si>
  <si>
    <t>HSDy_b</t>
  </si>
  <si>
    <t xml:space="preserve">h_c + aspsa_c + nadph_c  -&gt; hom__L_c + nadp_c </t>
  </si>
  <si>
    <t>GLUtex_b</t>
  </si>
  <si>
    <t xml:space="preserve">glu__L_p  -&gt; glu__L_e </t>
  </si>
  <si>
    <t>GLYtex_b</t>
  </si>
  <si>
    <t xml:space="preserve">gly_p  -&gt; gly_e </t>
  </si>
  <si>
    <t>GLYALDtex_b</t>
  </si>
  <si>
    <t xml:space="preserve">glyald_p  -&gt; glyald_e </t>
  </si>
  <si>
    <t>GLYBtex_b</t>
  </si>
  <si>
    <t xml:space="preserve">glyb_p  -&gt; glyb_e </t>
  </si>
  <si>
    <t>GLYCtex_b</t>
  </si>
  <si>
    <t xml:space="preserve">glyc_p  -&gt; glyc_e </t>
  </si>
  <si>
    <t>GLYC3Ptex_b</t>
  </si>
  <si>
    <t xml:space="preserve">glyc3p_p  -&gt; glyc3p_e </t>
  </si>
  <si>
    <t>GLYCLTtex_b</t>
  </si>
  <si>
    <t xml:space="preserve">glyclt_p  -&gt; glyclt_e </t>
  </si>
  <si>
    <t>GTPtex_b</t>
  </si>
  <si>
    <t xml:space="preserve">gtp_p  -&gt; gtp_e </t>
  </si>
  <si>
    <t>GUAtex_b</t>
  </si>
  <si>
    <t xml:space="preserve">gua_p  -&gt; gua_e </t>
  </si>
  <si>
    <t>Htex_b</t>
  </si>
  <si>
    <t xml:space="preserve">h_p  -&gt; h_e </t>
  </si>
  <si>
    <t>H2tex_b</t>
  </si>
  <si>
    <t xml:space="preserve">h2_p  -&gt; h2_e </t>
  </si>
  <si>
    <t>H2Otex_b</t>
  </si>
  <si>
    <t xml:space="preserve">h2o_p  -&gt; h2o_e </t>
  </si>
  <si>
    <t>DAPtex_b</t>
  </si>
  <si>
    <t xml:space="preserve">15dap_p  -&gt; 15dap_e </t>
  </si>
  <si>
    <t>12PPDStex_b</t>
  </si>
  <si>
    <t xml:space="preserve">12ppd__S_p  -&gt; 12ppd__S_e </t>
  </si>
  <si>
    <t>DDGLCNtex_b</t>
  </si>
  <si>
    <t xml:space="preserve">2ddglcn_p  -&gt; 2ddglcn_e </t>
  </si>
  <si>
    <t>26DAHtex_b</t>
  </si>
  <si>
    <t xml:space="preserve">26dap__M_p  -&gt; 26dap__M_e </t>
  </si>
  <si>
    <t>HCINNMtex_b</t>
  </si>
  <si>
    <t xml:space="preserve">3hcinnm_p  -&gt; 3hcinnm_e </t>
  </si>
  <si>
    <t>HPPPNtex_b</t>
  </si>
  <si>
    <t xml:space="preserve">3hpppn_p  -&gt; 3hpppn_e </t>
  </si>
  <si>
    <t>ACtex_b</t>
  </si>
  <si>
    <t xml:space="preserve">ac_p  -&gt; ac_e </t>
  </si>
  <si>
    <t>ACALDtex_b</t>
  </si>
  <si>
    <t xml:space="preserve">acald_p  -&gt; acald_e </t>
  </si>
  <si>
    <t>ACMANAtex_b</t>
  </si>
  <si>
    <t xml:space="preserve">acmana_p  -&gt; acmana_e </t>
  </si>
  <si>
    <t>ACACT7r_b</t>
  </si>
  <si>
    <t xml:space="preserve">3ohdcoa_c + coa_c  -&gt; accoa_c + tdcoa_c </t>
  </si>
  <si>
    <t>ACACT2r_b</t>
  </si>
  <si>
    <t xml:space="preserve">3ohcoa_c + coa_c  -&gt; accoa_c + btcoa_c </t>
  </si>
  <si>
    <t>ACACT3r_b</t>
  </si>
  <si>
    <t xml:space="preserve">3oocoa_c + coa_c  -&gt; accoa_c + hxcoa_c </t>
  </si>
  <si>
    <t>ACACT4r_b</t>
  </si>
  <si>
    <t xml:space="preserve">3odcoa_c + coa_c  -&gt; accoa_c + occoa_c </t>
  </si>
  <si>
    <t>SUCFUMtpp_b</t>
  </si>
  <si>
    <t xml:space="preserve">succ_p + fum_c  -&gt; fum_p + succ_c </t>
  </si>
  <si>
    <t>TARTRt7pp_b</t>
  </si>
  <si>
    <t xml:space="preserve">tartr__L_c + succ_p  -&gt; tartr__L_p + succ_c </t>
  </si>
  <si>
    <t>AHGDx_b</t>
  </si>
  <si>
    <t xml:space="preserve">h_c + akg_c + nadh_c  -&gt; nad_c + S2hglut_c </t>
  </si>
  <si>
    <t>1.1.1.399, 1.1.1.95</t>
  </si>
  <si>
    <t>AKGt2rpp_b</t>
  </si>
  <si>
    <t xml:space="preserve">h_c + akg_c  -&gt; h_p + akg_p </t>
  </si>
  <si>
    <t>THMDt2pp_copy2_b</t>
  </si>
  <si>
    <t xml:space="preserve">h_c + thymd_c  -&gt; h_p + thymd_p </t>
  </si>
  <si>
    <t>TRPt2rpp_b</t>
  </si>
  <si>
    <t xml:space="preserve">h_c + trp__L_c  -&gt; h_p + trp__L_p </t>
  </si>
  <si>
    <t>TYRt2rpp_b</t>
  </si>
  <si>
    <t xml:space="preserve">h_c + tyr__L_c  -&gt; tyr__L_p + h_p </t>
  </si>
  <si>
    <t>URIt2pp_copy2_b</t>
  </si>
  <si>
    <t xml:space="preserve">h_c + uri_c  -&gt; uri_p + h_p </t>
  </si>
  <si>
    <t>XTSNt2rpp_b</t>
  </si>
  <si>
    <t xml:space="preserve">h_c + xtsn_c  -&gt; h_p + xtsn_p </t>
  </si>
  <si>
    <t>GALtex_b</t>
  </si>
  <si>
    <t xml:space="preserve">gal_p  -&gt; gal_e </t>
  </si>
  <si>
    <t>GALCTtex_b</t>
  </si>
  <si>
    <t xml:space="preserve">galct__D_p  -&gt; galct__D_e </t>
  </si>
  <si>
    <t>GALCTNtex_b</t>
  </si>
  <si>
    <t xml:space="preserve">galctn__D_p  -&gt; galctn__D_e </t>
  </si>
  <si>
    <t>GALTtex_b</t>
  </si>
  <si>
    <t xml:space="preserve">galt_p  -&gt; galt_e </t>
  </si>
  <si>
    <t>GALURtex_b</t>
  </si>
  <si>
    <t xml:space="preserve">galur_p  -&gt; galur_e </t>
  </si>
  <si>
    <t>ACACt2pp_b</t>
  </si>
  <si>
    <t xml:space="preserve">h_c + acac_c  -&gt; h_p + acac_p </t>
  </si>
  <si>
    <t>TKT2_b</t>
  </si>
  <si>
    <t xml:space="preserve">g3p_c + f6p_c  -&gt; xu5p__D_c + e4p_c </t>
  </si>
  <si>
    <t>GAMtex_b</t>
  </si>
  <si>
    <t xml:space="preserve">gam_p  -&gt; gam_e </t>
  </si>
  <si>
    <t>GBBTNtex_b</t>
  </si>
  <si>
    <t xml:space="preserve">gbbtn_p  -&gt; gbbtn_e </t>
  </si>
  <si>
    <t>ARBt2rpp_b</t>
  </si>
  <si>
    <t xml:space="preserve">h_c + arab__L_c  -&gt; h_p + arab__L_p </t>
  </si>
  <si>
    <t>ARGAGMt7pp_b</t>
  </si>
  <si>
    <t xml:space="preserve">arg__L_c + agm_p  -&gt; agm_c + arg__L_p </t>
  </si>
  <si>
    <t>ASNt2rpp_b</t>
  </si>
  <si>
    <t xml:space="preserve">h_c + asn__L_c  -&gt; h_p + asn__L_p </t>
  </si>
  <si>
    <t>HIStex_b</t>
  </si>
  <si>
    <t xml:space="preserve">his__L_p  -&gt; his__L_e </t>
  </si>
  <si>
    <t>HXAtex_b</t>
  </si>
  <si>
    <t xml:space="preserve">hxa_p  -&gt; hxa_e </t>
  </si>
  <si>
    <t>HYXNtex_b</t>
  </si>
  <si>
    <t xml:space="preserve">hxan_p  -&gt; hxan_e </t>
  </si>
  <si>
    <t>IDONtex_b</t>
  </si>
  <si>
    <t xml:space="preserve">idon__L_p  -&gt; idon__L_e </t>
  </si>
  <si>
    <t>ILEtex_b</t>
  </si>
  <si>
    <t xml:space="preserve">ile__L_p  -&gt; ile__L_e </t>
  </si>
  <si>
    <t>INSTtex_b</t>
  </si>
  <si>
    <t xml:space="preserve">inost_p  -&gt; inost_e </t>
  </si>
  <si>
    <t>INStex_b</t>
  </si>
  <si>
    <t xml:space="preserve">ins_p  -&gt; ins_e </t>
  </si>
  <si>
    <t>Ktex_b</t>
  </si>
  <si>
    <t xml:space="preserve">k_p  -&gt; k_e </t>
  </si>
  <si>
    <t>D_LACtex_b</t>
  </si>
  <si>
    <t xml:space="preserve">lac__D_p  -&gt; lac__D_e </t>
  </si>
  <si>
    <t>FRULYStex_b</t>
  </si>
  <si>
    <t xml:space="preserve">frulys_p  -&gt; frulys_e </t>
  </si>
  <si>
    <t>GALCTt2rpp_b</t>
  </si>
  <si>
    <t xml:space="preserve">h_c + galct__D_c  -&gt; h_p + galct__D_p </t>
  </si>
  <si>
    <t>ASPtex_b</t>
  </si>
  <si>
    <t xml:space="preserve">asp__L_p  -&gt; asp__L_e </t>
  </si>
  <si>
    <t>ACt2rpp_b</t>
  </si>
  <si>
    <t xml:space="preserve">h_c + ac_c  -&gt; h_p + ac_p </t>
  </si>
  <si>
    <t>ATPS4rpp_b</t>
  </si>
  <si>
    <t xml:space="preserve">3 h_c + atp_c + h2o_c  -&gt; 4 h_p + adp_c + pi_c </t>
  </si>
  <si>
    <t>INDOLEtex_b</t>
  </si>
  <si>
    <t xml:space="preserve">indole_p  -&gt; indole_e </t>
  </si>
  <si>
    <t>L_LACtex_b</t>
  </si>
  <si>
    <t xml:space="preserve">lac__L_p  -&gt; lac__L_e </t>
  </si>
  <si>
    <t>ADEt2rpp_b</t>
  </si>
  <si>
    <t xml:space="preserve">h_c + ade_c  -&gt; h_p + ade_p </t>
  </si>
  <si>
    <t>ADNt2pp_copy2_b</t>
  </si>
  <si>
    <t xml:space="preserve">h_c + adn_c  -&gt; h_p + adn_p </t>
  </si>
  <si>
    <t>ALLTNt2rpp_b</t>
  </si>
  <si>
    <t xml:space="preserve">h_c + alltn_c  -&gt; h_p + alltn_p </t>
  </si>
  <si>
    <t>ECOAH8_b</t>
  </si>
  <si>
    <t xml:space="preserve">od2coa_c + h2o_c  -&gt; 3hodcoa_c </t>
  </si>
  <si>
    <t>GUAtpp_b</t>
  </si>
  <si>
    <t xml:space="preserve">gua_c  -&gt; gua_p </t>
  </si>
  <si>
    <t>HYXNtpp_b</t>
  </si>
  <si>
    <t xml:space="preserve">hxan_c  -&gt; hxan_p </t>
  </si>
  <si>
    <t>GLCRtex_b</t>
  </si>
  <si>
    <t xml:space="preserve">glcr_p  -&gt; glcr_e </t>
  </si>
  <si>
    <t>GLCNtex_b</t>
  </si>
  <si>
    <t xml:space="preserve">glcn_p  -&gt; glcn_e </t>
  </si>
  <si>
    <t>GLCURtex_b</t>
  </si>
  <si>
    <t xml:space="preserve">glcur_p  -&gt; glcur_e </t>
  </si>
  <si>
    <t>GLNtex_b</t>
  </si>
  <si>
    <t xml:space="preserve">gln__L_p  -&gt; gln__L_e </t>
  </si>
  <si>
    <t>O2tex_b</t>
  </si>
  <si>
    <t xml:space="preserve">o2_p  -&gt; o2_e </t>
  </si>
  <si>
    <t>OCTAtex_b</t>
  </si>
  <si>
    <t xml:space="preserve">octa_p  -&gt; octa_e </t>
  </si>
  <si>
    <t>ORNtex_b</t>
  </si>
  <si>
    <t xml:space="preserve">orn_p  -&gt; orn_e </t>
  </si>
  <si>
    <t>ECOAH5_b</t>
  </si>
  <si>
    <t xml:space="preserve">h2o_c + dd2coa_c  -&gt; 3hddcoa_c </t>
  </si>
  <si>
    <t>FUCtpp_b</t>
  </si>
  <si>
    <t xml:space="preserve">h_c + fuc__L_c  -&gt; h_p + fuc__L_p </t>
  </si>
  <si>
    <t>CYTDt2pp_copy2_b</t>
  </si>
  <si>
    <t xml:space="preserve">h_c + cytd_c  -&gt; h_p + cytd_p </t>
  </si>
  <si>
    <t>DDGLCNt2rpp_b</t>
  </si>
  <si>
    <t xml:space="preserve">h_c + 2ddglcn_c  -&gt; h_p + 2ddglcn_p </t>
  </si>
  <si>
    <t>RMNtex_b</t>
  </si>
  <si>
    <t xml:space="preserve">rmn_p  -&gt; rmn_e </t>
  </si>
  <si>
    <t>PHEtex_b</t>
  </si>
  <si>
    <t xml:space="preserve">phe__L_p  -&gt; phe__L_e </t>
  </si>
  <si>
    <t>PItex_b</t>
  </si>
  <si>
    <t xml:space="preserve">pi_p  -&gt; pi_e </t>
  </si>
  <si>
    <t>TRSARr_b</t>
  </si>
  <si>
    <t xml:space="preserve">nad_c + glyc__R_c  -&gt; h_c + 2h3oppan_c + nadh_c </t>
  </si>
  <si>
    <t>PNTOtex_b</t>
  </si>
  <si>
    <t xml:space="preserve">pnto__R_p  -&gt; pnto__R_e </t>
  </si>
  <si>
    <t>PPPNtex_b</t>
  </si>
  <si>
    <t xml:space="preserve">pppn_p  -&gt; pppn_e </t>
  </si>
  <si>
    <t>PPTtex_b</t>
  </si>
  <si>
    <t xml:space="preserve">ppt_p  -&gt; ppt_e </t>
  </si>
  <si>
    <t>PTRCtex_b</t>
  </si>
  <si>
    <t xml:space="preserve">ptrc_p  -&gt; ptrc_e </t>
  </si>
  <si>
    <t>PYRtex_b</t>
  </si>
  <si>
    <t xml:space="preserve">pyr_p  -&gt; pyr_e </t>
  </si>
  <si>
    <t>DSERtex_b</t>
  </si>
  <si>
    <t xml:space="preserve">ser__D_p  -&gt; ser__D_e </t>
  </si>
  <si>
    <t>SERtex_b</t>
  </si>
  <si>
    <t xml:space="preserve">ser__L_p  -&gt; ser__L_e </t>
  </si>
  <si>
    <t>SO4tex_b</t>
  </si>
  <si>
    <t xml:space="preserve">so4_p  -&gt; so4_e </t>
  </si>
  <si>
    <t>SPMDtex_b</t>
  </si>
  <si>
    <t xml:space="preserve">spmd_p  -&gt; spmd_e </t>
  </si>
  <si>
    <t>SUCCtex_b</t>
  </si>
  <si>
    <t xml:space="preserve">succ_p  -&gt; succ_e </t>
  </si>
  <si>
    <t>SUCRtex_b</t>
  </si>
  <si>
    <t xml:space="preserve">sucr_p  -&gt; sucr_e </t>
  </si>
  <si>
    <t>TARTRtex_b</t>
  </si>
  <si>
    <t xml:space="preserve">tartr__L_p  -&gt; tartr__L_e </t>
  </si>
  <si>
    <t>TAURtex_b</t>
  </si>
  <si>
    <t xml:space="preserve">taur_p  -&gt; taur_e </t>
  </si>
  <si>
    <t>THRtex_b</t>
  </si>
  <si>
    <t xml:space="preserve">thr__L_p  -&gt; thr__L_e </t>
  </si>
  <si>
    <t>THMDtex_b</t>
  </si>
  <si>
    <t xml:space="preserve">thymd_p  -&gt; thymd_e </t>
  </si>
  <si>
    <t>METDtex_b</t>
  </si>
  <si>
    <t xml:space="preserve">met__D_p  -&gt; met__D_e </t>
  </si>
  <si>
    <t>METtex_b</t>
  </si>
  <si>
    <t xml:space="preserve">met__L_p  -&gt; met__L_e </t>
  </si>
  <si>
    <t>MNLtex_b</t>
  </si>
  <si>
    <t xml:space="preserve">mnl_p  -&gt; mnl_e </t>
  </si>
  <si>
    <t>NAtex_b</t>
  </si>
  <si>
    <t xml:space="preserve">na1_p  -&gt; na1_e </t>
  </si>
  <si>
    <t>NACtex_b</t>
  </si>
  <si>
    <t xml:space="preserve">nac_p  -&gt; nac_e </t>
  </si>
  <si>
    <t>NH4tex_b</t>
  </si>
  <si>
    <t xml:space="preserve">nh4_p  -&gt; nh4_e </t>
  </si>
  <si>
    <t>BUTtex_b</t>
  </si>
  <si>
    <t xml:space="preserve">but_p  -&gt; but_e </t>
  </si>
  <si>
    <t>CHLtex_b</t>
  </si>
  <si>
    <t xml:space="preserve">chol_p  -&gt; chol_e </t>
  </si>
  <si>
    <t>CO2tex_b</t>
  </si>
  <si>
    <t xml:space="preserve">co2_p  -&gt; co2_e </t>
  </si>
  <si>
    <t>CRNtex_b</t>
  </si>
  <si>
    <t xml:space="preserve">crn_p  -&gt; crn_e </t>
  </si>
  <si>
    <t>DINStex_b</t>
  </si>
  <si>
    <t xml:space="preserve">din_p  -&gt; din_e </t>
  </si>
  <si>
    <t>DMStex_b</t>
  </si>
  <si>
    <t xml:space="preserve">dms_p  -&gt; dms_e </t>
  </si>
  <si>
    <t>CSNtex_b</t>
  </si>
  <si>
    <t xml:space="preserve">csn_p  -&gt; csn_e </t>
  </si>
  <si>
    <t>CYNTtex_b</t>
  </si>
  <si>
    <t xml:space="preserve">cynt_p  -&gt; cynt_e </t>
  </si>
  <si>
    <t>CYStex_b</t>
  </si>
  <si>
    <t xml:space="preserve">cys__L_p  -&gt; cys__L_e </t>
  </si>
  <si>
    <t>CYTDtex_b</t>
  </si>
  <si>
    <t xml:space="preserve">cytd_p  -&gt; cytd_e </t>
  </si>
  <si>
    <t>DCAtex_b</t>
  </si>
  <si>
    <t xml:space="preserve">dca_p  -&gt; dca_e </t>
  </si>
  <si>
    <t>DCYTtex_b</t>
  </si>
  <si>
    <t xml:space="preserve">dcyt_p  -&gt; dcyt_e </t>
  </si>
  <si>
    <t>DGSNtex_b</t>
  </si>
  <si>
    <t xml:space="preserve">dgsn_p  -&gt; dgsn_e </t>
  </si>
  <si>
    <t>LCTStex_b</t>
  </si>
  <si>
    <t xml:space="preserve">lcts_p  -&gt; lcts_e </t>
  </si>
  <si>
    <t>LEUtex_b</t>
  </si>
  <si>
    <t xml:space="preserve">leu__L_p  -&gt; leu__L_e </t>
  </si>
  <si>
    <t>LYStex_b</t>
  </si>
  <si>
    <t xml:space="preserve">lys__L_p  -&gt; lys__L_e </t>
  </si>
  <si>
    <t>LYXtex_b</t>
  </si>
  <si>
    <t xml:space="preserve">lyx__L_p  -&gt; lyx__L_e </t>
  </si>
  <si>
    <t>MANtex_b</t>
  </si>
  <si>
    <t xml:space="preserve">man_p  -&gt; man_e </t>
  </si>
  <si>
    <t>MAN6Ptex_b</t>
  </si>
  <si>
    <t xml:space="preserve">man6p_p  -&gt; man6p_e </t>
  </si>
  <si>
    <t>MELIBtex_b</t>
  </si>
  <si>
    <t xml:space="preserve">melib_p  -&gt; melib_e </t>
  </si>
  <si>
    <t>DMSOtex_b</t>
  </si>
  <si>
    <t xml:space="preserve">dmso_p  -&gt; dmso_e </t>
  </si>
  <si>
    <t>DURItex_b</t>
  </si>
  <si>
    <t xml:space="preserve">duri_p  -&gt; duri_e </t>
  </si>
  <si>
    <t>FRUtex_b</t>
  </si>
  <si>
    <t xml:space="preserve">fru_p  -&gt; fru_e </t>
  </si>
  <si>
    <t>FUCtex_b</t>
  </si>
  <si>
    <t xml:space="preserve">fuc__L_p  -&gt; fuc__L_e </t>
  </si>
  <si>
    <t>FUMtex_b</t>
  </si>
  <si>
    <t xml:space="preserve">fum_p  -&gt; fum_e </t>
  </si>
  <si>
    <t>ACACT5r_b</t>
  </si>
  <si>
    <t xml:space="preserve">3oddcoa_c + coa_c  -&gt; accoa_c + dcacoa_c </t>
  </si>
  <si>
    <t>FE2tex_b</t>
  </si>
  <si>
    <t xml:space="preserve">fe2_p  -&gt; fe2_e </t>
  </si>
  <si>
    <t>NMNtex_b</t>
  </si>
  <si>
    <t xml:space="preserve">nmn_p  -&gt; nmn_e </t>
  </si>
  <si>
    <t>NO2tex_b</t>
  </si>
  <si>
    <t xml:space="preserve">no2_p  -&gt; no2_e </t>
  </si>
  <si>
    <t>MTHFC_b</t>
  </si>
  <si>
    <t xml:space="preserve">h_c + 10fthf_c  -&gt; h2o_c + methf_c </t>
  </si>
  <si>
    <t>MTHFD_b</t>
  </si>
  <si>
    <t xml:space="preserve">methf_c + nadph_c  -&gt; nadp_c + mlthf_c </t>
  </si>
  <si>
    <t>BUTt2rpp_b</t>
  </si>
  <si>
    <t xml:space="preserve">h_c + but_c  -&gt; h_p + but_p </t>
  </si>
  <si>
    <t>GDPtex_b</t>
  </si>
  <si>
    <t xml:space="preserve">gdp_p  -&gt; gdp_e </t>
  </si>
  <si>
    <t>TMAtex_b</t>
  </si>
  <si>
    <t xml:space="preserve">tma_p  -&gt; tma_e </t>
  </si>
  <si>
    <t>TMAOtex_b</t>
  </si>
  <si>
    <t xml:space="preserve">tmao_p  -&gt; tmao_e </t>
  </si>
  <si>
    <t>TREtex_b</t>
  </si>
  <si>
    <t xml:space="preserve">tre_p  -&gt; tre_e </t>
  </si>
  <si>
    <t>ACACT6r_b</t>
  </si>
  <si>
    <t xml:space="preserve">3otdcoa_c + coa_c  -&gt; accoa_c + ddcacoa_c </t>
  </si>
  <si>
    <t>TRPtex_b</t>
  </si>
  <si>
    <t xml:space="preserve">trp__L_p  -&gt; trp__L_e </t>
  </si>
  <si>
    <t>TSULtex_b</t>
  </si>
  <si>
    <t xml:space="preserve">tsul_p  -&gt; tsul_e </t>
  </si>
  <si>
    <t>TYRtex_b</t>
  </si>
  <si>
    <t xml:space="preserve">tyr__L_p  -&gt; tyr__L_e </t>
  </si>
  <si>
    <t>URAtex_b</t>
  </si>
  <si>
    <t xml:space="preserve">ura_p  -&gt; ura_e </t>
  </si>
  <si>
    <t>UREAtex_b</t>
  </si>
  <si>
    <t xml:space="preserve">urea_p  -&gt; urea_e </t>
  </si>
  <si>
    <t>URItex_b</t>
  </si>
  <si>
    <t xml:space="preserve">uri_p  -&gt; uri_e </t>
  </si>
  <si>
    <t>VALtex_b</t>
  </si>
  <si>
    <t xml:space="preserve">val__L_p  -&gt; val__L_e </t>
  </si>
  <si>
    <t>XANtex_b</t>
  </si>
  <si>
    <t xml:space="preserve">xan_p  -&gt; xan_e </t>
  </si>
  <si>
    <t>XYLtex_b</t>
  </si>
  <si>
    <t xml:space="preserve">xyl__D_p  -&gt; xyl__D_e </t>
  </si>
  <si>
    <t>ABUTtex_b</t>
  </si>
  <si>
    <t xml:space="preserve">4abut_p  -&gt; 4abut_e </t>
  </si>
  <si>
    <t>GGGABADr_b</t>
  </si>
  <si>
    <t xml:space="preserve">gg4abut_c + 2 h_c + nadph_c  -&gt; nadp_c + h2o_c + ggbutal_c </t>
  </si>
  <si>
    <t>MALTATr_b</t>
  </si>
  <si>
    <t xml:space="preserve">acmalt_c + coa_c  -&gt; accoa_c + malt_c </t>
  </si>
  <si>
    <t>23CAMPtex_b</t>
  </si>
  <si>
    <t xml:space="preserve">23camp_p  -&gt; 23camp_e </t>
  </si>
  <si>
    <t>23CCMPtex_b</t>
  </si>
  <si>
    <t xml:space="preserve">23ccmp_p  -&gt; 23ccmp_e </t>
  </si>
  <si>
    <t>23CUMPtex_b</t>
  </si>
  <si>
    <t xml:space="preserve">23cump_p  -&gt; 23cump_e </t>
  </si>
  <si>
    <t>23CGMPtex_b</t>
  </si>
  <si>
    <t xml:space="preserve">23cgmp_p  -&gt; 23cgmp_e </t>
  </si>
  <si>
    <t>3AMPtex_b</t>
  </si>
  <si>
    <t xml:space="preserve">3amp_p  -&gt; 3amp_e </t>
  </si>
  <si>
    <t>3CMPtex_b</t>
  </si>
  <si>
    <t xml:space="preserve">3cmp_p  -&gt; 3cmp_e </t>
  </si>
  <si>
    <t>ALAGLUE_b</t>
  </si>
  <si>
    <t xml:space="preserve">LalaLglu_c  -&gt; LalaDglu_c </t>
  </si>
  <si>
    <t>ETHSO3tex_b</t>
  </si>
  <si>
    <t xml:space="preserve">ethso3_p  -&gt; ethso3_e </t>
  </si>
  <si>
    <t>BUTSO3tex_b</t>
  </si>
  <si>
    <t xml:space="preserve">butso3_p  -&gt; butso3_e </t>
  </si>
  <si>
    <t>LIPOtex_b</t>
  </si>
  <si>
    <t xml:space="preserve">lipoate_p  -&gt; lipoate_e </t>
  </si>
  <si>
    <t>GALBDtex_b</t>
  </si>
  <si>
    <t xml:space="preserve">gal_bD_p  -&gt; gal_bD_e </t>
  </si>
  <si>
    <t>SULFACtex_b</t>
  </si>
  <si>
    <t xml:space="preserve">sulfac_p  -&gt; sulfac_e </t>
  </si>
  <si>
    <t>NOtex_b</t>
  </si>
  <si>
    <t xml:space="preserve">no_p  -&gt; no_e </t>
  </si>
  <si>
    <t>N2Otex_b</t>
  </si>
  <si>
    <t xml:space="preserve">n2o_p  -&gt; n2o_e </t>
  </si>
  <si>
    <t>CRNt2rpp_b</t>
  </si>
  <si>
    <t xml:space="preserve">h_c + crn_c  -&gt; h_p + crn_p </t>
  </si>
  <si>
    <t>CRNDt2rpp_b</t>
  </si>
  <si>
    <t xml:space="preserve">h_c + crn__D_c  -&gt; h_p + crn__D_p </t>
  </si>
  <si>
    <t>CTBTt2rpp_b</t>
  </si>
  <si>
    <t xml:space="preserve">h_c + ctbt_c  -&gt; ctbt_p + h_p </t>
  </si>
  <si>
    <t>PEAMNtex_b</t>
  </si>
  <si>
    <t xml:space="preserve">peamn_p  -&gt; peamn_e </t>
  </si>
  <si>
    <t>PACALDtex_b</t>
  </si>
  <si>
    <t xml:space="preserve">pacald_p  -&gt; pacald_e </t>
  </si>
  <si>
    <t>CYANtex_b</t>
  </si>
  <si>
    <t xml:space="preserve">cyan_p  -&gt; cyan_e </t>
  </si>
  <si>
    <t>SO3tex_b</t>
  </si>
  <si>
    <t xml:space="preserve">so3_p  -&gt; so3_e </t>
  </si>
  <si>
    <t>TCYNTtex_b</t>
  </si>
  <si>
    <t xml:space="preserve">tcynt_p  -&gt; tcynt_e </t>
  </si>
  <si>
    <t>METSOX1tex_b</t>
  </si>
  <si>
    <t xml:space="preserve">metsox_S__L_p  -&gt; metsox_S__L_e </t>
  </si>
  <si>
    <t>METSOX2tex_b</t>
  </si>
  <si>
    <t xml:space="preserve">metsox_R__L_p  -&gt; metsox_R__L_e </t>
  </si>
  <si>
    <t>3UMPtex_b</t>
  </si>
  <si>
    <t xml:space="preserve">3ump_p  -&gt; 3ump_e </t>
  </si>
  <si>
    <t>3GMPtex_b</t>
  </si>
  <si>
    <t xml:space="preserve">3gmp_p  -&gt; 3gmp_e </t>
  </si>
  <si>
    <t>DOPAtex_b</t>
  </si>
  <si>
    <t xml:space="preserve">dopa_p  -&gt; dopa_e </t>
  </si>
  <si>
    <t>4HOXPACDtex_b</t>
  </si>
  <si>
    <t xml:space="preserve">4hoxpacd_p  -&gt; 4hoxpacd_e </t>
  </si>
  <si>
    <t>ETHAtex_b</t>
  </si>
  <si>
    <t xml:space="preserve">etha_p  -&gt; etha_e </t>
  </si>
  <si>
    <t>G3PStex_b</t>
  </si>
  <si>
    <t xml:space="preserve">g3ps_p  -&gt; g3ps_e </t>
  </si>
  <si>
    <t>ACGAL1Ptex_b</t>
  </si>
  <si>
    <t xml:space="preserve">acgal1p_p  -&gt; acgal1p_e </t>
  </si>
  <si>
    <t>ACGALtex_b</t>
  </si>
  <si>
    <t xml:space="preserve">acgal_p  -&gt; acgal_e </t>
  </si>
  <si>
    <t>GLCUR1Ptex_b</t>
  </si>
  <si>
    <t xml:space="preserve">glcur1p_p  -&gt; glcur1p_e </t>
  </si>
  <si>
    <t>UDPGLCURtex_b</t>
  </si>
  <si>
    <t xml:space="preserve">udpglcur_p  -&gt; udpglcur_e </t>
  </si>
  <si>
    <t>ISETACtex_b</t>
  </si>
  <si>
    <t xml:space="preserve">isetac_p  -&gt; isetac_e </t>
  </si>
  <si>
    <t>UDPGtex_b</t>
  </si>
  <si>
    <t xml:space="preserve">udpg_p  -&gt; udpg_e </t>
  </si>
  <si>
    <t>UDPGALtex_b</t>
  </si>
  <si>
    <t xml:space="preserve">udpgal_p  -&gt; udpgal_e </t>
  </si>
  <si>
    <t>ACGAM1Ptex_b</t>
  </si>
  <si>
    <t xml:space="preserve">acgam1p_p  -&gt; acgam1p_e </t>
  </si>
  <si>
    <t>UACGAMtex_b</t>
  </si>
  <si>
    <t xml:space="preserve">uacgam_p  -&gt; uacgam_e </t>
  </si>
  <si>
    <t>UDPACGALtex_b</t>
  </si>
  <si>
    <t xml:space="preserve">udpacgal_p  -&gt; udpacgal_e </t>
  </si>
  <si>
    <t>CBLAT_b</t>
  </si>
  <si>
    <t xml:space="preserve">adocbl_c + pppi_c  -&gt; h_c + cbl1_c + atp_c </t>
  </si>
  <si>
    <t>MSO3tex_b</t>
  </si>
  <si>
    <t xml:space="preserve">mso3_p  -&gt; mso3_e </t>
  </si>
  <si>
    <t>ARABDI_b</t>
  </si>
  <si>
    <t xml:space="preserve">rbl__D_c  -&gt; arab__D_c </t>
  </si>
  <si>
    <t>GLYC2Ptex_b</t>
  </si>
  <si>
    <t xml:space="preserve">glyc2p_p  -&gt; glyc2p_e </t>
  </si>
  <si>
    <t>PSERtex_b</t>
  </si>
  <si>
    <t xml:space="preserve">pser__L_p  -&gt; pser__L_e </t>
  </si>
  <si>
    <t>R5Ptex_b</t>
  </si>
  <si>
    <t xml:space="preserve">r5p_p  -&gt; r5p_e </t>
  </si>
  <si>
    <t>THRPtex_b</t>
  </si>
  <si>
    <t xml:space="preserve">thrp_p  -&gt; thrp_e </t>
  </si>
  <si>
    <t>TYRPtex_b</t>
  </si>
  <si>
    <t xml:space="preserve">tyrp_p  -&gt; tyrp_e </t>
  </si>
  <si>
    <t>CITtex_b</t>
  </si>
  <si>
    <t xml:space="preserve">cit_p  -&gt; cit_e </t>
  </si>
  <si>
    <t>ACGAtex_b</t>
  </si>
  <si>
    <t xml:space="preserve">acgam_p  -&gt; acgam_e </t>
  </si>
  <si>
    <t>IDONt2rpp_b</t>
  </si>
  <si>
    <t xml:space="preserve">h_c + idon__L_c  -&gt; h_p + idon__L_p </t>
  </si>
  <si>
    <t>G6Ptex_b</t>
  </si>
  <si>
    <t xml:space="preserve">g6p_p  -&gt; g6p_e </t>
  </si>
  <si>
    <t>MOBDtex_b</t>
  </si>
  <si>
    <t xml:space="preserve">mobd_p  -&gt; mobd_e </t>
  </si>
  <si>
    <t>NI2tex_b</t>
  </si>
  <si>
    <t xml:space="preserve">ni2_p  -&gt; ni2_e </t>
  </si>
  <si>
    <t>L_LACt2rpp_b</t>
  </si>
  <si>
    <t xml:space="preserve">h_c + lac__L_c  -&gt; h_p + lac__L_p </t>
  </si>
  <si>
    <t>NH4tpp_b</t>
  </si>
  <si>
    <t xml:space="preserve">nh4_c  -&gt; nh4_p </t>
  </si>
  <si>
    <t>NO2t2rpp_b</t>
  </si>
  <si>
    <t xml:space="preserve">h_c + no2_c  -&gt; h_p + no2_p </t>
  </si>
  <si>
    <t>FRULYSDG_b</t>
  </si>
  <si>
    <t xml:space="preserve">lys__L_c + g6p_c  -&gt; frulysp_c + h2o_c </t>
  </si>
  <si>
    <t>PROt2rpp_b</t>
  </si>
  <si>
    <t xml:space="preserve">h_c + pro__L_c  -&gt; h_p + pro__L_p </t>
  </si>
  <si>
    <t>H2O2tex_b</t>
  </si>
  <si>
    <t xml:space="preserve">h2o2_p  -&gt; h2o2_e </t>
  </si>
  <si>
    <t>ALLPI_b</t>
  </si>
  <si>
    <t xml:space="preserve">allul6p_c  -&gt; all6p_c </t>
  </si>
  <si>
    <t>ALLULPE_b</t>
  </si>
  <si>
    <t xml:space="preserve">f6p_c  -&gt; allul6p_c </t>
  </si>
  <si>
    <t>ADEtex_b</t>
  </si>
  <si>
    <t xml:space="preserve">ade_p  -&gt; ade_e </t>
  </si>
  <si>
    <t>ADNtex_b</t>
  </si>
  <si>
    <t xml:space="preserve">adn_p  -&gt; adn_e </t>
  </si>
  <si>
    <t>AGMtex_b</t>
  </si>
  <si>
    <t xml:space="preserve">agm_p  -&gt; agm_e </t>
  </si>
  <si>
    <t>ALAtex_b</t>
  </si>
  <si>
    <t xml:space="preserve">ala__L_p  -&gt; ala__L_e </t>
  </si>
  <si>
    <t>BALAtex_b</t>
  </si>
  <si>
    <t xml:space="preserve">ala_B_p  -&gt; ala_B_e </t>
  </si>
  <si>
    <t>DALAtex_b</t>
  </si>
  <si>
    <t xml:space="preserve">ala__D_p  -&gt; ala__D_e </t>
  </si>
  <si>
    <t>AMPtex_b</t>
  </si>
  <si>
    <t xml:space="preserve">amp_p  -&gt; amp_e </t>
  </si>
  <si>
    <t>ARBtex_b</t>
  </si>
  <si>
    <t xml:space="preserve">arab__L_p  -&gt; arab__L_e </t>
  </si>
  <si>
    <t>ARGtex_b</t>
  </si>
  <si>
    <t xml:space="preserve">arg__L_p  -&gt; arg__L_e </t>
  </si>
  <si>
    <t>ASCBtex_b</t>
  </si>
  <si>
    <t xml:space="preserve">ascb__L_p  -&gt; ascb__L_e </t>
  </si>
  <si>
    <t>MMETtex_b</t>
  </si>
  <si>
    <t xml:space="preserve">mmet_p  -&gt; mmet_e </t>
  </si>
  <si>
    <t>FE3tex_b</t>
  </si>
  <si>
    <t xml:space="preserve">fe3_p  -&gt; fe3_e </t>
  </si>
  <si>
    <t>MG2tex_b</t>
  </si>
  <si>
    <t xml:space="preserve">mg2_p  -&gt; mg2_e </t>
  </si>
  <si>
    <t>Zn2tex_b</t>
  </si>
  <si>
    <t xml:space="preserve">zn2_p  -&gt; zn2_e </t>
  </si>
  <si>
    <t>CD2tex_b</t>
  </si>
  <si>
    <t xml:space="preserve">cd2_p  -&gt; cd2_e </t>
  </si>
  <si>
    <t>GLUABUTt7pp_b</t>
  </si>
  <si>
    <t xml:space="preserve">4abut_p + glu__L_c  -&gt; 4abut_c + glu__L_p </t>
  </si>
  <si>
    <t>GLUt2rpp_b</t>
  </si>
  <si>
    <t xml:space="preserve">h_c + glu__L_c  -&gt; h_p + glu__L_p </t>
  </si>
  <si>
    <t>GLYALDtpp_b</t>
  </si>
  <si>
    <t xml:space="preserve">glyald_c  -&gt; glyald_p </t>
  </si>
  <si>
    <t>DHPTPE_b</t>
  </si>
  <si>
    <t xml:space="preserve">dhmptp_c  -&gt; ahdt_c </t>
  </si>
  <si>
    <t>ASO3tex_b</t>
  </si>
  <si>
    <t xml:space="preserve">aso3_p  -&gt; aso3_e </t>
  </si>
  <si>
    <t>MANGLYCtex_b</t>
  </si>
  <si>
    <t xml:space="preserve">manglyc_p  -&gt; manglyc_e </t>
  </si>
  <si>
    <t>FRUURt2rpp_b</t>
  </si>
  <si>
    <t xml:space="preserve">h_c + fruur_c  -&gt; h_p + fruur_p </t>
  </si>
  <si>
    <t>FRUURtex_b</t>
  </si>
  <si>
    <t xml:space="preserve">fruur_p  -&gt; fruur_e </t>
  </si>
  <si>
    <t>GLYCAt2rpp_b</t>
  </si>
  <si>
    <t xml:space="preserve">h_c + glyc__R_c  -&gt; h_p + glyc__R_p </t>
  </si>
  <si>
    <t>GLYCAtex_b</t>
  </si>
  <si>
    <t xml:space="preserve">glyc__R_p  -&gt; glyc__R_e </t>
  </si>
  <si>
    <t>FALDH2_b</t>
  </si>
  <si>
    <t xml:space="preserve">h_c + Sfglutth_c + nadh_c  -&gt; nad_c + hmgth_c </t>
  </si>
  <si>
    <t>GLYCtpp_b</t>
  </si>
  <si>
    <t xml:space="preserve">glyc_p  -&gt; glyc_c </t>
  </si>
  <si>
    <t>H2Otpp_b</t>
  </si>
  <si>
    <t xml:space="preserve">h2o_c  -&gt; h2o_p </t>
  </si>
  <si>
    <t>HCINNMt2rpp_b</t>
  </si>
  <si>
    <t xml:space="preserve">h_c + 3hcinnm_c  -&gt; h_p + 3hcinnm_p </t>
  </si>
  <si>
    <t>HISt2rpp_b</t>
  </si>
  <si>
    <t xml:space="preserve">h_c + his__L_c  -&gt; h_p + his__L_p </t>
  </si>
  <si>
    <t>CBIAT_b</t>
  </si>
  <si>
    <t xml:space="preserve">pppi_c + adocbi_c  -&gt; h_c + atp_c + cbi_c </t>
  </si>
  <si>
    <t>COBALT2tex_b</t>
  </si>
  <si>
    <t xml:space="preserve">cobalt2_p  -&gt; cobalt2_e </t>
  </si>
  <si>
    <t>DIMPtex_b</t>
  </si>
  <si>
    <t xml:space="preserve">dimp_p  -&gt; dimp_e </t>
  </si>
  <si>
    <t>GALURt2rpp_b</t>
  </si>
  <si>
    <t xml:space="preserve">h_c + galur_c  -&gt; h_p + galur_p </t>
  </si>
  <si>
    <t>GLCNt2rpp_b</t>
  </si>
  <si>
    <t xml:space="preserve">h_c + glcn_c  -&gt; h_p + glcn_p </t>
  </si>
  <si>
    <t>GLCRt2rpp_b</t>
  </si>
  <si>
    <t xml:space="preserve">h_c + glcr_c  -&gt; h_p + glcr_p </t>
  </si>
  <si>
    <t>GLCURt2rpp_b</t>
  </si>
  <si>
    <t xml:space="preserve">h_c + glcur_c  -&gt; h_p + glcur_p </t>
  </si>
  <si>
    <t>XTSNtex_b</t>
  </si>
  <si>
    <t xml:space="preserve">xtsn_p  -&gt; xtsn_e </t>
  </si>
  <si>
    <t>GLUDy_b</t>
  </si>
  <si>
    <t xml:space="preserve">h_c + akg_c + nh4_c + nadph_c  -&gt; nadp_c + glu__L_c + h2o_c </t>
  </si>
  <si>
    <t>1.4.1.13, 1.4.1.4</t>
  </si>
  <si>
    <t>UREAtpp_b</t>
  </si>
  <si>
    <t xml:space="preserve">urea_c  -&gt; urea_p </t>
  </si>
  <si>
    <t>PPPNt2rpp_b</t>
  </si>
  <si>
    <t xml:space="preserve">h_c + pppn_c  -&gt; pppn_p + h_p </t>
  </si>
  <si>
    <t>PTRCORNt7pp_b</t>
  </si>
  <si>
    <t xml:space="preserve">orn_p + ptrc_c  -&gt; ptrc_p + orn_c </t>
  </si>
  <si>
    <t>HG2tex_b</t>
  </si>
  <si>
    <t xml:space="preserve">hg2_p  -&gt; hg2_e </t>
  </si>
  <si>
    <t>DADNtex_b</t>
  </si>
  <si>
    <t xml:space="preserve">dad_2_p  -&gt; dad_2_e </t>
  </si>
  <si>
    <t>DHAtex_b</t>
  </si>
  <si>
    <t xml:space="preserve">dha_p  -&gt; dha_e </t>
  </si>
  <si>
    <t>ETOHtex_b</t>
  </si>
  <si>
    <t xml:space="preserve">etoh_p  -&gt; etoh_e </t>
  </si>
  <si>
    <t>HACD3_b</t>
  </si>
  <si>
    <t xml:space="preserve">nad_c + 3hocoa_c  -&gt; h_c + 3oocoa_c + nadh_c </t>
  </si>
  <si>
    <t>ACACtex_b</t>
  </si>
  <si>
    <t xml:space="preserve">acac_p  -&gt; acac_e </t>
  </si>
  <si>
    <t>ACNAMtex_b</t>
  </si>
  <si>
    <t xml:space="preserve">acnam_p  -&gt; acnam_e </t>
  </si>
  <si>
    <t>H2Stex_b</t>
  </si>
  <si>
    <t xml:space="preserve">h2s_p  -&gt; h2s_e </t>
  </si>
  <si>
    <t>E4PD_b</t>
  </si>
  <si>
    <t xml:space="preserve">2 h_c + nadh_c + 4per_c  -&gt; nad_c + e4p_c + h2o_c </t>
  </si>
  <si>
    <t>DADK_b</t>
  </si>
  <si>
    <t xml:space="preserve">dadp_c + adp_c  -&gt; atp_c + damp_c </t>
  </si>
  <si>
    <t>4PEPTtex_b</t>
  </si>
  <si>
    <t xml:space="preserve">LalaDgluMdapDala_p  -&gt; LalaDgluMdapDala_e </t>
  </si>
  <si>
    <t>CRNCAR_b</t>
  </si>
  <si>
    <t xml:space="preserve">crnDcoa_c  -&gt; crncoa_c </t>
  </si>
  <si>
    <t>GLYCLTt2rpp_b</t>
  </si>
  <si>
    <t xml:space="preserve">h_c + glyclt_c  -&gt; h_p + glyclt_p </t>
  </si>
  <si>
    <t>HPPPNt2rpp_b</t>
  </si>
  <si>
    <t xml:space="preserve">h_c + 3hpppn_c  -&gt; h_p + 3hpppn_p </t>
  </si>
  <si>
    <t>DHFR_b</t>
  </si>
  <si>
    <t xml:space="preserve">thf_c + nadp_c  -&gt; h_c + nadph_c + dhf_c </t>
  </si>
  <si>
    <t>TYRTA_b</t>
  </si>
  <si>
    <t xml:space="preserve">34hpp_c + glu__L_c  -&gt; akg_c + tyr__L_c </t>
  </si>
  <si>
    <t>PUNP4_b</t>
  </si>
  <si>
    <t xml:space="preserve">2dr1p_c + gua_c  -&gt; pi_c + dgsn_c </t>
  </si>
  <si>
    <t>AMAOTr_b</t>
  </si>
  <si>
    <t xml:space="preserve">dann_c + amob_c  -&gt; amet_c + 8aonn_c </t>
  </si>
  <si>
    <t>ARGORNt7pp_b</t>
  </si>
  <si>
    <t xml:space="preserve">arg__L_c + orn_p  -&gt; orn_c + arg__L_p </t>
  </si>
  <si>
    <t>CU2tex_b</t>
  </si>
  <si>
    <t xml:space="preserve">cu2_p  -&gt; cu2_e </t>
  </si>
  <si>
    <t>GLCATr_b</t>
  </si>
  <si>
    <t xml:space="preserve">acglc__D_c + coa_c  -&gt; accoa_c + glc__D_c </t>
  </si>
  <si>
    <t>ALAALAr_b</t>
  </si>
  <si>
    <t xml:space="preserve">h_c + adp_c + pi_c + alaala_c  -&gt; atp_c + 2 ala__D_c </t>
  </si>
  <si>
    <t>CLtex_b</t>
  </si>
  <si>
    <t xml:space="preserve">cl_p  -&gt; cl_e </t>
  </si>
  <si>
    <t>ACACT1r_b</t>
  </si>
  <si>
    <t xml:space="preserve">aacoa_c + coa_c  -&gt; 2 accoa_c </t>
  </si>
  <si>
    <t>SUCOAS_b</t>
  </si>
  <si>
    <t xml:space="preserve">adp_c + pi_c + succoa_c  -&gt; atp_c + succ_c + coa_c </t>
  </si>
  <si>
    <t>GALKr_b</t>
  </si>
  <si>
    <t xml:space="preserve">h_c + adp_c + gal1p_c  -&gt; atp_c + gal_c </t>
  </si>
  <si>
    <t>YUMPS_b</t>
  </si>
  <si>
    <t xml:space="preserve">h2o_c + psd5p_c  -&gt; r5p_c + ura_c </t>
  </si>
  <si>
    <t>ADSL1r_b</t>
  </si>
  <si>
    <t xml:space="preserve">fum_c + amp_c  -&gt; dcamp_c </t>
  </si>
  <si>
    <t>AICART_b</t>
  </si>
  <si>
    <t xml:space="preserve">thf_c + fprica_c  -&gt; 10fthf_c + aicar_c </t>
  </si>
  <si>
    <t>PROtex_b</t>
  </si>
  <si>
    <t xml:space="preserve">pro__L_p  -&gt; pro__L_e </t>
  </si>
  <si>
    <t>SBTtex_b</t>
  </si>
  <si>
    <t xml:space="preserve">sbt__D_p  -&gt; sbt__D_e </t>
  </si>
  <si>
    <t>PGM_b</t>
  </si>
  <si>
    <t xml:space="preserve">3pg_c  -&gt; 2pg_c </t>
  </si>
  <si>
    <t>5.4.2.11, 5.4.2.12</t>
  </si>
  <si>
    <t>TPI_b</t>
  </si>
  <si>
    <t xml:space="preserve">g3p_c  -&gt; dhap_c </t>
  </si>
  <si>
    <t>RPI_b</t>
  </si>
  <si>
    <t xml:space="preserve">ru5p__D_c  -&gt; r5p_c </t>
  </si>
  <si>
    <t>PERD_b</t>
  </si>
  <si>
    <t xml:space="preserve">h_c + ohpb_c + nadh_c  -&gt; nad_c + 4per_c </t>
  </si>
  <si>
    <t>AKGtex_b</t>
  </si>
  <si>
    <t xml:space="preserve">akg_p  -&gt; akg_e </t>
  </si>
  <si>
    <t>ALLTNtex_b</t>
  </si>
  <si>
    <t xml:space="preserve">alltn_p  -&gt; alltn_e </t>
  </si>
  <si>
    <t>ASNtex_b</t>
  </si>
  <si>
    <t xml:space="preserve">asn__L_p  -&gt; asn__L_e </t>
  </si>
  <si>
    <t>ATHRDHr_b</t>
  </si>
  <si>
    <t xml:space="preserve">h_c + 2aobut_c + nadph_c  -&gt; nadp_c + athr__L_c </t>
  </si>
  <si>
    <t>LSERDHr_b</t>
  </si>
  <si>
    <t xml:space="preserve">h_c + 2amsa_c + nadph_c  -&gt; ser__L_c + nadp_c </t>
  </si>
  <si>
    <t>DSERDHr_b</t>
  </si>
  <si>
    <t xml:space="preserve">h_c + 2amsa_c + nadph_c  -&gt; nadp_c + ser__D_c </t>
  </si>
  <si>
    <t>TYMtex_b</t>
  </si>
  <si>
    <t xml:space="preserve">tym_p  -&gt; tym_e </t>
  </si>
  <si>
    <t>CMPtex_b</t>
  </si>
  <si>
    <t xml:space="preserve">cmp_p  -&gt; cmp_e </t>
  </si>
  <si>
    <t>DUMPtex_b</t>
  </si>
  <si>
    <t xml:space="preserve">dump_p  -&gt; dump_e </t>
  </si>
  <si>
    <t>XMPtex_b</t>
  </si>
  <si>
    <t xml:space="preserve">xmp_p  -&gt; xmp_e </t>
  </si>
  <si>
    <t>3PEPTtex_b</t>
  </si>
  <si>
    <t xml:space="preserve">LalaDgluMdap_p  -&gt; LalaDgluMdap_e </t>
  </si>
  <si>
    <t>ANHGMtex_b</t>
  </si>
  <si>
    <t xml:space="preserve">anhgm_p  -&gt; anhgm_e </t>
  </si>
  <si>
    <t>UDPKAAT_b</t>
  </si>
  <si>
    <t xml:space="preserve">akg_c + udpLa4n_c  -&gt; glu__L_c + udpLa4o_c </t>
  </si>
  <si>
    <t>FALDtex_b</t>
  </si>
  <si>
    <t xml:space="preserve">fald_p  -&gt; fald_e </t>
  </si>
  <si>
    <t>MLTP1_b</t>
  </si>
  <si>
    <t xml:space="preserve">g1p_c + maltttr_c  -&gt; pi_c + maltpt_c </t>
  </si>
  <si>
    <t>CYSDtex_b</t>
  </si>
  <si>
    <t xml:space="preserve">cys__D_p  -&gt; cys__D_e </t>
  </si>
  <si>
    <t>G3PItex_b</t>
  </si>
  <si>
    <t xml:space="preserve">g3pi_p  -&gt; g3pi_e </t>
  </si>
  <si>
    <t>G3PGtex_b</t>
  </si>
  <si>
    <t xml:space="preserve">g3pg_p  -&gt; g3pg_e </t>
  </si>
  <si>
    <t>G3PEtex_b</t>
  </si>
  <si>
    <t xml:space="preserve">g3pe_p  -&gt; g3pe_e </t>
  </si>
  <si>
    <t>G3PCtex_b</t>
  </si>
  <si>
    <t xml:space="preserve">g3pc_p  -&gt; g3pc_e </t>
  </si>
  <si>
    <t>DAMPtex_b</t>
  </si>
  <si>
    <t xml:space="preserve">damp_p  -&gt; damp_e </t>
  </si>
  <si>
    <t>DCMPtex_b</t>
  </si>
  <si>
    <t xml:space="preserve">dcmp_p  -&gt; dcmp_e </t>
  </si>
  <si>
    <t>DGMPtex_b</t>
  </si>
  <si>
    <t xml:space="preserve">dgmp_p  -&gt; dgmp_e </t>
  </si>
  <si>
    <t>DTMPtex_b</t>
  </si>
  <si>
    <t xml:space="preserve">dtmp_p  -&gt; dtmp_e </t>
  </si>
  <si>
    <t>GMPtex_b</t>
  </si>
  <si>
    <t xml:space="preserve">gmp_p  -&gt; gmp_e </t>
  </si>
  <si>
    <t>IMPtex_b</t>
  </si>
  <si>
    <t xml:space="preserve">imp_p  -&gt; imp_e </t>
  </si>
  <si>
    <t>UMPtex_b</t>
  </si>
  <si>
    <t xml:space="preserve">ump_p  -&gt; ump_e </t>
  </si>
  <si>
    <t>G1Ptex_b</t>
  </si>
  <si>
    <t xml:space="preserve">g1p_p  -&gt; g1p_e </t>
  </si>
  <si>
    <t>SKMtex_b</t>
  </si>
  <si>
    <t xml:space="preserve">skm_p  -&gt; skm_e </t>
  </si>
  <si>
    <t>MNtex_b</t>
  </si>
  <si>
    <t xml:space="preserve">mn2_p  -&gt; mn2_e </t>
  </si>
  <si>
    <t>GAL1Ptex_b</t>
  </si>
  <si>
    <t xml:space="preserve">gal1p_p  -&gt; gal1p_e </t>
  </si>
  <si>
    <t>O2Stex_b</t>
  </si>
  <si>
    <t xml:space="preserve">o2s_p  -&gt; o2s_e </t>
  </si>
  <si>
    <t>HOMtex_b</t>
  </si>
  <si>
    <t xml:space="preserve">hom__L_p  -&gt; hom__L_e </t>
  </si>
  <si>
    <t>SO2tex_b</t>
  </si>
  <si>
    <t xml:space="preserve">so2_p  -&gt; so2_e </t>
  </si>
  <si>
    <t>ACSERtex_b</t>
  </si>
  <si>
    <t xml:space="preserve">acser_p  -&gt; acser_e </t>
  </si>
  <si>
    <t>IPDDI_b</t>
  </si>
  <si>
    <t xml:space="preserve">dmpp_c  -&gt; ipdp_c </t>
  </si>
  <si>
    <t>DURADx_b</t>
  </si>
  <si>
    <t xml:space="preserve">h_c + ura_c + nadh_c  -&gt; nad_c + 56dura_c </t>
  </si>
  <si>
    <t>ECOAH7_b</t>
  </si>
  <si>
    <t xml:space="preserve">h2o_c + hdd2coa_c  -&gt; 3hhdcoa_c </t>
  </si>
  <si>
    <t>LDH_D_b</t>
  </si>
  <si>
    <t xml:space="preserve">h_c + pyr_c + nadh_c  -&gt; nad_c + lac__D_c </t>
  </si>
  <si>
    <t>ALAALAtex_b</t>
  </si>
  <si>
    <t xml:space="preserve">alaala_p  -&gt; alaala_e </t>
  </si>
  <si>
    <t>T2DECAI_b</t>
  </si>
  <si>
    <t xml:space="preserve">cdec3eACP_c  -&gt; tdec2eACP_c </t>
  </si>
  <si>
    <t>MALtex_b</t>
  </si>
  <si>
    <t xml:space="preserve">mal__L_p  -&gt; mal__L_e </t>
  </si>
  <si>
    <t>NO3tex_b</t>
  </si>
  <si>
    <t xml:space="preserve">no3_p  -&gt; no3_e </t>
  </si>
  <si>
    <t>HEXt2rpp_b</t>
  </si>
  <si>
    <t xml:space="preserve">h_c + hxa_c  -&gt; h_p + hxa_p </t>
  </si>
  <si>
    <t>CLPNS180pp_b</t>
  </si>
  <si>
    <t xml:space="preserve">glyc_p + clpn180_p  -&gt; 2 pg180_p </t>
  </si>
  <si>
    <t>CLPNS181pp_b</t>
  </si>
  <si>
    <t xml:space="preserve">glyc_p + clpn181_p  -&gt; 2 pg181_p </t>
  </si>
  <si>
    <t>CLPNS120pp_b</t>
  </si>
  <si>
    <t xml:space="preserve">clpn120_p + glyc_p  -&gt; 2 pg120_p </t>
  </si>
  <si>
    <t>CLPNS160pp_b</t>
  </si>
  <si>
    <t xml:space="preserve">glyc_p + clpn160_p  -&gt; 2 pg160_p </t>
  </si>
  <si>
    <t>CLPNS161pp_b</t>
  </si>
  <si>
    <t xml:space="preserve">clpn161_p + glyc_p  -&gt; 2 pg161_p </t>
  </si>
  <si>
    <t>HPYRI_b</t>
  </si>
  <si>
    <t xml:space="preserve">2h3oppan_c  -&gt; hpyr_c </t>
  </si>
  <si>
    <t>GSNtex_b</t>
  </si>
  <si>
    <t xml:space="preserve">gsn_p  -&gt; gsn_e </t>
  </si>
  <si>
    <t>FORtex_b</t>
  </si>
  <si>
    <t xml:space="preserve">for_p  -&gt; for_e </t>
  </si>
  <si>
    <t>D_LACt2pp_b</t>
  </si>
  <si>
    <t xml:space="preserve">h_c + lac__D_c  -&gt; h_p + lac__D_p </t>
  </si>
  <si>
    <t>RIBtex_b</t>
  </si>
  <si>
    <t xml:space="preserve">rib__D_p  -&gt; rib__D_e </t>
  </si>
  <si>
    <t>THMtex_b</t>
  </si>
  <si>
    <t xml:space="preserve">thm_p  -&gt; thm_e </t>
  </si>
  <si>
    <t>XYLUtex_b</t>
  </si>
  <si>
    <t xml:space="preserve">xylu__L_p  -&gt; xylu__L_e </t>
  </si>
  <si>
    <t>ALLtex_b</t>
  </si>
  <si>
    <t xml:space="preserve">all__D_p  -&gt; all__D_e </t>
  </si>
  <si>
    <t>34dhpactex_b</t>
  </si>
  <si>
    <t xml:space="preserve">34dhpac_p  -&gt; 34dhpac_e </t>
  </si>
  <si>
    <t>23DAPPAtex_b</t>
  </si>
  <si>
    <t xml:space="preserve">23dappa_p  -&gt; 23dappa_e </t>
  </si>
  <si>
    <t>PHEt2rpp_b</t>
  </si>
  <si>
    <t xml:space="preserve">h_c + phe__L_c  -&gt; h_p + phe__L_p </t>
  </si>
  <si>
    <t>GUI2_b</t>
  </si>
  <si>
    <t xml:space="preserve">tagur_c  -&gt; galur_c </t>
  </si>
  <si>
    <t>GLCtex_copy2_b</t>
  </si>
  <si>
    <t xml:space="preserve">glc__D_p  -&gt; glc__D_e </t>
  </si>
  <si>
    <t>3OAR120_b</t>
  </si>
  <si>
    <t xml:space="preserve">nadp_c + 3hddecACP_c  -&gt; h_c + 3oddecACP_c + nadph_c </t>
  </si>
  <si>
    <t>PPALtex_b</t>
  </si>
  <si>
    <t xml:space="preserve">ppal_p  -&gt; ppal_e </t>
  </si>
  <si>
    <t>CA2tex_b</t>
  </si>
  <si>
    <t xml:space="preserve">ca2_p  -&gt; ca2_e </t>
  </si>
  <si>
    <t>CUtex_b</t>
  </si>
  <si>
    <t xml:space="preserve">cu_p  -&gt; cu_e </t>
  </si>
  <si>
    <t>12PPDRtex_b</t>
  </si>
  <si>
    <t xml:space="preserve">12ppd__R_p  -&gt; 12ppd__R_e </t>
  </si>
  <si>
    <t>F6Ptex_b</t>
  </si>
  <si>
    <t xml:space="preserve">f6p_p  -&gt; f6p_e </t>
  </si>
  <si>
    <t>GAMAN6Ptex_b</t>
  </si>
  <si>
    <t xml:space="preserve">gam6p_p  -&gt; gam6p_e </t>
  </si>
  <si>
    <t>ACONTb_b</t>
  </si>
  <si>
    <t xml:space="preserve">icit_c  -&gt; h2o_c + acon_C_c </t>
  </si>
  <si>
    <t>PROGLYtex_b</t>
  </si>
  <si>
    <t xml:space="preserve">progly_p  -&gt; progly_e </t>
  </si>
  <si>
    <t>MICITDr_b</t>
  </si>
  <si>
    <t xml:space="preserve">micit_c  -&gt; 2mcacn_c + h2o_c </t>
  </si>
  <si>
    <t>ACONTa_b</t>
  </si>
  <si>
    <t xml:space="preserve">h2o_c + acon_C_c  -&gt; cit_c </t>
  </si>
  <si>
    <t>3OAR140_b</t>
  </si>
  <si>
    <t xml:space="preserve">nadp_c + 3hmrsACP_c  -&gt; h_c + nadph_c + 3omrsACP_c </t>
  </si>
  <si>
    <t>3OAR160_b</t>
  </si>
  <si>
    <t xml:space="preserve">nadp_c + 3hpalmACP_c  -&gt; h_c + nadph_c + 3opalmACP_c </t>
  </si>
  <si>
    <t>CLPNS140pp_b</t>
  </si>
  <si>
    <t xml:space="preserve">clpn140_p + glyc_p  -&gt; 2 pg140_p </t>
  </si>
  <si>
    <t>CLPNS141pp_b</t>
  </si>
  <si>
    <t xml:space="preserve">clpn141_p + glyc_p  -&gt; 2 pg141_p </t>
  </si>
  <si>
    <t>CGLYtex_b</t>
  </si>
  <si>
    <t xml:space="preserve">cgly_p  -&gt; cgly_e </t>
  </si>
  <si>
    <t>3OAR60_b</t>
  </si>
  <si>
    <t xml:space="preserve">nadp_c + 3hhexACP_c  -&gt; 3ohexACP_c + h_c + nadph_c </t>
  </si>
  <si>
    <t>3OAR80_b</t>
  </si>
  <si>
    <t xml:space="preserve">3hoctACP_c + nadp_c  -&gt; h_c + nadph_c + 3ooctACP_c </t>
  </si>
  <si>
    <t>GTHOXtex_b</t>
  </si>
  <si>
    <t xml:space="preserve">gthox_p  -&gt; gthox_e </t>
  </si>
  <si>
    <t>3OAR40_b</t>
  </si>
  <si>
    <t xml:space="preserve">nadp_c + 3haACP_c  -&gt; h_c + actACP_c + nadph_c </t>
  </si>
  <si>
    <t>3OAR100_b</t>
  </si>
  <si>
    <t xml:space="preserve">nadp_c + 3hdecACP_c  -&gt; h_c + 3odecACP_c + nadph_c </t>
  </si>
  <si>
    <t>3OAR180_b</t>
  </si>
  <si>
    <t xml:space="preserve">3hoctaACP_c + nadp_c  -&gt; h_c + 3ooctdACP_c + nadph_c </t>
  </si>
  <si>
    <t>GTHRDtex_b</t>
  </si>
  <si>
    <t xml:space="preserve">gthrd_p  -&gt; gthrd_e </t>
  </si>
  <si>
    <t>ACOAD7f_b</t>
  </si>
  <si>
    <t xml:space="preserve">fadh2_c + hdd2coa_c  -&gt; pmtcoa_c + fad_c </t>
  </si>
  <si>
    <t>ACOAD8f_b</t>
  </si>
  <si>
    <t xml:space="preserve">fadh2_c + od2coa_c  -&gt; stcoa_c + fad_c </t>
  </si>
  <si>
    <t>ACOAD5f_b</t>
  </si>
  <si>
    <t xml:space="preserve">fadh2_c + dd2coa_c  -&gt; ddcacoa_c + fad_c </t>
  </si>
  <si>
    <t>ACOAD3f_b</t>
  </si>
  <si>
    <t xml:space="preserve">fadh2_c + oc2coa_c  -&gt; occoa_c + fad_c </t>
  </si>
  <si>
    <t>ACOAD2f_b</t>
  </si>
  <si>
    <t xml:space="preserve">fadh2_c + hx2coa_c  -&gt; hxcoa_c + fad_c </t>
  </si>
  <si>
    <t>ACOAD4f_b</t>
  </si>
  <si>
    <t xml:space="preserve">fadh2_c + dc2coa_c  -&gt; dcacoa_c + fad_c </t>
  </si>
  <si>
    <t>ACOAD6f_b</t>
  </si>
  <si>
    <t xml:space="preserve">fadh2_c + td2coa_c  -&gt; tdcoa_c + fad_c </t>
  </si>
  <si>
    <t>FRULYSE_b</t>
  </si>
  <si>
    <t xml:space="preserve">frulys_c  -&gt; psclys_c </t>
  </si>
  <si>
    <t>TUNGStex_b</t>
  </si>
  <si>
    <t xml:space="preserve">tungs_p  -&gt; tungs_e </t>
  </si>
  <si>
    <t>CAt6pp_b</t>
  </si>
  <si>
    <t xml:space="preserve">ca2_p + na1_c  -&gt; na1_p + ca2_c </t>
  </si>
  <si>
    <t>5DGLCNt2rpp_b</t>
  </si>
  <si>
    <t xml:space="preserve">h_c + 5dglcn_c  -&gt; h_p + 5dglcn_p </t>
  </si>
  <si>
    <t>GALCTNLtex_b</t>
  </si>
  <si>
    <t xml:space="preserve">galctn__L_p  -&gt; galctn__L_e </t>
  </si>
  <si>
    <t>MALDtex_b</t>
  </si>
  <si>
    <t xml:space="preserve">mal__D_p  -&gt; mal__D_e </t>
  </si>
  <si>
    <t>OROTtex_b</t>
  </si>
  <si>
    <t xml:space="preserve">orot_p  -&gt; orot_e </t>
  </si>
  <si>
    <t>5DGLCNtex_b</t>
  </si>
  <si>
    <t xml:space="preserve">5dglcn_p  -&gt; 5dglcn_e </t>
  </si>
  <si>
    <t>PPAtex_b</t>
  </si>
  <si>
    <t xml:space="preserve">ppa_p  -&gt; ppa_e </t>
  </si>
  <si>
    <t>PSCLYStex_b</t>
  </si>
  <si>
    <t xml:space="preserve">psclys_p  -&gt; psclys_e </t>
  </si>
  <si>
    <t>THYMtex_b</t>
  </si>
  <si>
    <t xml:space="preserve">thym_p  -&gt; thym_e </t>
  </si>
  <si>
    <t>POR5_b</t>
  </si>
  <si>
    <t xml:space="preserve">h_c + 2 flxr_c + accoa_c + co2_c  -&gt; 2 flxso_c + pyr_c + coa_c </t>
  </si>
  <si>
    <t>HACD8_b</t>
  </si>
  <si>
    <t xml:space="preserve">3hodcoa_c + nad_c  -&gt; h_c + 3ohodcoa_c + nadh_c </t>
  </si>
  <si>
    <t>CTECOAI8_b</t>
  </si>
  <si>
    <t xml:space="preserve">od2coa_c  -&gt; odecoa_c </t>
  </si>
  <si>
    <t>CTECOAI6_b</t>
  </si>
  <si>
    <t xml:space="preserve">td2coa_c  -&gt; tdecoa_c </t>
  </si>
  <si>
    <t>MINCYCtex_b</t>
  </si>
  <si>
    <t xml:space="preserve">mincyc_p  -&gt; mincyc_e </t>
  </si>
  <si>
    <t>DOXRBCNtex_b</t>
  </si>
  <si>
    <t xml:space="preserve">doxrbcn_p  -&gt; doxrbcn_e </t>
  </si>
  <si>
    <t>REPHACCOAI_b</t>
  </si>
  <si>
    <t xml:space="preserve">2oxpaccoa_c  -&gt; rephaccoa_c </t>
  </si>
  <si>
    <t>DHNPTE_b</t>
  </si>
  <si>
    <t xml:space="preserve">dhmpt_c  -&gt; dhnpt_c </t>
  </si>
  <si>
    <t>CMtex_b</t>
  </si>
  <si>
    <t xml:space="preserve">cm_p  -&gt; cm_e </t>
  </si>
  <si>
    <t>LALALGLUtex_b</t>
  </si>
  <si>
    <t xml:space="preserve">LalaLglu_p  -&gt; LalaLglu_e </t>
  </si>
  <si>
    <t>5MTRtex_b</t>
  </si>
  <si>
    <t xml:space="preserve">5mtr_p  -&gt; 5mtr_e </t>
  </si>
  <si>
    <t>LALADGLUtex_b</t>
  </si>
  <si>
    <t xml:space="preserve">LalaDglu_p  -&gt; LalaDglu_e </t>
  </si>
  <si>
    <t>3HPPtex_b</t>
  </si>
  <si>
    <t xml:space="preserve">3hpp_p  -&gt; 3hpp_e </t>
  </si>
  <si>
    <t>FUSAtex_b</t>
  </si>
  <si>
    <t xml:space="preserve">fusa_p  -&gt; fusa_e </t>
  </si>
  <si>
    <t>QUIN2tex_b</t>
  </si>
  <si>
    <t xml:space="preserve">quin_p  -&gt; quin_e </t>
  </si>
  <si>
    <t>FORCT_b</t>
  </si>
  <si>
    <t xml:space="preserve">oxalcoa_c + for_c  -&gt; oxa_c + forcoa_c </t>
  </si>
  <si>
    <t>HADPCOADH3_b</t>
  </si>
  <si>
    <t xml:space="preserve">h_c + oxadpcoa_c + nadh_c  -&gt; nad_c + 3hadpcoa_c </t>
  </si>
  <si>
    <t>ACACT8r_b</t>
  </si>
  <si>
    <t xml:space="preserve">accoa_c + pmtcoa_c  -&gt; 3ohodcoa_c + coa_c </t>
  </si>
  <si>
    <t>CTECOAI7_b</t>
  </si>
  <si>
    <t xml:space="preserve">hdd2coa_c  -&gt; hdcoa_c </t>
  </si>
  <si>
    <t>SELtex_b</t>
  </si>
  <si>
    <t xml:space="preserve">sel_p  -&gt; sel_e </t>
  </si>
  <si>
    <t>MEOHtex_b</t>
  </si>
  <si>
    <t xml:space="preserve">meoh_p  -&gt; meoh_e </t>
  </si>
  <si>
    <t>TTRCYCtex_b</t>
  </si>
  <si>
    <t xml:space="preserve">ttrcyc_p  -&gt; ttrcyc_e </t>
  </si>
  <si>
    <t>DHACOAH_b</t>
  </si>
  <si>
    <t xml:space="preserve">3hadpcoa_c  -&gt; h2o_c + 23dhacoa_c </t>
  </si>
  <si>
    <t>SLNTtex_b</t>
  </si>
  <si>
    <t xml:space="preserve">slnt_p  -&gt; slnt_e </t>
  </si>
  <si>
    <t>ALDD19xr_b</t>
  </si>
  <si>
    <t xml:space="preserve">2 h_c + pac_c + nadh_c  -&gt; nad_c + pacald_c + h2o_c </t>
  </si>
  <si>
    <t>VPAMTr_b</t>
  </si>
  <si>
    <t xml:space="preserve">val__L_c + pyr_c  -&gt; 3mob_c + ala__L_c </t>
  </si>
  <si>
    <t>TARTRDtex_b</t>
  </si>
  <si>
    <t xml:space="preserve">tartr__D_p  -&gt; tartr__D_e </t>
  </si>
  <si>
    <t>BTNtex_b</t>
  </si>
  <si>
    <t xml:space="preserve">btn_p  -&gt; btn_e </t>
  </si>
  <si>
    <t>PYDXtex_b</t>
  </si>
  <si>
    <t xml:space="preserve">pydx_p  -&gt; pydx_e </t>
  </si>
  <si>
    <t>SUCASPtpp_b</t>
  </si>
  <si>
    <t xml:space="preserve">succ_p + asp__L_c  -&gt; asp__L_p + succ_c </t>
  </si>
  <si>
    <t>SUCMALtpp_b</t>
  </si>
  <si>
    <t xml:space="preserve">succ_p + mal__L_c  -&gt; mal__L_p + succ_c </t>
  </si>
  <si>
    <t>PYDXNtex_b</t>
  </si>
  <si>
    <t xml:space="preserve">pydxn_p  -&gt; pydxn_e </t>
  </si>
  <si>
    <t>PYDAMtex_b</t>
  </si>
  <si>
    <t xml:space="preserve">pydam_p  -&gt; pydam_e </t>
  </si>
  <si>
    <t>13PPDH2_b</t>
  </si>
  <si>
    <t xml:space="preserve">13ppd_c + nadp_c  -&gt; h_c + 3hppnl_c + nadph_c </t>
  </si>
  <si>
    <t>SUCTARTtpp_b</t>
  </si>
  <si>
    <t xml:space="preserve">succ_p + tartr__D_c  -&gt; succ_c + tartr__D_p </t>
  </si>
  <si>
    <t>CHTBStex_b</t>
  </si>
  <si>
    <t xml:space="preserve">chtbs_p  -&gt; chtbs_e </t>
  </si>
  <si>
    <t>GHBDHx_b</t>
  </si>
  <si>
    <t xml:space="preserve">nad_c + ghb_c  -&gt; h_c + nadh_c + sucsal_c </t>
  </si>
  <si>
    <t>APPLDHr_b</t>
  </si>
  <si>
    <t xml:space="preserve">nad_c + appl_c  -&gt; h_c + aact_c + nadh_c </t>
  </si>
  <si>
    <t>DHNPA2r_b</t>
  </si>
  <si>
    <t xml:space="preserve">6hmhpt_c + gcald_c  -&gt; dhnpt_c </t>
  </si>
  <si>
    <t>CRNDtex_b</t>
  </si>
  <si>
    <t xml:space="preserve">crn__D_p  -&gt; crn__D_e </t>
  </si>
  <si>
    <t>NADHXE_b</t>
  </si>
  <si>
    <t xml:space="preserve">nadhx__R_c  -&gt; nadhx__S_c </t>
  </si>
  <si>
    <t>NADPHXE_b</t>
  </si>
  <si>
    <t xml:space="preserve">nadphx__S_c  -&gt; nadphx__R_c </t>
  </si>
  <si>
    <t>DXYLTD_b</t>
  </si>
  <si>
    <t xml:space="preserve">h2o_c + 2ddara_c  -&gt; dxylnt_c </t>
  </si>
  <si>
    <t>2DDARAA_b</t>
  </si>
  <si>
    <t xml:space="preserve">pyr_c + gcald_c  -&gt; 2ddara_c </t>
  </si>
  <si>
    <t>DXYLONtex_b</t>
  </si>
  <si>
    <t xml:space="preserve">dxylnt_p  -&gt; dxylnt_e </t>
  </si>
  <si>
    <t>PSURItex_b</t>
  </si>
  <si>
    <t xml:space="preserve">psuri_p  -&gt; psuri_e </t>
  </si>
  <si>
    <t>DHPStex_b</t>
  </si>
  <si>
    <t xml:space="preserve">dhps_p  -&gt; dhps_e </t>
  </si>
  <si>
    <t>FMNtex_b</t>
  </si>
  <si>
    <t xml:space="preserve">fmn_e  -&gt; fmn_p </t>
  </si>
  <si>
    <t>CLBtex_b</t>
  </si>
  <si>
    <t xml:space="preserve">cellb_p  -&gt; cellb_e </t>
  </si>
  <si>
    <t>ACOXT_b</t>
  </si>
  <si>
    <t xml:space="preserve">ac_c + oxalcoa_c  -&gt; accoa_c + oxa_c </t>
  </si>
  <si>
    <t>4ABZGLUH_b</t>
  </si>
  <si>
    <t xml:space="preserve">glu__L_c + 4abz_c  -&gt; h2o_c + 4abzglu_c </t>
  </si>
  <si>
    <t>4ABZGLUtr_b</t>
  </si>
  <si>
    <t xml:space="preserve">h_c + 4abzglu_c  -&gt; h_p + 4abzglu_p </t>
  </si>
  <si>
    <t>PCNO_b</t>
  </si>
  <si>
    <t xml:space="preserve">h_c + nadph_c + prpncoa_c  -&gt; ppcoa_c + nadp_c </t>
  </si>
  <si>
    <t>5DKGR_b</t>
  </si>
  <si>
    <t xml:space="preserve">h_c + 5dglcn_c + nadh_c  -&gt; nad_c + glcn_c </t>
  </si>
  <si>
    <t>GLYtpp_b</t>
  </si>
  <si>
    <t xml:space="preserve">gly_p  -&gt; gly_c </t>
  </si>
  <si>
    <t>FADtex_b</t>
  </si>
  <si>
    <t xml:space="preserve">fad_e  -&gt; fad_p </t>
  </si>
  <si>
    <t>LKDRA_b</t>
  </si>
  <si>
    <t xml:space="preserve">lald__L_c + pyr_c  -&gt; lkdr_c </t>
  </si>
  <si>
    <t>METNA_b</t>
  </si>
  <si>
    <t xml:space="preserve">h_c + acmet_c + coa_c  -&gt; accoa_c + met__L_c </t>
  </si>
  <si>
    <t>2DGLCtex_b</t>
  </si>
  <si>
    <t xml:space="preserve">2dglc_p  -&gt; 2dglc_e </t>
  </si>
  <si>
    <t>PUACGAMS_b</t>
  </si>
  <si>
    <t xml:space="preserve">uacgam_c  -&gt; puacgam_c + udp_c </t>
  </si>
  <si>
    <t>SQtex_b</t>
  </si>
  <si>
    <t xml:space="preserve">sq_p  -&gt; sq_e </t>
  </si>
  <si>
    <t>URATEtex_b</t>
  </si>
  <si>
    <t xml:space="preserve">urate_p  -&gt; urate_e </t>
  </si>
  <si>
    <t>ARHGDx_b</t>
  </si>
  <si>
    <t xml:space="preserve">h_c + akg_c + nadh_c  -&gt; nad_c + r2hglut_c </t>
  </si>
  <si>
    <t>INOSTO_b</t>
  </si>
  <si>
    <t xml:space="preserve">h_c + glcur_c + h2o_c  -&gt; o2_c + inost_c </t>
  </si>
  <si>
    <t>Ftex_b</t>
  </si>
  <si>
    <t xml:space="preserve">f_e  -&gt; f_p </t>
  </si>
  <si>
    <t>CYSItex_b</t>
  </si>
  <si>
    <t xml:space="preserve">cysi__L_p  -&gt; cysi__L_e </t>
  </si>
  <si>
    <t>CS1tex_b</t>
  </si>
  <si>
    <t xml:space="preserve">cs1_p  -&gt; cs1_e </t>
  </si>
  <si>
    <t>MEPNtex_b</t>
  </si>
  <si>
    <t xml:space="preserve">mepn_p  -&gt; mepn_e </t>
  </si>
  <si>
    <t>UDPGPT_b</t>
  </si>
  <si>
    <t xml:space="preserve">ump_c + udcpgl_c  -&gt; udpg_c + udcpp_c </t>
  </si>
  <si>
    <t>4ABZGLUtex_b</t>
  </si>
  <si>
    <t xml:space="preserve">4abzglu_p  -&gt; 4abzglu_e </t>
  </si>
  <si>
    <t>4HTHRA_b</t>
  </si>
  <si>
    <t xml:space="preserve">gly_c + gcald_c  -&gt; 4hthr_c </t>
  </si>
  <si>
    <t>METGLCURtex_b</t>
  </si>
  <si>
    <t xml:space="preserve">metglcur_p  -&gt; metglcur_e </t>
  </si>
  <si>
    <t>AI2tex_b</t>
  </si>
  <si>
    <t xml:space="preserve">mththf_p  -&gt; mththf_e </t>
  </si>
  <si>
    <t>RHMND_b</t>
  </si>
  <si>
    <t xml:space="preserve">lkdr_c + h2o_c  -&gt; rhmn_c </t>
  </si>
  <si>
    <t>ASPtpp_b</t>
  </si>
  <si>
    <t xml:space="preserve">asp__L_c  -&gt; asp__L_p </t>
  </si>
  <si>
    <t>FUMt1pp_b</t>
  </si>
  <si>
    <t xml:space="preserve">fum_c  -&gt; fum_p </t>
  </si>
  <si>
    <t>SUCCt1pp_b</t>
  </si>
  <si>
    <t xml:space="preserve">succ_c  -&gt; succ_p </t>
  </si>
  <si>
    <t>Environmental condition / substrate</t>
  </si>
  <si>
    <t>Glucose</t>
  </si>
  <si>
    <t>LB</t>
  </si>
  <si>
    <t>Glycerol + AA</t>
  </si>
  <si>
    <t>Acetate</t>
  </si>
  <si>
    <t>Fumarate</t>
  </si>
  <si>
    <t>Glucosamine</t>
  </si>
  <si>
    <t>Glycerol</t>
  </si>
  <si>
    <t>Pyruvate</t>
  </si>
  <si>
    <t>Chemostat µ=0.5</t>
  </si>
  <si>
    <t>Chemostat µ=0.35</t>
  </si>
  <si>
    <t>Chemostat µ=0.20</t>
  </si>
  <si>
    <t>Chemostat µ=0.12</t>
  </si>
  <si>
    <t>Stationary phase 1 day</t>
  </si>
  <si>
    <t>Stationary phase 3 days</t>
  </si>
  <si>
    <t>Osmotic-stress glucose</t>
  </si>
  <si>
    <t>42°C glucose</t>
  </si>
  <si>
    <t>pH6 glucose</t>
  </si>
  <si>
    <t>Xylose</t>
  </si>
  <si>
    <t>Mannose</t>
  </si>
  <si>
    <t xml:space="preserve">Galactose </t>
  </si>
  <si>
    <t>Succinate</t>
  </si>
  <si>
    <t>Fructose</t>
  </si>
  <si>
    <t>Total protein abundance</t>
  </si>
  <si>
    <t>protein copies/cell</t>
  </si>
  <si>
    <t>Molar abundance</t>
  </si>
  <si>
    <t>nmol/cell</t>
  </si>
  <si>
    <t>Molar concentration</t>
  </si>
  <si>
    <t>mumol/gCDW</t>
  </si>
  <si>
    <t>Protein flux</t>
  </si>
  <si>
    <t>Total protein mass</t>
  </si>
  <si>
    <t>fg per cell</t>
  </si>
  <si>
    <t>Total protein concentration</t>
  </si>
  <si>
    <t>g protein / L</t>
  </si>
  <si>
    <t>g protein / g biomass_cdw</t>
  </si>
  <si>
    <t>Mean protein concentration</t>
  </si>
  <si>
    <t>Std protein concentration</t>
  </si>
  <si>
    <t>Parameters:</t>
  </si>
  <si>
    <t>Molar cell weight [g/mol]</t>
  </si>
  <si>
    <t>Environmental condition/substrate</t>
  </si>
  <si>
    <t>Specific growth rate [1/h]</t>
  </si>
  <si>
    <t>Cell volume [fL]</t>
  </si>
  <si>
    <t>Cell volume [L]</t>
  </si>
  <si>
    <t>Experimental data of growth, acetate secretion, oxygen uptake, and carbon dioxide production rates for E. coli for a range of  glucose uptake rates</t>
  </si>
  <si>
    <t>Growth rate</t>
  </si>
  <si>
    <t>Glucose uptake rate</t>
  </si>
  <si>
    <t>Biomass yield</t>
  </si>
  <si>
    <t>Acetate yield</t>
  </si>
  <si>
    <t>Acetate secretion rate</t>
  </si>
  <si>
    <t>CO2 yield</t>
  </si>
  <si>
    <t>CO2 production rate</t>
  </si>
  <si>
    <t>O2 uptake rate</t>
  </si>
  <si>
    <t>Source</t>
  </si>
  <si>
    <t>1/h</t>
  </si>
  <si>
    <t>mmol/gDW/h</t>
  </si>
  <si>
    <t>gDW/gGLC</t>
  </si>
  <si>
    <t>gAC/gGLC</t>
  </si>
  <si>
    <t>gCO2/gGLC</t>
  </si>
  <si>
    <t>Valgepea et al. 2010
(doi: 10.1186/1752-0509-4-166)</t>
  </si>
  <si>
    <t>Perrenoud et al. 2005 (doi: 10.1128/JB.187.9.3171-3179.2005)</t>
  </si>
  <si>
    <t>Nanchen et al. 2006
(doi: 10.1128/AEM.72.2.1164)</t>
  </si>
  <si>
    <t>Peebo et al. 2015
(doi: 10.1039/C4MB00721B)</t>
  </si>
  <si>
    <t>Folsom et al. 2014
(doi: 10.1128/JB.01606-14)</t>
  </si>
  <si>
    <t>Vemuri et al. 2006
(doi: 10.1128/AEM.72.5.3653)</t>
  </si>
  <si>
    <t>Folsom et al. 2015
(doi: 10.1099/mic.0.000118)</t>
  </si>
  <si>
    <t>Schmidt et al. 2016
(doi: 10.1038/nbt.3418)</t>
  </si>
  <si>
    <t>Comparison between experimentally determined  and predicted growth and acetate secretion rates using several substrates as sole carbon sources.</t>
  </si>
  <si>
    <t>Experimental data taken from Gerosa et al. (2015) (doi: 10.1016/j.cels.2015.09.008)</t>
  </si>
  <si>
    <t>Model: iML1515 including protein allocation and enzymatic constraints</t>
  </si>
  <si>
    <t>Upper bound of substrate uptake rates were constrained to observed values</t>
  </si>
  <si>
    <t>Substrate</t>
  </si>
  <si>
    <t>Acetate production rate</t>
  </si>
  <si>
    <t>Substrate uptake rate</t>
  </si>
  <si>
    <t>Experimental</t>
  </si>
  <si>
    <t>Predicted</t>
  </si>
  <si>
    <t>Galactose</t>
  </si>
  <si>
    <t>--</t>
  </si>
  <si>
    <t>Gluconate</t>
  </si>
  <si>
    <t>Glucose (anaerobic)</t>
  </si>
  <si>
    <t>Xylose (Anaerobic)</t>
  </si>
  <si>
    <t>Comparison between predictions and experimental data of intracellular fluxes of the central carbon metabolism of E. coli grown on a glucose minimal medium.</t>
  </si>
  <si>
    <t>Upper bound of glucose uptake rate was constrained to measured values</t>
  </si>
  <si>
    <t>Excess enzyme sector was parametrized according to a methodically derived maximum glucose uptake rate of 9.82 mmol/gDW/h</t>
  </si>
  <si>
    <t>Reaction ID
(iML1515)</t>
  </si>
  <si>
    <t>Gerosa et al. 2015</t>
  </si>
  <si>
    <t>Rijsewijk et al. 2011</t>
  </si>
  <si>
    <t>Nanchen et al. 2015</t>
  </si>
  <si>
    <t>Flux rate</t>
  </si>
  <si>
    <t>EX_glc_e_b</t>
  </si>
  <si>
    <t>EX_ac_e_f</t>
  </si>
  <si>
    <t>BIOMASS_Ec_iML1515_WT_75p37M</t>
  </si>
  <si>
    <t>Comparison of predicted and experimentally determined intracellular fluxes of the central carbon metabolism of E. coli grown on several alternative carbon sources.</t>
  </si>
  <si>
    <t>Upper bounds of substrate uptake rates were constrained to measured values</t>
  </si>
  <si>
    <t>Substrate:</t>
  </si>
  <si>
    <t>-</t>
  </si>
  <si>
    <t>Experimentally determined, normalized growth rates for a range of eGFP expression strengths and respective eGFP concentrations in E. coli</t>
  </si>
  <si>
    <t>Data taken from Bienick et al. 2014 (doi: 10.1371/journal.pone.0109105)</t>
  </si>
  <si>
    <t>Growth rate error</t>
  </si>
  <si>
    <t>eGFP concentration</t>
  </si>
  <si>
    <t>eGFP concentration error</t>
  </si>
  <si>
    <t>g/gDW</t>
  </si>
  <si>
    <t xml:space="preserve">Comparison of predicted growth and acetate secretion rates of single-gene deletion E. coli mutants with experimentally determined values </t>
  </si>
  <si>
    <t>Experimental data was taken from specified sources</t>
  </si>
  <si>
    <t>Errors were computed by simulating the hightest and lowest expected glucose uptake rate according to the confidence intervals of experimentally determined uptake rates</t>
  </si>
  <si>
    <t>Deleted gene</t>
  </si>
  <si>
    <t>Error</t>
  </si>
  <si>
    <t>Wild type</t>
  </si>
  <si>
    <t>Long et al. 2016
(doi: 10.1016/j.ymben.2016.05.006)</t>
  </si>
  <si>
    <t>crr</t>
  </si>
  <si>
    <t>glk</t>
  </si>
  <si>
    <t>zwf</t>
  </si>
  <si>
    <t>gnd</t>
  </si>
  <si>
    <t>rpe</t>
  </si>
  <si>
    <t>edd</t>
  </si>
  <si>
    <t>eda</t>
  </si>
  <si>
    <t>pgi</t>
  </si>
  <si>
    <t>tpiA</t>
  </si>
  <si>
    <t>Fong et al. 2006
(doi: 10.1074/jbc.M510016200)</t>
  </si>
  <si>
    <t>ppc</t>
  </si>
  <si>
    <t>tpi</t>
  </si>
  <si>
    <t xml:space="preserve">Comparison of predicted relative growth, glucose uptake and acetate secretion rates of single-gene deletion E. coli mutants with experimentally determined values </t>
  </si>
  <si>
    <t>Gucose uptake rates were estimated according to a maximum overexpression capacity of single enzymes of 16 nmol/gDW/h</t>
  </si>
  <si>
    <t>All rates were normalized with the predicted and experimentally determined wild-type rates, respectively</t>
  </si>
  <si>
    <t>Relative
growth rate</t>
  </si>
  <si>
    <t>Relative acetate
production rate</t>
  </si>
  <si>
    <t>Relative substrate
uptake rate</t>
  </si>
  <si>
    <t>ptsG</t>
  </si>
  <si>
    <t>Long et al. 2019
(doi: 10.1016/j.ymben.2019.08.003)</t>
  </si>
  <si>
    <t>Comparison of predicted intracellular flux rates of single-gene deletion mutants with experimentally determined values</t>
  </si>
  <si>
    <t>Experimental flux data taken from Long et al. 2019 (doi: 10.1016/j.ymben.2019.08.003)</t>
  </si>
  <si>
    <t>All rates were normalized with the predicted and experimentally determined glucose uptake rates</t>
  </si>
  <si>
    <t>Wild-type</t>
  </si>
  <si>
    <t>Deleted gene:</t>
  </si>
  <si>
    <t>EX_co2_e_f</t>
  </si>
  <si>
    <t>EX_o2_e_b</t>
  </si>
  <si>
    <t>Upper bound of substrate uptake rates were constrained to methodically determined maximum substrate uptake rates according to a maximum total protein synthesis rate of 2.04 mumol/gDW/h</t>
  </si>
  <si>
    <t>Comparison of phenotypic predictions between wild-type and gene-deletion mutant model</t>
  </si>
  <si>
    <t>Upper bounds of substrate uptake rates were constrained to measured values (taken from specified sources)</t>
  </si>
  <si>
    <r>
      <t xml:space="preserve">In the </t>
    </r>
    <r>
      <rPr>
        <u/>
        <sz val="11"/>
        <color theme="1"/>
        <rFont val="Calibri"/>
        <family val="2"/>
        <scheme val="minor"/>
      </rPr>
      <t>wild-type model does the specified gene is not deleted</t>
    </r>
  </si>
  <si>
    <t>Wild-type model</t>
  </si>
  <si>
    <t>Gene-deletion model</t>
  </si>
  <si>
    <t>Here, the kcat values of both Entner-Doudoroff pathway steps were decreased to 2.5% of the the original values</t>
  </si>
  <si>
    <t>Gucose uptake rates were estimated according to a maximum overexpression capacity of single enzymes of 14.3 nmol/gDW/h</t>
  </si>
  <si>
    <t>kapp,max values were taken from Heckmann et al. 2018 (doi: 10.1038/s41467-018-07652-6) and base on a machine learning ensemble model</t>
  </si>
  <si>
    <t>Reaction IDs were taken from the BIGG database (http://bigg.ucsd.edu/)</t>
  </si>
  <si>
    <t>Machine learning ensemble model (Heckmann et al. 2018)</t>
  </si>
  <si>
    <t>Turnover number (kapp,max) [1/s]</t>
  </si>
  <si>
    <t>(Data shown in Fig S2) Comparison of predicted and experimentally determined intracellular fluxes of the central carbon metabolism of E. coli grown on several alternative carbon sources.</t>
  </si>
  <si>
    <t>(Data shown in Fig 6) Experimentally determined, normalized growth rates for a range of eGFP expression strengths and respective eGFP concentrations in E. coli</t>
  </si>
  <si>
    <t xml:space="preserve">(Data shown in Fig 7) Comparison of predicted growth and acetate secretion rates of single-gene deletion E. coli mutants with experimentally determined values </t>
  </si>
  <si>
    <t xml:space="preserve">(Data shown in Fig 8) Comparison of predicted relative growth, glucose uptake and acetate secretion rates of single-gene deletion E. coli mutants with experimentally determined values </t>
  </si>
  <si>
    <t>(Data shown in Fig 9) Comparison of predicted intracellular flux rates of single-gene deletion mutants with experimentally determined values</t>
  </si>
  <si>
    <t xml:space="preserve">(Data shown in Fig S4) Comparison of predicted growth and acetate secretion rates of single-gene deletion E. coli mutants with experimentally determined values </t>
  </si>
  <si>
    <t>(Data shown in Fig S5) Comparison of phenotypic predictions between wild-type and gene-deletion mutant model</t>
  </si>
  <si>
    <t xml:space="preserve">(Data shown in Fig S6) Comparison of predicted relative growth, glucose uptake and acetate secretion rates of single-gene deletion E. coli mutants for adapted kcat values of both Entner-Doudoroff pathway steps with experimentally determined values </t>
  </si>
  <si>
    <t>(Data shown in Fig S7) Comparison of predicted intracellular flux rates of single-gene deletion mutants for adapted kcat values of both Entner-Doudoroff pathway steps with experimentally determined values</t>
  </si>
  <si>
    <t>Curated enzymatic data used to build the protein allocation model (data shown in Fig. S8)</t>
  </si>
  <si>
    <r>
      <t xml:space="preserve">Proteome regulation patterns determine </t>
    </r>
    <r>
      <rPr>
        <b/>
        <i/>
        <sz val="11"/>
        <color theme="1"/>
        <rFont val="Calibri"/>
        <family val="2"/>
        <scheme val="minor"/>
      </rPr>
      <t>Escherichia coli</t>
    </r>
    <r>
      <rPr>
        <b/>
        <sz val="11"/>
        <color theme="1"/>
        <rFont val="Calibri"/>
        <family val="2"/>
        <scheme val="minor"/>
      </rPr>
      <t xml:space="preserve"> wild-type and mutant phenotypes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</si>
</sst>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8">
    <xf numFmtId="0" fontId="0" fillId="0" borderId="0" xfId="0"/>
    <xf numFmtId="0" fontId="1" fillId="0" borderId="0" xfId="0" applyFont="1"/>
    <xf numFmtId="0" fontId="0" fillId="0" borderId="0" xfId="0" applyBorder="1"/>
    <xf numFmtId="0" fontId="0" fillId="0" borderId="0" xfId="0" applyFill="1" applyBorder="1"/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0" xfId="0" applyFont="1" applyBorder="1"/>
    <xf numFmtId="0" fontId="0" fillId="0" borderId="1" xfId="0" applyFont="1" applyBorder="1"/>
    <xf numFmtId="0" fontId="0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/>
    <xf numFmtId="2" fontId="0" fillId="0" borderId="2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3" xfId="0" applyNumberFormat="1" applyBorder="1"/>
    <xf numFmtId="2" fontId="0" fillId="0" borderId="2" xfId="0" applyNumberFormat="1" applyBorder="1"/>
    <xf numFmtId="2" fontId="0" fillId="0" borderId="0" xfId="0" applyNumberFormat="1" applyBorder="1"/>
    <xf numFmtId="2" fontId="0" fillId="0" borderId="1" xfId="0" applyNumberFormat="1" applyBorder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0" fillId="0" borderId="0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right"/>
    </xf>
    <xf numFmtId="0" fontId="1" fillId="0" borderId="0" xfId="0" applyFont="1" applyBorder="1" applyAlignment="1"/>
    <xf numFmtId="0" fontId="0" fillId="0" borderId="0" xfId="0" quotePrefix="1"/>
    <xf numFmtId="0" fontId="0" fillId="0" borderId="0" xfId="0" applyFont="1"/>
    <xf numFmtId="0" fontId="0" fillId="0" borderId="0" xfId="0" applyFont="1" applyAlignment="1">
      <alignment vertical="center"/>
    </xf>
    <xf numFmtId="2" fontId="0" fillId="0" borderId="0" xfId="0" applyNumberFormat="1" applyFont="1" applyBorder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0" fillId="0" borderId="1" xfId="0" applyFill="1" applyBorder="1" applyAlignment="1">
      <alignment horizontal="center"/>
    </xf>
    <xf numFmtId="4" fontId="0" fillId="0" borderId="0" xfId="0" applyNumberFormat="1" applyAlignment="1">
      <alignment horizontal="center" vertical="center"/>
    </xf>
    <xf numFmtId="0" fontId="0" fillId="2" borderId="0" xfId="0" applyFill="1"/>
    <xf numFmtId="0" fontId="4" fillId="0" borderId="0" xfId="0" applyFont="1"/>
    <xf numFmtId="0" fontId="0" fillId="0" borderId="0" xfId="0" applyFont="1" applyBorder="1" applyAlignment="1"/>
    <xf numFmtId="0" fontId="4" fillId="0" borderId="0" xfId="0" applyFont="1" applyBorder="1"/>
    <xf numFmtId="0" fontId="4" fillId="0" borderId="1" xfId="0" applyFont="1" applyBorder="1"/>
    <xf numFmtId="0" fontId="4" fillId="0" borderId="2" xfId="0" applyFont="1" applyBorder="1"/>
    <xf numFmtId="0" fontId="5" fillId="0" borderId="0" xfId="0" applyFont="1" applyBorder="1"/>
    <xf numFmtId="0" fontId="5" fillId="0" borderId="1" xfId="0" applyFont="1" applyBorder="1"/>
    <xf numFmtId="0" fontId="1" fillId="0" borderId="0" xfId="0" applyFont="1" applyFill="1" applyAlignment="1">
      <alignment horizontal="right"/>
    </xf>
    <xf numFmtId="0" fontId="5" fillId="0" borderId="0" xfId="0" applyFont="1"/>
    <xf numFmtId="0" fontId="0" fillId="0" borderId="0" xfId="0"/>
    <xf numFmtId="0" fontId="1" fillId="0" borderId="4" xfId="0" applyFont="1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11" fontId="0" fillId="0" borderId="5" xfId="0" applyNumberFormat="1" applyBorder="1"/>
    <xf numFmtId="11" fontId="0" fillId="0" borderId="2" xfId="0" applyNumberFormat="1" applyBorder="1"/>
    <xf numFmtId="164" fontId="0" fillId="0" borderId="5" xfId="0" applyNumberFormat="1" applyBorder="1"/>
    <xf numFmtId="16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Font="1" applyBorder="1" applyAlignment="1">
      <alignment vertical="center"/>
    </xf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Font="1" applyFill="1" applyBorder="1" applyAlignment="1">
      <alignment vertic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1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0" fontId="1" fillId="0" borderId="0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oi.org/10.1002/bit.25133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zoomScale="85" zoomScaleNormal="85" workbookViewId="0">
      <selection activeCell="C9" sqref="C9"/>
    </sheetView>
  </sheetViews>
  <sheetFormatPr defaultColWidth="11.42578125" defaultRowHeight="15" x14ac:dyDescent="0.25"/>
  <cols>
    <col min="2" max="2" width="25.42578125" bestFit="1" customWidth="1"/>
    <col min="3" max="3" width="212.28515625" style="47" bestFit="1" customWidth="1"/>
    <col min="4" max="4" width="149.85546875" bestFit="1" customWidth="1"/>
  </cols>
  <sheetData>
    <row r="1" spans="1:4" x14ac:dyDescent="0.25">
      <c r="A1" s="47" t="s">
        <v>0</v>
      </c>
      <c r="B1" s="47"/>
      <c r="D1" s="47"/>
    </row>
    <row r="3" spans="1:4" x14ac:dyDescent="0.25">
      <c r="A3" s="1" t="s">
        <v>8835</v>
      </c>
      <c r="B3" s="47"/>
      <c r="D3" s="47"/>
    </row>
    <row r="4" spans="1:4" x14ac:dyDescent="0.25">
      <c r="A4" s="47" t="s">
        <v>1</v>
      </c>
      <c r="B4" s="47"/>
      <c r="D4" s="47"/>
    </row>
    <row r="6" spans="1:4" x14ac:dyDescent="0.25">
      <c r="A6" s="46" t="s">
        <v>2</v>
      </c>
      <c r="B6" s="47"/>
      <c r="D6" s="47"/>
    </row>
    <row r="8" spans="1:4" x14ac:dyDescent="0.25">
      <c r="A8" s="47"/>
      <c r="B8" s="6" t="s">
        <v>3</v>
      </c>
      <c r="C8" s="6" t="s">
        <v>4</v>
      </c>
      <c r="D8" s="47"/>
    </row>
    <row r="9" spans="1:4" ht="30" customHeight="1" x14ac:dyDescent="0.25">
      <c r="A9" s="47"/>
      <c r="B9" s="58" t="s">
        <v>5</v>
      </c>
      <c r="C9" s="10" t="s">
        <v>8834</v>
      </c>
      <c r="D9" s="47"/>
    </row>
    <row r="10" spans="1:4" s="47" customFormat="1" ht="30" customHeight="1" x14ac:dyDescent="0.25">
      <c r="B10" s="58" t="s">
        <v>7</v>
      </c>
      <c r="C10" s="10" t="s">
        <v>8</v>
      </c>
    </row>
    <row r="11" spans="1:4" s="47" customFormat="1" ht="30" customHeight="1" x14ac:dyDescent="0.25">
      <c r="B11" s="58" t="s">
        <v>9</v>
      </c>
      <c r="C11" s="10" t="s">
        <v>10</v>
      </c>
    </row>
    <row r="12" spans="1:4" s="10" customFormat="1" ht="33" customHeight="1" x14ac:dyDescent="0.25">
      <c r="B12" s="58" t="s">
        <v>11</v>
      </c>
      <c r="C12" s="32" t="s">
        <v>12</v>
      </c>
    </row>
    <row r="13" spans="1:4" s="10" customFormat="1" ht="33" customHeight="1" x14ac:dyDescent="0.25">
      <c r="B13" s="58" t="s">
        <v>13</v>
      </c>
      <c r="C13" s="32" t="s">
        <v>14</v>
      </c>
    </row>
    <row r="14" spans="1:4" s="10" customFormat="1" ht="33" customHeight="1" x14ac:dyDescent="0.25">
      <c r="B14" s="58" t="s">
        <v>15</v>
      </c>
      <c r="C14" s="32" t="s">
        <v>16</v>
      </c>
    </row>
    <row r="15" spans="1:4" s="10" customFormat="1" ht="33" customHeight="1" x14ac:dyDescent="0.25">
      <c r="B15" s="58" t="s">
        <v>17</v>
      </c>
      <c r="C15" s="32" t="s">
        <v>8825</v>
      </c>
    </row>
    <row r="16" spans="1:4" s="10" customFormat="1" ht="33" customHeight="1" x14ac:dyDescent="0.25">
      <c r="B16" s="58" t="s">
        <v>18</v>
      </c>
      <c r="C16" s="32" t="s">
        <v>8826</v>
      </c>
    </row>
    <row r="17" spans="2:3" s="10" customFormat="1" ht="33" customHeight="1" x14ac:dyDescent="0.25">
      <c r="B17" s="58" t="s">
        <v>19</v>
      </c>
      <c r="C17" s="32" t="s">
        <v>8827</v>
      </c>
    </row>
    <row r="18" spans="2:3" s="10" customFormat="1" ht="33" customHeight="1" x14ac:dyDescent="0.25">
      <c r="B18" s="58" t="s">
        <v>20</v>
      </c>
      <c r="C18" s="32" t="s">
        <v>8828</v>
      </c>
    </row>
    <row r="19" spans="2:3" s="10" customFormat="1" ht="33" customHeight="1" x14ac:dyDescent="0.25">
      <c r="B19" s="58" t="s">
        <v>21</v>
      </c>
      <c r="C19" s="32" t="s">
        <v>8829</v>
      </c>
    </row>
    <row r="20" spans="2:3" s="10" customFormat="1" ht="33" customHeight="1" x14ac:dyDescent="0.25">
      <c r="B20" s="58" t="s">
        <v>22</v>
      </c>
      <c r="C20" s="32" t="s">
        <v>23</v>
      </c>
    </row>
    <row r="21" spans="2:3" s="10" customFormat="1" ht="33" customHeight="1" x14ac:dyDescent="0.25">
      <c r="B21" s="58" t="s">
        <v>24</v>
      </c>
      <c r="C21" s="32" t="s">
        <v>8830</v>
      </c>
    </row>
    <row r="22" spans="2:3" s="10" customFormat="1" ht="33" customHeight="1" x14ac:dyDescent="0.25">
      <c r="B22" s="58" t="s">
        <v>25</v>
      </c>
      <c r="C22" s="32" t="s">
        <v>8831</v>
      </c>
    </row>
    <row r="23" spans="2:3" s="10" customFormat="1" ht="33" customHeight="1" x14ac:dyDescent="0.25">
      <c r="B23" s="58" t="s">
        <v>26</v>
      </c>
      <c r="C23" s="32" t="s">
        <v>8832</v>
      </c>
    </row>
    <row r="24" spans="2:3" s="10" customFormat="1" ht="30" customHeight="1" x14ac:dyDescent="0.25">
      <c r="B24" s="58" t="s">
        <v>27</v>
      </c>
      <c r="C24" s="10" t="s">
        <v>8833</v>
      </c>
    </row>
    <row r="25" spans="2:3" ht="30" customHeight="1" x14ac:dyDescent="0.25">
      <c r="B25" s="62" t="s">
        <v>28</v>
      </c>
      <c r="C25" s="32" t="s">
        <v>29</v>
      </c>
    </row>
  </sheetData>
  <phoneticPr fontId="6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49"/>
  <sheetViews>
    <sheetView workbookViewId="0">
      <selection activeCell="G1" sqref="G1:G1048576"/>
    </sheetView>
  </sheetViews>
  <sheetFormatPr defaultColWidth="11.42578125" defaultRowHeight="15" x14ac:dyDescent="0.25"/>
  <cols>
    <col min="6" max="6" width="25.42578125" bestFit="1" customWidth="1"/>
  </cols>
  <sheetData>
    <row r="1" spans="1:6" x14ac:dyDescent="0.25">
      <c r="A1" s="47" t="s">
        <v>6</v>
      </c>
      <c r="B1" s="47"/>
      <c r="C1" s="47"/>
      <c r="D1" s="47"/>
      <c r="E1" s="64"/>
      <c r="F1" s="64"/>
    </row>
    <row r="2" spans="1:6" s="47" customFormat="1" x14ac:dyDescent="0.25">
      <c r="A2" s="47" t="s">
        <v>30</v>
      </c>
      <c r="E2" s="64"/>
      <c r="F2" s="64"/>
    </row>
    <row r="3" spans="1:6" x14ac:dyDescent="0.25">
      <c r="A3" s="47" t="s">
        <v>31</v>
      </c>
      <c r="B3" s="47"/>
      <c r="C3" s="47"/>
      <c r="D3" s="47"/>
      <c r="E3" s="64"/>
      <c r="F3" s="64"/>
    </row>
    <row r="4" spans="1:6" s="47" customFormat="1" x14ac:dyDescent="0.25">
      <c r="E4" s="64"/>
      <c r="F4" s="64"/>
    </row>
    <row r="5" spans="1:6" x14ac:dyDescent="0.25">
      <c r="A5" s="47"/>
      <c r="B5" s="47"/>
      <c r="C5" s="47"/>
      <c r="D5" s="47"/>
      <c r="E5" s="64"/>
      <c r="F5" s="64" t="s">
        <v>32</v>
      </c>
    </row>
    <row r="6" spans="1:6" x14ac:dyDescent="0.25">
      <c r="A6" s="67" t="s">
        <v>33</v>
      </c>
      <c r="B6" s="67" t="s">
        <v>34</v>
      </c>
      <c r="C6" s="67" t="s">
        <v>35</v>
      </c>
      <c r="D6" s="67" t="s">
        <v>36</v>
      </c>
      <c r="E6" s="67" t="s">
        <v>37</v>
      </c>
      <c r="F6" s="67" t="s">
        <v>38</v>
      </c>
    </row>
    <row r="7" spans="1:6" x14ac:dyDescent="0.25">
      <c r="A7" s="47" t="s">
        <v>39</v>
      </c>
      <c r="B7" s="47" t="s">
        <v>40</v>
      </c>
      <c r="C7" s="47" t="s">
        <v>41</v>
      </c>
      <c r="D7" s="47" t="s">
        <v>42</v>
      </c>
      <c r="E7" s="64">
        <v>40904.485000000001</v>
      </c>
      <c r="F7" s="64">
        <v>6.8624999999999998</v>
      </c>
    </row>
    <row r="8" spans="1:6" x14ac:dyDescent="0.25">
      <c r="A8" s="47" t="s">
        <v>43</v>
      </c>
      <c r="B8" s="47" t="s">
        <v>44</v>
      </c>
      <c r="C8" s="47" t="s">
        <v>45</v>
      </c>
      <c r="D8" s="47" t="s">
        <v>46</v>
      </c>
      <c r="E8" s="64">
        <v>49950</v>
      </c>
      <c r="F8" s="64">
        <v>0.45</v>
      </c>
    </row>
    <row r="9" spans="1:6" x14ac:dyDescent="0.25">
      <c r="A9" s="47" t="s">
        <v>47</v>
      </c>
      <c r="B9" s="47" t="s">
        <v>48</v>
      </c>
      <c r="C9" s="47" t="s">
        <v>49</v>
      </c>
      <c r="D9" s="47" t="s">
        <v>50</v>
      </c>
      <c r="E9" s="64">
        <v>34321.49</v>
      </c>
      <c r="F9" s="64">
        <v>3.0000000000000001E-3</v>
      </c>
    </row>
    <row r="10" spans="1:6" x14ac:dyDescent="0.25">
      <c r="A10" s="47" t="s">
        <v>51</v>
      </c>
      <c r="B10" s="47" t="s">
        <v>52</v>
      </c>
      <c r="C10" s="47" t="s">
        <v>53</v>
      </c>
      <c r="D10" s="47" t="s">
        <v>54</v>
      </c>
      <c r="E10" s="64">
        <v>48771.05</v>
      </c>
      <c r="F10" s="64">
        <v>733.3</v>
      </c>
    </row>
    <row r="11" spans="1:6" x14ac:dyDescent="0.25">
      <c r="A11" s="47" t="s">
        <v>55</v>
      </c>
      <c r="B11" s="47" t="s">
        <v>56</v>
      </c>
      <c r="C11" s="47" t="s">
        <v>57</v>
      </c>
      <c r="D11" s="47" t="s">
        <v>58</v>
      </c>
      <c r="E11" s="64">
        <v>36773.460000000006</v>
      </c>
      <c r="F11" s="64">
        <v>82</v>
      </c>
    </row>
    <row r="12" spans="1:6" x14ac:dyDescent="0.25">
      <c r="A12" s="47" t="s">
        <v>59</v>
      </c>
      <c r="B12" s="47" t="s">
        <v>60</v>
      </c>
      <c r="C12" s="47" t="s">
        <v>61</v>
      </c>
      <c r="D12" s="47" t="s">
        <v>62</v>
      </c>
      <c r="E12" s="64">
        <v>137242.88</v>
      </c>
      <c r="F12" s="64">
        <v>15.7</v>
      </c>
    </row>
    <row r="13" spans="1:6" x14ac:dyDescent="0.25">
      <c r="A13" s="47" t="s">
        <v>63</v>
      </c>
      <c r="B13" s="47" t="s">
        <v>60</v>
      </c>
      <c r="C13" s="47" t="s">
        <v>64</v>
      </c>
      <c r="D13" s="47" t="s">
        <v>62</v>
      </c>
      <c r="E13" s="64">
        <v>137242.88</v>
      </c>
      <c r="F13" s="64">
        <v>15.7</v>
      </c>
    </row>
    <row r="14" spans="1:6" x14ac:dyDescent="0.25">
      <c r="A14" s="47" t="s">
        <v>65</v>
      </c>
      <c r="B14" s="47" t="s">
        <v>60</v>
      </c>
      <c r="C14" s="47" t="s">
        <v>66</v>
      </c>
      <c r="D14" s="47" t="s">
        <v>62</v>
      </c>
      <c r="E14" s="64">
        <v>137242.88</v>
      </c>
      <c r="F14" s="64">
        <v>15.7</v>
      </c>
    </row>
    <row r="15" spans="1:6" x14ac:dyDescent="0.25">
      <c r="A15" s="47" t="s">
        <v>67</v>
      </c>
      <c r="B15" s="47" t="s">
        <v>68</v>
      </c>
      <c r="C15" s="47" t="s">
        <v>69</v>
      </c>
      <c r="D15" s="47" t="s">
        <v>70</v>
      </c>
      <c r="E15" s="64">
        <v>34840.99</v>
      </c>
      <c r="F15" s="64">
        <v>31.0185</v>
      </c>
    </row>
    <row r="16" spans="1:6" x14ac:dyDescent="0.25">
      <c r="A16" s="47" t="s">
        <v>71</v>
      </c>
      <c r="B16" s="47" t="s">
        <v>72</v>
      </c>
      <c r="C16" s="47" t="s">
        <v>73</v>
      </c>
      <c r="D16" s="47" t="s">
        <v>74</v>
      </c>
      <c r="E16" s="64">
        <v>71687.149999999994</v>
      </c>
      <c r="F16" s="64">
        <v>3.6950000000000003</v>
      </c>
    </row>
    <row r="17" spans="1:6" x14ac:dyDescent="0.25">
      <c r="A17" s="47" t="s">
        <v>75</v>
      </c>
      <c r="B17" s="47" t="s">
        <v>76</v>
      </c>
      <c r="C17" s="47" t="s">
        <v>77</v>
      </c>
      <c r="D17" s="47" t="s">
        <v>78</v>
      </c>
      <c r="E17" s="64">
        <v>102566.01</v>
      </c>
      <c r="F17" s="64">
        <v>33.299999999999997</v>
      </c>
    </row>
    <row r="18" spans="1:6" x14ac:dyDescent="0.25">
      <c r="A18" s="47" t="s">
        <v>79</v>
      </c>
      <c r="B18" s="47" t="s">
        <v>80</v>
      </c>
      <c r="C18" s="47" t="s">
        <v>81</v>
      </c>
      <c r="D18" s="47" t="s">
        <v>82</v>
      </c>
      <c r="E18" s="64">
        <v>38814.565000000002</v>
      </c>
      <c r="F18" s="64">
        <v>15.654999999999999</v>
      </c>
    </row>
    <row r="19" spans="1:6" x14ac:dyDescent="0.25">
      <c r="A19" s="47" t="s">
        <v>83</v>
      </c>
      <c r="B19" s="47" t="s">
        <v>84</v>
      </c>
      <c r="C19" s="47" t="s">
        <v>85</v>
      </c>
      <c r="D19" s="47" t="s">
        <v>86</v>
      </c>
      <c r="E19" s="64">
        <v>30319.870000000003</v>
      </c>
      <c r="F19" s="64">
        <v>236.745</v>
      </c>
    </row>
    <row r="20" spans="1:6" x14ac:dyDescent="0.25">
      <c r="A20" s="47" t="s">
        <v>87</v>
      </c>
      <c r="B20" s="47" t="s">
        <v>88</v>
      </c>
      <c r="C20" s="47" t="s">
        <v>89</v>
      </c>
      <c r="D20" s="47" t="s">
        <v>90</v>
      </c>
      <c r="E20" s="64">
        <v>44628.810000000005</v>
      </c>
      <c r="F20" s="64">
        <v>176.85249999999999</v>
      </c>
    </row>
    <row r="21" spans="1:6" x14ac:dyDescent="0.25">
      <c r="A21" s="47" t="s">
        <v>91</v>
      </c>
      <c r="B21" s="47" t="s">
        <v>92</v>
      </c>
      <c r="C21" s="47" t="s">
        <v>93</v>
      </c>
      <c r="D21" s="47" t="s">
        <v>42</v>
      </c>
      <c r="E21" s="64">
        <v>40904.485000000001</v>
      </c>
      <c r="F21" s="64">
        <v>6.8624999999999998</v>
      </c>
    </row>
    <row r="22" spans="1:6" x14ac:dyDescent="0.25">
      <c r="A22" s="47" t="s">
        <v>94</v>
      </c>
      <c r="B22" s="47" t="s">
        <v>95</v>
      </c>
      <c r="C22" s="47" t="s">
        <v>96</v>
      </c>
      <c r="D22" s="47" t="s">
        <v>97</v>
      </c>
      <c r="E22" s="64">
        <v>42848.689999999995</v>
      </c>
      <c r="F22" s="64">
        <v>1.38</v>
      </c>
    </row>
    <row r="23" spans="1:6" x14ac:dyDescent="0.25">
      <c r="A23" s="47" t="s">
        <v>98</v>
      </c>
      <c r="B23" s="47" t="s">
        <v>99</v>
      </c>
      <c r="C23" s="47" t="s">
        <v>100</v>
      </c>
      <c r="D23" s="47" t="s">
        <v>101</v>
      </c>
      <c r="E23" s="64">
        <v>40337.21</v>
      </c>
      <c r="F23" s="64">
        <v>7.3275000000000006</v>
      </c>
    </row>
    <row r="24" spans="1:6" x14ac:dyDescent="0.25">
      <c r="A24" s="47" t="s">
        <v>102</v>
      </c>
      <c r="B24" s="47" t="s">
        <v>103</v>
      </c>
      <c r="C24" s="47" t="s">
        <v>104</v>
      </c>
      <c r="D24" s="47" t="s">
        <v>105</v>
      </c>
      <c r="E24" s="64">
        <v>23352.760000000002</v>
      </c>
      <c r="F24" s="64">
        <v>2.8482833333333333</v>
      </c>
    </row>
    <row r="25" spans="1:6" x14ac:dyDescent="0.25">
      <c r="A25" s="47" t="s">
        <v>106</v>
      </c>
      <c r="B25" s="47" t="s">
        <v>107</v>
      </c>
      <c r="C25" s="47" t="s">
        <v>108</v>
      </c>
      <c r="D25" s="47" t="s">
        <v>109</v>
      </c>
      <c r="E25" s="64">
        <v>34733.269999999997</v>
      </c>
      <c r="F25" s="64">
        <v>3.7166666666666663</v>
      </c>
    </row>
    <row r="26" spans="1:6" x14ac:dyDescent="0.25">
      <c r="A26" s="47" t="s">
        <v>110</v>
      </c>
      <c r="B26" s="47" t="s">
        <v>111</v>
      </c>
      <c r="C26" s="47" t="s">
        <v>112</v>
      </c>
      <c r="D26" s="47" t="s">
        <v>113</v>
      </c>
      <c r="E26" s="64">
        <v>29228.796666666669</v>
      </c>
      <c r="F26" s="64">
        <v>0.59</v>
      </c>
    </row>
    <row r="27" spans="1:6" x14ac:dyDescent="0.25">
      <c r="A27" s="47" t="s">
        <v>114</v>
      </c>
      <c r="B27" s="47" t="s">
        <v>115</v>
      </c>
      <c r="C27" s="47" t="s">
        <v>116</v>
      </c>
      <c r="D27" s="47" t="s">
        <v>117</v>
      </c>
      <c r="E27" s="64">
        <v>23444.21</v>
      </c>
      <c r="F27" s="64">
        <v>0.26700000000000002</v>
      </c>
    </row>
    <row r="28" spans="1:6" x14ac:dyDescent="0.25">
      <c r="A28" s="47" t="s">
        <v>118</v>
      </c>
      <c r="B28" s="47" t="s">
        <v>119</v>
      </c>
      <c r="C28" s="47" t="s">
        <v>120</v>
      </c>
      <c r="D28" s="47" t="s">
        <v>121</v>
      </c>
      <c r="E28" s="64">
        <v>32158.730000000003</v>
      </c>
      <c r="F28" s="64">
        <v>0.49</v>
      </c>
    </row>
    <row r="29" spans="1:6" x14ac:dyDescent="0.25">
      <c r="A29" s="47" t="s">
        <v>122</v>
      </c>
      <c r="B29" s="47" t="s">
        <v>123</v>
      </c>
      <c r="C29" s="47" t="s">
        <v>124</v>
      </c>
      <c r="D29" s="47" t="s">
        <v>121</v>
      </c>
      <c r="E29" s="64">
        <v>32158.730000000003</v>
      </c>
      <c r="F29" s="64">
        <v>0.34499999999999997</v>
      </c>
    </row>
    <row r="30" spans="1:6" x14ac:dyDescent="0.25">
      <c r="A30" s="47" t="s">
        <v>125</v>
      </c>
      <c r="B30" s="47" t="s">
        <v>126</v>
      </c>
      <c r="C30" s="47" t="s">
        <v>127</v>
      </c>
      <c r="D30" s="47" t="s">
        <v>128</v>
      </c>
      <c r="E30" s="64">
        <v>27797.239999999998</v>
      </c>
      <c r="F30" s="64">
        <v>500</v>
      </c>
    </row>
    <row r="31" spans="1:6" x14ac:dyDescent="0.25">
      <c r="A31" s="47" t="s">
        <v>129</v>
      </c>
      <c r="B31" s="47" t="s">
        <v>130</v>
      </c>
      <c r="C31" s="47" t="s">
        <v>131</v>
      </c>
      <c r="D31" s="47" t="s">
        <v>132</v>
      </c>
      <c r="E31" s="64">
        <v>39246.949999999997</v>
      </c>
      <c r="F31" s="64">
        <v>0.317</v>
      </c>
    </row>
    <row r="32" spans="1:6" x14ac:dyDescent="0.25">
      <c r="A32" s="47" t="s">
        <v>133</v>
      </c>
      <c r="B32" s="47" t="s">
        <v>134</v>
      </c>
      <c r="C32" s="47" t="s">
        <v>135</v>
      </c>
      <c r="D32" s="47" t="s">
        <v>136</v>
      </c>
      <c r="E32" s="64">
        <v>47205.67</v>
      </c>
      <c r="F32" s="64">
        <v>130</v>
      </c>
    </row>
    <row r="33" spans="1:6" x14ac:dyDescent="0.25">
      <c r="A33" s="47" t="s">
        <v>137</v>
      </c>
      <c r="B33" s="47" t="s">
        <v>138</v>
      </c>
      <c r="C33" s="47" t="s">
        <v>139</v>
      </c>
      <c r="D33" s="47" t="s">
        <v>140</v>
      </c>
      <c r="E33" s="64">
        <v>24429.83</v>
      </c>
      <c r="F33" s="64">
        <v>5105.1071428571431</v>
      </c>
    </row>
    <row r="34" spans="1:6" x14ac:dyDescent="0.25">
      <c r="A34" s="47" t="s">
        <v>141</v>
      </c>
      <c r="B34" s="47" t="s">
        <v>142</v>
      </c>
      <c r="C34" s="47" t="s">
        <v>143</v>
      </c>
      <c r="D34" s="47" t="s">
        <v>144</v>
      </c>
      <c r="E34" s="64">
        <v>57327.489999999991</v>
      </c>
      <c r="F34" s="64">
        <v>8.6</v>
      </c>
    </row>
    <row r="35" spans="1:6" x14ac:dyDescent="0.25">
      <c r="A35" s="47" t="s">
        <v>145</v>
      </c>
      <c r="B35" s="47" t="s">
        <v>146</v>
      </c>
      <c r="C35" s="47" t="s">
        <v>147</v>
      </c>
      <c r="D35" s="47" t="s">
        <v>148</v>
      </c>
      <c r="E35" s="64">
        <v>52020.87</v>
      </c>
      <c r="F35" s="64">
        <v>13</v>
      </c>
    </row>
    <row r="36" spans="1:6" x14ac:dyDescent="0.25">
      <c r="A36" s="47" t="s">
        <v>149</v>
      </c>
      <c r="B36" s="47" t="s">
        <v>150</v>
      </c>
      <c r="C36" s="47" t="s">
        <v>151</v>
      </c>
      <c r="D36" s="47" t="s">
        <v>152</v>
      </c>
      <c r="E36" s="64">
        <v>78330.794999999998</v>
      </c>
      <c r="F36" s="64">
        <v>380.5</v>
      </c>
    </row>
    <row r="37" spans="1:6" x14ac:dyDescent="0.25">
      <c r="A37" s="47" t="s">
        <v>153</v>
      </c>
      <c r="B37" s="47" t="s">
        <v>154</v>
      </c>
      <c r="C37" s="47" t="s">
        <v>155</v>
      </c>
      <c r="D37" s="47" t="s">
        <v>156</v>
      </c>
      <c r="E37" s="64">
        <v>53814.069999999985</v>
      </c>
      <c r="F37" s="64">
        <v>2.2000000000000002</v>
      </c>
    </row>
    <row r="38" spans="1:6" x14ac:dyDescent="0.25">
      <c r="A38" s="47" t="s">
        <v>157</v>
      </c>
      <c r="B38" s="47" t="s">
        <v>158</v>
      </c>
      <c r="C38" s="47" t="s">
        <v>159</v>
      </c>
      <c r="D38" s="47" t="s">
        <v>160</v>
      </c>
      <c r="E38" s="64">
        <v>23014.649999999998</v>
      </c>
      <c r="F38" s="64">
        <v>16.080249999999999</v>
      </c>
    </row>
    <row r="39" spans="1:6" x14ac:dyDescent="0.25">
      <c r="A39" s="47" t="s">
        <v>161</v>
      </c>
      <c r="B39" s="47" t="s">
        <v>162</v>
      </c>
      <c r="C39" s="47" t="s">
        <v>163</v>
      </c>
      <c r="D39" s="47" t="s">
        <v>164</v>
      </c>
      <c r="E39" s="64">
        <v>24352.36</v>
      </c>
      <c r="F39" s="64">
        <v>4.1000000000000003E-3</v>
      </c>
    </row>
    <row r="40" spans="1:6" x14ac:dyDescent="0.25">
      <c r="A40" s="47" t="s">
        <v>165</v>
      </c>
      <c r="B40" s="47" t="s">
        <v>166</v>
      </c>
      <c r="C40" s="47" t="s">
        <v>167</v>
      </c>
      <c r="D40" s="47" t="s">
        <v>164</v>
      </c>
      <c r="E40" s="64">
        <v>24352.36</v>
      </c>
      <c r="F40" s="64">
        <v>4.1000000000000003E-3</v>
      </c>
    </row>
    <row r="41" spans="1:6" x14ac:dyDescent="0.25">
      <c r="A41" s="47" t="s">
        <v>168</v>
      </c>
      <c r="B41" s="47" t="s">
        <v>169</v>
      </c>
      <c r="C41" s="47" t="s">
        <v>170</v>
      </c>
      <c r="D41" s="47" t="s">
        <v>164</v>
      </c>
      <c r="E41" s="64">
        <v>24352.36</v>
      </c>
      <c r="F41" s="64">
        <v>4.1000000000000003E-3</v>
      </c>
    </row>
    <row r="42" spans="1:6" x14ac:dyDescent="0.25">
      <c r="A42" s="47" t="s">
        <v>171</v>
      </c>
      <c r="B42" s="47" t="s">
        <v>172</v>
      </c>
      <c r="C42" s="47" t="s">
        <v>173</v>
      </c>
      <c r="D42" s="47" t="s">
        <v>164</v>
      </c>
      <c r="E42" s="64">
        <v>24352.36</v>
      </c>
      <c r="F42" s="64">
        <v>4.1000000000000003E-3</v>
      </c>
    </row>
    <row r="43" spans="1:6" x14ac:dyDescent="0.25">
      <c r="A43" s="47" t="s">
        <v>174</v>
      </c>
      <c r="B43" s="47" t="s">
        <v>175</v>
      </c>
      <c r="C43" s="47" t="s">
        <v>176</v>
      </c>
      <c r="D43" s="47" t="s">
        <v>177</v>
      </c>
      <c r="E43" s="64">
        <v>16970.060000000001</v>
      </c>
      <c r="F43" s="64">
        <v>131</v>
      </c>
    </row>
    <row r="44" spans="1:6" x14ac:dyDescent="0.25">
      <c r="A44" s="47" t="s">
        <v>178</v>
      </c>
      <c r="B44" s="47" t="s">
        <v>179</v>
      </c>
      <c r="C44" s="47" t="s">
        <v>180</v>
      </c>
      <c r="D44" s="47" t="s">
        <v>177</v>
      </c>
      <c r="E44" s="64">
        <v>18542.310000000001</v>
      </c>
      <c r="F44" s="64">
        <v>83.4</v>
      </c>
    </row>
    <row r="45" spans="1:6" x14ac:dyDescent="0.25">
      <c r="A45" s="47" t="s">
        <v>181</v>
      </c>
      <c r="B45" s="47" t="s">
        <v>182</v>
      </c>
      <c r="C45" s="47" t="s">
        <v>183</v>
      </c>
      <c r="D45" s="47" t="s">
        <v>184</v>
      </c>
      <c r="E45" s="64">
        <v>19524.12</v>
      </c>
      <c r="F45" s="64">
        <v>571.5</v>
      </c>
    </row>
    <row r="46" spans="1:6" x14ac:dyDescent="0.25">
      <c r="A46" s="47" t="s">
        <v>185</v>
      </c>
      <c r="B46" s="47" t="s">
        <v>186</v>
      </c>
      <c r="C46" s="47" t="s">
        <v>187</v>
      </c>
      <c r="D46" s="47" t="s">
        <v>188</v>
      </c>
      <c r="E46" s="64">
        <v>38826.19</v>
      </c>
      <c r="F46" s="64">
        <v>1.71</v>
      </c>
    </row>
    <row r="47" spans="1:6" x14ac:dyDescent="0.25">
      <c r="A47" s="47" t="s">
        <v>189</v>
      </c>
      <c r="B47" s="47" t="s">
        <v>190</v>
      </c>
      <c r="C47" s="47" t="s">
        <v>191</v>
      </c>
      <c r="D47" s="47" t="s">
        <v>192</v>
      </c>
      <c r="E47" s="64">
        <v>26349.440000000002</v>
      </c>
      <c r="F47" s="64">
        <v>42</v>
      </c>
    </row>
    <row r="48" spans="1:6" x14ac:dyDescent="0.25">
      <c r="A48" s="47" t="s">
        <v>193</v>
      </c>
      <c r="B48" s="47" t="s">
        <v>194</v>
      </c>
      <c r="C48" s="47" t="s">
        <v>195</v>
      </c>
      <c r="D48" s="47" t="s">
        <v>196</v>
      </c>
      <c r="E48" s="64">
        <v>48013.47</v>
      </c>
      <c r="F48" s="64">
        <v>51</v>
      </c>
    </row>
    <row r="49" spans="1:6" x14ac:dyDescent="0.25">
      <c r="A49" s="47" t="s">
        <v>197</v>
      </c>
      <c r="B49" s="47" t="s">
        <v>198</v>
      </c>
      <c r="C49" s="47" t="s">
        <v>199</v>
      </c>
      <c r="D49" s="47" t="s">
        <v>200</v>
      </c>
      <c r="E49" s="64">
        <v>45755.38</v>
      </c>
      <c r="F49" s="64">
        <v>11.1</v>
      </c>
    </row>
    <row r="50" spans="1:6" x14ac:dyDescent="0.25">
      <c r="A50" s="47" t="s">
        <v>201</v>
      </c>
      <c r="B50" s="47" t="s">
        <v>202</v>
      </c>
      <c r="C50" s="47" t="s">
        <v>203</v>
      </c>
      <c r="D50" s="47" t="s">
        <v>204</v>
      </c>
      <c r="E50" s="64">
        <v>64782.974999999991</v>
      </c>
      <c r="F50" s="64">
        <v>15.7</v>
      </c>
    </row>
    <row r="51" spans="1:6" x14ac:dyDescent="0.25">
      <c r="A51" s="47" t="s">
        <v>205</v>
      </c>
      <c r="B51" s="47" t="s">
        <v>206</v>
      </c>
      <c r="C51" s="47" t="s">
        <v>207</v>
      </c>
      <c r="D51" s="47" t="s">
        <v>208</v>
      </c>
      <c r="E51" s="64">
        <v>72091.360000000001</v>
      </c>
      <c r="F51" s="64">
        <v>66.599999999999994</v>
      </c>
    </row>
    <row r="52" spans="1:6" x14ac:dyDescent="0.25">
      <c r="A52" s="47" t="s">
        <v>209</v>
      </c>
      <c r="B52" s="47" t="s">
        <v>210</v>
      </c>
      <c r="C52" s="47" t="s">
        <v>211</v>
      </c>
      <c r="D52" s="47" t="s">
        <v>212</v>
      </c>
      <c r="E52" s="64">
        <v>34912.276666666665</v>
      </c>
      <c r="F52" s="64">
        <v>390</v>
      </c>
    </row>
    <row r="53" spans="1:6" x14ac:dyDescent="0.25">
      <c r="A53" s="47" t="s">
        <v>213</v>
      </c>
      <c r="B53" s="47" t="s">
        <v>214</v>
      </c>
      <c r="C53" s="47" t="s">
        <v>215</v>
      </c>
      <c r="D53" s="47" t="s">
        <v>216</v>
      </c>
      <c r="E53" s="64">
        <v>59641.53</v>
      </c>
      <c r="F53" s="64">
        <v>38</v>
      </c>
    </row>
    <row r="54" spans="1:6" x14ac:dyDescent="0.25">
      <c r="A54" s="47" t="s">
        <v>217</v>
      </c>
      <c r="B54" s="47" t="s">
        <v>218</v>
      </c>
      <c r="C54" s="47" t="s">
        <v>219</v>
      </c>
      <c r="D54" s="47" t="s">
        <v>220</v>
      </c>
      <c r="E54" s="64">
        <v>63195.420000000013</v>
      </c>
      <c r="F54" s="64">
        <v>134.4</v>
      </c>
    </row>
    <row r="55" spans="1:6" x14ac:dyDescent="0.25">
      <c r="A55" s="47" t="s">
        <v>221</v>
      </c>
      <c r="B55" s="47" t="s">
        <v>222</v>
      </c>
      <c r="C55" s="47" t="s">
        <v>223</v>
      </c>
      <c r="D55" s="47" t="s">
        <v>224</v>
      </c>
      <c r="E55" s="64">
        <v>38997.670000000006</v>
      </c>
      <c r="F55" s="64">
        <v>27.6</v>
      </c>
    </row>
    <row r="56" spans="1:6" x14ac:dyDescent="0.25">
      <c r="A56" s="47" t="s">
        <v>225</v>
      </c>
      <c r="B56" s="47" t="s">
        <v>226</v>
      </c>
      <c r="C56" s="47" t="s">
        <v>227</v>
      </c>
      <c r="D56" s="47" t="s">
        <v>228</v>
      </c>
      <c r="E56" s="64">
        <v>45865.384999999995</v>
      </c>
      <c r="F56" s="64">
        <v>17.100000000000001</v>
      </c>
    </row>
    <row r="57" spans="1:6" x14ac:dyDescent="0.25">
      <c r="A57" s="47" t="s">
        <v>229</v>
      </c>
      <c r="B57" s="47" t="s">
        <v>230</v>
      </c>
      <c r="C57" s="47" t="s">
        <v>231</v>
      </c>
      <c r="D57" s="47" t="s">
        <v>232</v>
      </c>
      <c r="E57" s="64">
        <v>56852.270000000004</v>
      </c>
      <c r="F57" s="64">
        <v>3308.46</v>
      </c>
    </row>
    <row r="58" spans="1:6" x14ac:dyDescent="0.25">
      <c r="A58" s="47" t="s">
        <v>233</v>
      </c>
      <c r="B58" s="47" t="s">
        <v>234</v>
      </c>
      <c r="C58" s="47" t="s">
        <v>235</v>
      </c>
      <c r="D58" s="47" t="s">
        <v>236</v>
      </c>
      <c r="E58" s="64">
        <v>32289.649999999998</v>
      </c>
      <c r="F58" s="64">
        <v>9.1666666666666661</v>
      </c>
    </row>
    <row r="59" spans="1:6" x14ac:dyDescent="0.25">
      <c r="A59" s="47" t="s">
        <v>237</v>
      </c>
      <c r="B59" s="47" t="s">
        <v>238</v>
      </c>
      <c r="C59" s="47" t="s">
        <v>239</v>
      </c>
      <c r="D59" s="47" t="s">
        <v>240</v>
      </c>
      <c r="E59" s="64">
        <v>56229.08</v>
      </c>
      <c r="F59" s="64">
        <v>4900</v>
      </c>
    </row>
    <row r="60" spans="1:6" x14ac:dyDescent="0.25">
      <c r="A60" s="47" t="s">
        <v>241</v>
      </c>
      <c r="B60" s="47" t="s">
        <v>242</v>
      </c>
      <c r="C60" s="47" t="s">
        <v>243</v>
      </c>
      <c r="D60" s="47" t="s">
        <v>244</v>
      </c>
      <c r="E60" s="64">
        <v>44368.57</v>
      </c>
      <c r="F60" s="64">
        <v>173</v>
      </c>
    </row>
    <row r="61" spans="1:6" x14ac:dyDescent="0.25">
      <c r="A61" s="47" t="s">
        <v>245</v>
      </c>
      <c r="B61" s="47" t="s">
        <v>246</v>
      </c>
      <c r="C61" s="47" t="s">
        <v>247</v>
      </c>
      <c r="D61" s="47" t="s">
        <v>248</v>
      </c>
      <c r="E61" s="64">
        <v>43554.3</v>
      </c>
      <c r="F61" s="64">
        <v>404</v>
      </c>
    </row>
    <row r="62" spans="1:6" x14ac:dyDescent="0.25">
      <c r="A62" s="47" t="s">
        <v>249</v>
      </c>
      <c r="B62" s="47" t="s">
        <v>250</v>
      </c>
      <c r="C62" s="47" t="s">
        <v>251</v>
      </c>
      <c r="D62" s="47" t="s">
        <v>252</v>
      </c>
      <c r="E62" s="64">
        <v>34181.702500000007</v>
      </c>
      <c r="F62" s="64">
        <v>19.3</v>
      </c>
    </row>
    <row r="63" spans="1:6" x14ac:dyDescent="0.25">
      <c r="A63" s="47" t="s">
        <v>253</v>
      </c>
      <c r="B63" s="47" t="s">
        <v>254</v>
      </c>
      <c r="C63" s="47" t="s">
        <v>255</v>
      </c>
      <c r="D63" s="47" t="s">
        <v>256</v>
      </c>
      <c r="E63" s="64">
        <v>48696.07</v>
      </c>
      <c r="F63" s="64">
        <v>370</v>
      </c>
    </row>
    <row r="64" spans="1:6" x14ac:dyDescent="0.25">
      <c r="A64" s="47" t="s">
        <v>257</v>
      </c>
      <c r="B64" s="47" t="s">
        <v>258</v>
      </c>
      <c r="C64" s="47" t="s">
        <v>259</v>
      </c>
      <c r="D64" s="47" t="s">
        <v>260</v>
      </c>
      <c r="E64" s="64">
        <v>51041.740000000005</v>
      </c>
      <c r="F64" s="64">
        <v>135.5</v>
      </c>
    </row>
    <row r="65" spans="1:6" x14ac:dyDescent="0.25">
      <c r="A65" s="47" t="s">
        <v>261</v>
      </c>
      <c r="B65" s="47" t="s">
        <v>262</v>
      </c>
      <c r="C65" s="47" t="s">
        <v>263</v>
      </c>
      <c r="D65" s="47" t="s">
        <v>264</v>
      </c>
      <c r="E65" s="64">
        <v>34612.794999999998</v>
      </c>
      <c r="F65" s="64">
        <v>10.5</v>
      </c>
    </row>
    <row r="66" spans="1:6" x14ac:dyDescent="0.25">
      <c r="A66" s="47" t="s">
        <v>265</v>
      </c>
      <c r="B66" s="47" t="s">
        <v>266</v>
      </c>
      <c r="C66" s="47" t="s">
        <v>267</v>
      </c>
      <c r="D66" s="47" t="s">
        <v>268</v>
      </c>
      <c r="E66" s="64">
        <v>72349.170000000013</v>
      </c>
      <c r="F66" s="64">
        <v>10</v>
      </c>
    </row>
    <row r="67" spans="1:6" x14ac:dyDescent="0.25">
      <c r="A67" s="47" t="s">
        <v>269</v>
      </c>
      <c r="B67" s="47" t="s">
        <v>270</v>
      </c>
      <c r="C67" s="47" t="s">
        <v>271</v>
      </c>
      <c r="D67" s="47" t="s">
        <v>272</v>
      </c>
      <c r="E67" s="64">
        <v>76233.53</v>
      </c>
      <c r="F67" s="64">
        <v>33</v>
      </c>
    </row>
    <row r="68" spans="1:6" x14ac:dyDescent="0.25">
      <c r="A68" s="47" t="s">
        <v>273</v>
      </c>
      <c r="B68" s="47" t="s">
        <v>274</v>
      </c>
      <c r="C68" s="47" t="s">
        <v>275</v>
      </c>
      <c r="D68" s="47" t="s">
        <v>272</v>
      </c>
      <c r="E68" s="64">
        <v>76233.53</v>
      </c>
      <c r="F68" s="64">
        <v>38.94</v>
      </c>
    </row>
    <row r="69" spans="1:6" x14ac:dyDescent="0.25">
      <c r="A69" s="47" t="s">
        <v>276</v>
      </c>
      <c r="B69" s="47" t="s">
        <v>277</v>
      </c>
      <c r="C69" s="47" t="s">
        <v>278</v>
      </c>
      <c r="D69" s="47" t="s">
        <v>279</v>
      </c>
      <c r="E69" s="64">
        <v>46094.42</v>
      </c>
      <c r="F69" s="64">
        <v>24.628590499999998</v>
      </c>
    </row>
    <row r="70" spans="1:6" x14ac:dyDescent="0.25">
      <c r="A70" s="47" t="s">
        <v>280</v>
      </c>
      <c r="B70" s="47" t="s">
        <v>281</v>
      </c>
      <c r="C70" s="47" t="s">
        <v>282</v>
      </c>
      <c r="D70" s="47" t="s">
        <v>283</v>
      </c>
      <c r="E70" s="64">
        <v>114343.04000000001</v>
      </c>
      <c r="F70" s="64">
        <v>383</v>
      </c>
    </row>
    <row r="71" spans="1:6" x14ac:dyDescent="0.25">
      <c r="A71" s="47" t="s">
        <v>284</v>
      </c>
      <c r="B71" s="47" t="s">
        <v>285</v>
      </c>
      <c r="C71" s="47" t="s">
        <v>286</v>
      </c>
      <c r="D71" s="47" t="s">
        <v>287</v>
      </c>
      <c r="E71" s="64">
        <v>56868.410000000011</v>
      </c>
      <c r="F71" s="64">
        <v>4.4000000000000004</v>
      </c>
    </row>
    <row r="72" spans="1:6" x14ac:dyDescent="0.25">
      <c r="A72" s="47" t="s">
        <v>288</v>
      </c>
      <c r="B72" s="47" t="s">
        <v>289</v>
      </c>
      <c r="C72" s="47" t="s">
        <v>290</v>
      </c>
      <c r="D72" s="47" t="s">
        <v>291</v>
      </c>
      <c r="E72" s="64">
        <v>42575.74</v>
      </c>
      <c r="F72" s="64">
        <v>233450</v>
      </c>
    </row>
    <row r="73" spans="1:6" x14ac:dyDescent="0.25">
      <c r="A73" s="47" t="s">
        <v>292</v>
      </c>
      <c r="B73" s="47" t="s">
        <v>293</v>
      </c>
      <c r="C73" s="47" t="s">
        <v>294</v>
      </c>
      <c r="D73" s="47" t="s">
        <v>295</v>
      </c>
      <c r="E73" s="64">
        <v>39136.21</v>
      </c>
      <c r="F73" s="64">
        <v>29</v>
      </c>
    </row>
    <row r="74" spans="1:6" x14ac:dyDescent="0.25">
      <c r="A74" s="47" t="s">
        <v>296</v>
      </c>
      <c r="B74" s="47" t="s">
        <v>297</v>
      </c>
      <c r="C74" s="47" t="s">
        <v>298</v>
      </c>
      <c r="D74" s="47" t="s">
        <v>299</v>
      </c>
      <c r="E74" s="64">
        <v>49490.98</v>
      </c>
      <c r="F74" s="64">
        <v>9.3000000000000007</v>
      </c>
    </row>
    <row r="75" spans="1:6" x14ac:dyDescent="0.25">
      <c r="A75" s="47" t="s">
        <v>300</v>
      </c>
      <c r="B75" s="47" t="s">
        <v>301</v>
      </c>
      <c r="C75" s="47" t="s">
        <v>302</v>
      </c>
      <c r="D75" s="47" t="s">
        <v>152</v>
      </c>
      <c r="E75" s="64">
        <v>78330.794999999998</v>
      </c>
      <c r="F75" s="64">
        <v>380.5</v>
      </c>
    </row>
    <row r="76" spans="1:6" x14ac:dyDescent="0.25">
      <c r="A76" s="47" t="s">
        <v>303</v>
      </c>
      <c r="B76" s="47" t="s">
        <v>304</v>
      </c>
      <c r="C76" s="47" t="s">
        <v>305</v>
      </c>
      <c r="D76" s="47" t="s">
        <v>306</v>
      </c>
      <c r="E76" s="64">
        <v>45653.639999999992</v>
      </c>
      <c r="F76" s="64">
        <v>141.4</v>
      </c>
    </row>
    <row r="77" spans="1:6" x14ac:dyDescent="0.25">
      <c r="A77" s="47" t="s">
        <v>307</v>
      </c>
      <c r="B77" s="47" t="s">
        <v>308</v>
      </c>
      <c r="C77" s="47" t="s">
        <v>309</v>
      </c>
      <c r="D77" s="47" t="s">
        <v>310</v>
      </c>
      <c r="E77" s="64">
        <v>38627.07</v>
      </c>
      <c r="F77" s="64">
        <v>10.8</v>
      </c>
    </row>
    <row r="78" spans="1:6" x14ac:dyDescent="0.25">
      <c r="A78" s="47" t="s">
        <v>311</v>
      </c>
      <c r="B78" s="47" t="s">
        <v>312</v>
      </c>
      <c r="C78" s="47" t="s">
        <v>313</v>
      </c>
      <c r="D78" s="47" t="s">
        <v>314</v>
      </c>
      <c r="E78" s="64">
        <v>16918.12</v>
      </c>
      <c r="F78" s="64">
        <v>220</v>
      </c>
    </row>
    <row r="79" spans="1:6" x14ac:dyDescent="0.25">
      <c r="A79" s="47" t="s">
        <v>315</v>
      </c>
      <c r="B79" s="47" t="s">
        <v>316</v>
      </c>
      <c r="C79" s="47" t="s">
        <v>317</v>
      </c>
      <c r="D79" s="47" t="s">
        <v>318</v>
      </c>
      <c r="E79" s="64">
        <v>87432.290000000008</v>
      </c>
      <c r="F79" s="64">
        <v>0.32999999999999996</v>
      </c>
    </row>
    <row r="80" spans="1:6" x14ac:dyDescent="0.25">
      <c r="A80" s="47" t="s">
        <v>319</v>
      </c>
      <c r="B80" s="47" t="s">
        <v>320</v>
      </c>
      <c r="C80" s="47" t="s">
        <v>321</v>
      </c>
      <c r="D80" s="47" t="s">
        <v>322</v>
      </c>
      <c r="E80" s="64">
        <v>61527.88</v>
      </c>
      <c r="F80" s="64">
        <v>923.75</v>
      </c>
    </row>
    <row r="81" spans="1:6" x14ac:dyDescent="0.25">
      <c r="A81" s="47" t="s">
        <v>323</v>
      </c>
      <c r="B81" s="47" t="s">
        <v>324</v>
      </c>
      <c r="C81" s="47" t="s">
        <v>325</v>
      </c>
      <c r="D81" s="47" t="s">
        <v>326</v>
      </c>
      <c r="E81" s="64">
        <v>41116.97</v>
      </c>
      <c r="F81" s="64">
        <v>1480</v>
      </c>
    </row>
    <row r="82" spans="1:6" x14ac:dyDescent="0.25">
      <c r="A82" s="47" t="s">
        <v>327</v>
      </c>
      <c r="B82" s="47" t="s">
        <v>328</v>
      </c>
      <c r="C82" s="47" t="s">
        <v>329</v>
      </c>
      <c r="D82" s="47" t="s">
        <v>330</v>
      </c>
      <c r="E82" s="64">
        <v>22283.42</v>
      </c>
      <c r="F82" s="64">
        <v>149.93</v>
      </c>
    </row>
    <row r="83" spans="1:6" x14ac:dyDescent="0.25">
      <c r="A83" s="47" t="s">
        <v>331</v>
      </c>
      <c r="B83" s="47" t="s">
        <v>332</v>
      </c>
      <c r="C83" s="47" t="s">
        <v>333</v>
      </c>
      <c r="D83" s="47" t="s">
        <v>334</v>
      </c>
      <c r="E83" s="64">
        <v>36306.469999999994</v>
      </c>
      <c r="F83" s="64">
        <v>570.20000000000005</v>
      </c>
    </row>
    <row r="84" spans="1:6" x14ac:dyDescent="0.25">
      <c r="A84" s="47" t="s">
        <v>335</v>
      </c>
      <c r="B84" s="47" t="s">
        <v>336</v>
      </c>
      <c r="C84" s="47" t="s">
        <v>337</v>
      </c>
      <c r="D84" s="47" t="s">
        <v>338</v>
      </c>
      <c r="E84" s="64">
        <v>24553.49</v>
      </c>
      <c r="F84" s="64">
        <v>873.3</v>
      </c>
    </row>
    <row r="85" spans="1:6" x14ac:dyDescent="0.25">
      <c r="A85" s="47" t="s">
        <v>339</v>
      </c>
      <c r="B85" s="47" t="s">
        <v>340</v>
      </c>
      <c r="C85" s="47" t="s">
        <v>341</v>
      </c>
      <c r="D85" s="47" t="s">
        <v>342</v>
      </c>
      <c r="E85" s="64">
        <v>35438</v>
      </c>
      <c r="F85" s="64">
        <v>13</v>
      </c>
    </row>
    <row r="86" spans="1:6" x14ac:dyDescent="0.25">
      <c r="A86" s="47" t="s">
        <v>343</v>
      </c>
      <c r="B86" s="47" t="s">
        <v>344</v>
      </c>
      <c r="C86" s="47" t="s">
        <v>345</v>
      </c>
      <c r="D86" s="47" t="s">
        <v>346</v>
      </c>
      <c r="E86" s="64">
        <v>72625.084999999992</v>
      </c>
      <c r="F86" s="64">
        <v>4.2437500000000004</v>
      </c>
    </row>
    <row r="87" spans="1:6" x14ac:dyDescent="0.25">
      <c r="A87" s="47" t="s">
        <v>347</v>
      </c>
      <c r="B87" s="47" t="s">
        <v>348</v>
      </c>
      <c r="C87" s="47" t="s">
        <v>349</v>
      </c>
      <c r="D87" s="47" t="s">
        <v>350</v>
      </c>
      <c r="E87" s="64">
        <v>29773.319999999996</v>
      </c>
      <c r="F87" s="64">
        <v>72.933333333333337</v>
      </c>
    </row>
    <row r="88" spans="1:6" x14ac:dyDescent="0.25">
      <c r="A88" s="47" t="s">
        <v>351</v>
      </c>
      <c r="B88" s="47" t="s">
        <v>352</v>
      </c>
      <c r="C88" s="47" t="s">
        <v>353</v>
      </c>
      <c r="D88" s="47" t="s">
        <v>354</v>
      </c>
      <c r="E88" s="64">
        <v>65751.494999999995</v>
      </c>
      <c r="F88" s="64">
        <v>352.2</v>
      </c>
    </row>
    <row r="89" spans="1:6" x14ac:dyDescent="0.25">
      <c r="A89" s="47" t="s">
        <v>355</v>
      </c>
      <c r="B89" s="47" t="s">
        <v>356</v>
      </c>
      <c r="C89" s="47" t="s">
        <v>357</v>
      </c>
      <c r="D89" s="47" t="s">
        <v>358</v>
      </c>
      <c r="E89" s="64">
        <v>39159.534</v>
      </c>
      <c r="F89" s="64">
        <v>53.5</v>
      </c>
    </row>
    <row r="90" spans="1:6" x14ac:dyDescent="0.25">
      <c r="A90" s="47" t="s">
        <v>359</v>
      </c>
      <c r="B90" s="47" t="s">
        <v>360</v>
      </c>
      <c r="C90" s="47" t="s">
        <v>361</v>
      </c>
      <c r="D90" s="47" t="s">
        <v>362</v>
      </c>
      <c r="E90" s="64">
        <v>47198.01</v>
      </c>
      <c r="F90" s="64">
        <v>224</v>
      </c>
    </row>
    <row r="91" spans="1:6" x14ac:dyDescent="0.25">
      <c r="A91" s="47" t="s">
        <v>363</v>
      </c>
      <c r="B91" s="47" t="s">
        <v>364</v>
      </c>
      <c r="C91" s="47" t="s">
        <v>365</v>
      </c>
      <c r="D91" s="47" t="s">
        <v>366</v>
      </c>
      <c r="E91" s="64">
        <v>34733.269999999997</v>
      </c>
      <c r="F91" s="64">
        <v>370</v>
      </c>
    </row>
    <row r="92" spans="1:6" x14ac:dyDescent="0.25">
      <c r="A92" s="47" t="s">
        <v>367</v>
      </c>
      <c r="B92" s="47" t="s">
        <v>368</v>
      </c>
      <c r="C92" s="47" t="s">
        <v>369</v>
      </c>
      <c r="D92" s="47" t="s">
        <v>370</v>
      </c>
      <c r="E92" s="64">
        <v>51645.955000000002</v>
      </c>
      <c r="F92" s="64">
        <v>19.3</v>
      </c>
    </row>
    <row r="93" spans="1:6" x14ac:dyDescent="0.25">
      <c r="A93" s="47" t="s">
        <v>371</v>
      </c>
      <c r="B93" s="47" t="s">
        <v>372</v>
      </c>
      <c r="C93" s="47" t="s">
        <v>373</v>
      </c>
      <c r="D93" s="47" t="s">
        <v>374</v>
      </c>
      <c r="E93" s="64">
        <v>35935.794999999998</v>
      </c>
      <c r="F93" s="64">
        <v>0.90458333333333329</v>
      </c>
    </row>
    <row r="94" spans="1:6" x14ac:dyDescent="0.25">
      <c r="A94" s="47" t="s">
        <v>375</v>
      </c>
      <c r="B94" s="47" t="s">
        <v>376</v>
      </c>
      <c r="C94" s="47" t="s">
        <v>377</v>
      </c>
      <c r="D94" s="47" t="s">
        <v>378</v>
      </c>
      <c r="E94" s="64">
        <v>29739.649999999994</v>
      </c>
      <c r="F94" s="64">
        <v>0.25417499999999998</v>
      </c>
    </row>
    <row r="95" spans="1:6" x14ac:dyDescent="0.25">
      <c r="A95" s="47" t="s">
        <v>379</v>
      </c>
      <c r="B95" s="47" t="s">
        <v>380</v>
      </c>
      <c r="C95" s="47" t="s">
        <v>381</v>
      </c>
      <c r="D95" s="47" t="s">
        <v>184</v>
      </c>
      <c r="E95" s="64">
        <v>19524.12</v>
      </c>
      <c r="F95" s="64">
        <v>571.5</v>
      </c>
    </row>
    <row r="96" spans="1:6" x14ac:dyDescent="0.25">
      <c r="A96" s="47" t="s">
        <v>382</v>
      </c>
      <c r="B96" s="47" t="s">
        <v>383</v>
      </c>
      <c r="C96" s="47" t="s">
        <v>384</v>
      </c>
      <c r="D96" s="47" t="s">
        <v>184</v>
      </c>
      <c r="E96" s="64">
        <v>19524.12</v>
      </c>
      <c r="F96" s="64">
        <v>571.5</v>
      </c>
    </row>
    <row r="97" spans="1:6" x14ac:dyDescent="0.25">
      <c r="A97" s="47" t="s">
        <v>385</v>
      </c>
      <c r="B97" s="47" t="s">
        <v>386</v>
      </c>
      <c r="C97" s="47" t="s">
        <v>387</v>
      </c>
      <c r="D97" s="47" t="s">
        <v>388</v>
      </c>
      <c r="E97" s="64">
        <v>27158.260000000002</v>
      </c>
      <c r="F97" s="64">
        <v>150</v>
      </c>
    </row>
    <row r="98" spans="1:6" x14ac:dyDescent="0.25">
      <c r="A98" s="47" t="s">
        <v>389</v>
      </c>
      <c r="B98" s="47" t="s">
        <v>390</v>
      </c>
      <c r="C98" s="47" t="s">
        <v>391</v>
      </c>
      <c r="D98" s="47" t="s">
        <v>392</v>
      </c>
      <c r="E98" s="64">
        <v>36577.395000000004</v>
      </c>
      <c r="F98" s="64">
        <v>39.965000000000003</v>
      </c>
    </row>
    <row r="99" spans="1:6" x14ac:dyDescent="0.25">
      <c r="A99" s="47" t="s">
        <v>393</v>
      </c>
      <c r="B99" s="47" t="s">
        <v>394</v>
      </c>
      <c r="C99" s="47" t="s">
        <v>395</v>
      </c>
      <c r="D99" s="47" t="s">
        <v>396</v>
      </c>
      <c r="E99" s="64">
        <v>49659.989999999991</v>
      </c>
      <c r="F99" s="64">
        <v>278</v>
      </c>
    </row>
    <row r="100" spans="1:6" x14ac:dyDescent="0.25">
      <c r="A100" s="47" t="s">
        <v>397</v>
      </c>
      <c r="B100" s="47" t="s">
        <v>398</v>
      </c>
      <c r="C100" s="47" t="s">
        <v>399</v>
      </c>
      <c r="D100" s="47" t="s">
        <v>400</v>
      </c>
      <c r="E100" s="64">
        <v>47991.494999999995</v>
      </c>
      <c r="F100" s="64">
        <v>25.349999999999998</v>
      </c>
    </row>
    <row r="101" spans="1:6" x14ac:dyDescent="0.25">
      <c r="A101" s="47" t="s">
        <v>401</v>
      </c>
      <c r="B101" s="47" t="s">
        <v>402</v>
      </c>
      <c r="C101" s="47" t="s">
        <v>403</v>
      </c>
      <c r="D101" s="47" t="s">
        <v>404</v>
      </c>
      <c r="E101" s="64">
        <v>52771.859999999993</v>
      </c>
      <c r="F101" s="64">
        <v>5.4</v>
      </c>
    </row>
    <row r="102" spans="1:6" x14ac:dyDescent="0.25">
      <c r="A102" s="47" t="s">
        <v>405</v>
      </c>
      <c r="B102" s="47" t="s">
        <v>406</v>
      </c>
      <c r="C102" s="47" t="s">
        <v>407</v>
      </c>
      <c r="D102" s="47" t="s">
        <v>408</v>
      </c>
      <c r="E102" s="64">
        <v>26392.035</v>
      </c>
      <c r="F102" s="64">
        <v>660.35538888888891</v>
      </c>
    </row>
    <row r="103" spans="1:6" x14ac:dyDescent="0.25">
      <c r="A103" s="47" t="s">
        <v>409</v>
      </c>
      <c r="B103" s="47" t="s">
        <v>410</v>
      </c>
      <c r="C103" s="47" t="s">
        <v>411</v>
      </c>
      <c r="D103" s="47" t="s">
        <v>412</v>
      </c>
      <c r="E103" s="64">
        <v>35351.64</v>
      </c>
      <c r="F103" s="64">
        <v>700</v>
      </c>
    </row>
    <row r="104" spans="1:6" x14ac:dyDescent="0.25">
      <c r="A104" s="47" t="s">
        <v>413</v>
      </c>
      <c r="B104" s="47" t="s">
        <v>414</v>
      </c>
      <c r="C104" s="47" t="s">
        <v>415</v>
      </c>
      <c r="D104" s="47" t="s">
        <v>416</v>
      </c>
      <c r="E104" s="64">
        <v>35351.64</v>
      </c>
      <c r="F104" s="64">
        <v>80.900000000000006</v>
      </c>
    </row>
    <row r="105" spans="1:6" x14ac:dyDescent="0.25">
      <c r="A105" s="47" t="s">
        <v>417</v>
      </c>
      <c r="B105" s="47" t="s">
        <v>418</v>
      </c>
      <c r="C105" s="47" t="s">
        <v>419</v>
      </c>
      <c r="D105" s="47" t="s">
        <v>113</v>
      </c>
      <c r="E105" s="64">
        <v>28658.155000000006</v>
      </c>
      <c r="F105" s="64">
        <v>1.4649999999999999</v>
      </c>
    </row>
    <row r="106" spans="1:6" x14ac:dyDescent="0.25">
      <c r="A106" s="47" t="s">
        <v>420</v>
      </c>
      <c r="B106" s="47" t="s">
        <v>421</v>
      </c>
      <c r="C106" s="47" t="s">
        <v>422</v>
      </c>
      <c r="D106" s="47" t="s">
        <v>82</v>
      </c>
      <c r="E106" s="64">
        <v>34092.58</v>
      </c>
      <c r="F106" s="64">
        <v>48</v>
      </c>
    </row>
    <row r="107" spans="1:6" x14ac:dyDescent="0.25">
      <c r="A107" s="47" t="s">
        <v>423</v>
      </c>
      <c r="B107" s="47" t="s">
        <v>424</v>
      </c>
      <c r="C107" s="47" t="s">
        <v>425</v>
      </c>
      <c r="D107" s="47" t="s">
        <v>82</v>
      </c>
      <c r="E107" s="64">
        <v>34092.58</v>
      </c>
      <c r="F107" s="64">
        <v>19</v>
      </c>
    </row>
    <row r="108" spans="1:6" x14ac:dyDescent="0.25">
      <c r="A108" s="47" t="s">
        <v>426</v>
      </c>
      <c r="B108" s="47" t="s">
        <v>427</v>
      </c>
      <c r="C108" s="47" t="s">
        <v>428</v>
      </c>
      <c r="D108" s="47" t="s">
        <v>429</v>
      </c>
      <c r="E108" s="64">
        <v>23566.32</v>
      </c>
      <c r="F108" s="64">
        <v>1.9500000000000002</v>
      </c>
    </row>
    <row r="109" spans="1:6" x14ac:dyDescent="0.25">
      <c r="A109" s="47" t="s">
        <v>430</v>
      </c>
      <c r="B109" s="47" t="s">
        <v>115</v>
      </c>
      <c r="C109" s="47" t="s">
        <v>431</v>
      </c>
      <c r="D109" s="47" t="s">
        <v>432</v>
      </c>
      <c r="E109" s="64">
        <v>16156.119999999997</v>
      </c>
      <c r="F109" s="64">
        <v>4.0957142857142859E-2</v>
      </c>
    </row>
    <row r="110" spans="1:6" x14ac:dyDescent="0.25">
      <c r="A110" s="47" t="s">
        <v>433</v>
      </c>
      <c r="B110" s="47" t="s">
        <v>434</v>
      </c>
      <c r="C110" s="47" t="s">
        <v>435</v>
      </c>
      <c r="D110" s="47" t="s">
        <v>436</v>
      </c>
      <c r="E110" s="64">
        <v>65529.569999999992</v>
      </c>
      <c r="F110" s="64">
        <v>11.5</v>
      </c>
    </row>
    <row r="111" spans="1:6" x14ac:dyDescent="0.25">
      <c r="A111" s="47" t="s">
        <v>437</v>
      </c>
      <c r="B111" s="47" t="s">
        <v>438</v>
      </c>
      <c r="C111" s="47" t="s">
        <v>439</v>
      </c>
      <c r="D111" s="47" t="s">
        <v>440</v>
      </c>
      <c r="E111" s="64">
        <v>25152.766666666666</v>
      </c>
      <c r="F111" s="64">
        <v>117</v>
      </c>
    </row>
    <row r="112" spans="1:6" x14ac:dyDescent="0.25">
      <c r="A112" s="47" t="s">
        <v>441</v>
      </c>
      <c r="B112" s="47" t="s">
        <v>442</v>
      </c>
      <c r="C112" s="47" t="s">
        <v>443</v>
      </c>
      <c r="D112" s="47" t="s">
        <v>444</v>
      </c>
      <c r="E112" s="64">
        <v>118457.90999999999</v>
      </c>
      <c r="F112" s="64">
        <v>770</v>
      </c>
    </row>
    <row r="113" spans="1:6" x14ac:dyDescent="0.25">
      <c r="A113" s="47" t="s">
        <v>445</v>
      </c>
      <c r="B113" s="47" t="s">
        <v>446</v>
      </c>
      <c r="C113" s="47" t="s">
        <v>447</v>
      </c>
      <c r="D113" s="47" t="s">
        <v>448</v>
      </c>
      <c r="E113" s="64">
        <v>121159.1</v>
      </c>
      <c r="F113" s="64">
        <v>250</v>
      </c>
    </row>
    <row r="114" spans="1:6" x14ac:dyDescent="0.25">
      <c r="A114" s="47" t="s">
        <v>449</v>
      </c>
      <c r="B114" s="47" t="s">
        <v>446</v>
      </c>
      <c r="C114" s="47" t="s">
        <v>450</v>
      </c>
      <c r="D114" s="47" t="s">
        <v>448</v>
      </c>
      <c r="E114" s="64">
        <v>121159.1</v>
      </c>
      <c r="F114" s="64">
        <v>250</v>
      </c>
    </row>
    <row r="115" spans="1:6" x14ac:dyDescent="0.25">
      <c r="A115" s="47" t="s">
        <v>451</v>
      </c>
      <c r="B115" s="47" t="s">
        <v>452</v>
      </c>
      <c r="C115" s="47" t="s">
        <v>453</v>
      </c>
      <c r="D115" s="47" t="s">
        <v>454</v>
      </c>
      <c r="E115" s="64">
        <v>62009.62000000001</v>
      </c>
      <c r="F115" s="64">
        <v>167</v>
      </c>
    </row>
    <row r="116" spans="1:6" x14ac:dyDescent="0.25">
      <c r="A116" s="47" t="s">
        <v>455</v>
      </c>
      <c r="B116" s="47" t="s">
        <v>456</v>
      </c>
      <c r="C116" s="47" t="s">
        <v>457</v>
      </c>
      <c r="D116" s="47" t="s">
        <v>458</v>
      </c>
      <c r="E116" s="64">
        <v>56617.714999999997</v>
      </c>
      <c r="F116" s="64">
        <v>120</v>
      </c>
    </row>
    <row r="117" spans="1:6" x14ac:dyDescent="0.25">
      <c r="A117" s="47" t="s">
        <v>459</v>
      </c>
      <c r="B117" s="47" t="s">
        <v>460</v>
      </c>
      <c r="C117" s="47" t="s">
        <v>461</v>
      </c>
      <c r="D117" s="47" t="s">
        <v>462</v>
      </c>
      <c r="E117" s="64">
        <v>43034.833333333328</v>
      </c>
      <c r="F117" s="64">
        <v>908</v>
      </c>
    </row>
    <row r="118" spans="1:6" x14ac:dyDescent="0.25">
      <c r="A118" s="47" t="s">
        <v>463</v>
      </c>
      <c r="B118" s="47" t="s">
        <v>464</v>
      </c>
      <c r="C118" s="47" t="s">
        <v>465</v>
      </c>
      <c r="D118" s="47" t="s">
        <v>466</v>
      </c>
      <c r="E118" s="64">
        <v>47289.760000000009</v>
      </c>
      <c r="F118" s="64">
        <v>2.8666666666666667</v>
      </c>
    </row>
    <row r="119" spans="1:6" x14ac:dyDescent="0.25">
      <c r="A119" s="47" t="s">
        <v>467</v>
      </c>
      <c r="B119" s="47" t="s">
        <v>468</v>
      </c>
      <c r="C119" s="47" t="s">
        <v>469</v>
      </c>
      <c r="D119" s="47" t="s">
        <v>470</v>
      </c>
      <c r="E119" s="64">
        <v>28443.32</v>
      </c>
      <c r="F119" s="64">
        <v>2.1762000000000001</v>
      </c>
    </row>
    <row r="120" spans="1:6" x14ac:dyDescent="0.25">
      <c r="A120" s="47" t="s">
        <v>471</v>
      </c>
      <c r="B120" s="47" t="s">
        <v>472</v>
      </c>
      <c r="C120" s="47" t="s">
        <v>473</v>
      </c>
      <c r="D120" s="47" t="s">
        <v>474</v>
      </c>
      <c r="E120" s="64">
        <v>26893.449999999997</v>
      </c>
      <c r="F120" s="64">
        <v>90.131772727272732</v>
      </c>
    </row>
    <row r="121" spans="1:6" x14ac:dyDescent="0.25">
      <c r="A121" s="47" t="s">
        <v>475</v>
      </c>
      <c r="B121" s="47" t="s">
        <v>476</v>
      </c>
      <c r="C121" s="47" t="s">
        <v>477</v>
      </c>
      <c r="D121" s="47" t="s">
        <v>478</v>
      </c>
      <c r="E121" s="64">
        <v>42381.310000000005</v>
      </c>
      <c r="F121" s="64">
        <v>18.3185</v>
      </c>
    </row>
    <row r="122" spans="1:6" x14ac:dyDescent="0.25">
      <c r="A122" s="47" t="s">
        <v>479</v>
      </c>
      <c r="B122" s="47" t="s">
        <v>480</v>
      </c>
      <c r="C122" s="47" t="s">
        <v>481</v>
      </c>
      <c r="D122" s="47" t="s">
        <v>482</v>
      </c>
      <c r="E122" s="64">
        <v>35588.28</v>
      </c>
      <c r="F122" s="64">
        <v>2.4</v>
      </c>
    </row>
    <row r="123" spans="1:6" x14ac:dyDescent="0.25">
      <c r="A123" s="47" t="s">
        <v>483</v>
      </c>
      <c r="B123" s="47" t="s">
        <v>484</v>
      </c>
      <c r="C123" s="47" t="s">
        <v>485</v>
      </c>
      <c r="D123" s="47" t="s">
        <v>486</v>
      </c>
      <c r="E123" s="64">
        <v>22669.014999999999</v>
      </c>
      <c r="F123" s="64">
        <v>2.5499999999999998</v>
      </c>
    </row>
    <row r="124" spans="1:6" x14ac:dyDescent="0.25">
      <c r="A124" s="47" t="s">
        <v>487</v>
      </c>
      <c r="B124" s="47" t="s">
        <v>488</v>
      </c>
      <c r="C124" s="47" t="s">
        <v>489</v>
      </c>
      <c r="D124" s="47" t="s">
        <v>486</v>
      </c>
      <c r="E124" s="64">
        <v>22669.014999999999</v>
      </c>
      <c r="F124" s="64">
        <v>2.5499999999999998</v>
      </c>
    </row>
    <row r="125" spans="1:6" x14ac:dyDescent="0.25">
      <c r="A125" s="47" t="s">
        <v>490</v>
      </c>
      <c r="B125" s="47" t="s">
        <v>491</v>
      </c>
      <c r="C125" s="47" t="s">
        <v>492</v>
      </c>
      <c r="D125" s="47" t="s">
        <v>493</v>
      </c>
      <c r="E125" s="64">
        <v>59381.11</v>
      </c>
      <c r="F125" s="64">
        <v>4000</v>
      </c>
    </row>
    <row r="126" spans="1:6" x14ac:dyDescent="0.25">
      <c r="A126" s="47" t="s">
        <v>494</v>
      </c>
      <c r="B126" s="47" t="s">
        <v>491</v>
      </c>
      <c r="C126" s="47" t="s">
        <v>495</v>
      </c>
      <c r="D126" s="47" t="s">
        <v>493</v>
      </c>
      <c r="E126" s="64">
        <v>59381.11</v>
      </c>
      <c r="F126" s="64">
        <v>4000</v>
      </c>
    </row>
    <row r="127" spans="1:6" x14ac:dyDescent="0.25">
      <c r="A127" s="47" t="s">
        <v>496</v>
      </c>
      <c r="B127" s="47" t="s">
        <v>497</v>
      </c>
      <c r="C127" s="47" t="s">
        <v>498</v>
      </c>
      <c r="D127" s="47" t="s">
        <v>499</v>
      </c>
      <c r="E127" s="64">
        <v>39914.764999999999</v>
      </c>
      <c r="F127" s="64">
        <v>69</v>
      </c>
    </row>
    <row r="128" spans="1:6" x14ac:dyDescent="0.25">
      <c r="A128" s="47" t="s">
        <v>500</v>
      </c>
      <c r="B128" s="47" t="s">
        <v>501</v>
      </c>
      <c r="C128" s="47" t="s">
        <v>502</v>
      </c>
      <c r="D128" s="47" t="s">
        <v>503</v>
      </c>
      <c r="E128" s="64">
        <v>17779.839999999997</v>
      </c>
      <c r="F128" s="64">
        <v>15.6</v>
      </c>
    </row>
    <row r="129" spans="1:6" x14ac:dyDescent="0.25">
      <c r="A129" s="47" t="s">
        <v>504</v>
      </c>
      <c r="B129" s="47" t="s">
        <v>505</v>
      </c>
      <c r="C129" s="47" t="s">
        <v>506</v>
      </c>
      <c r="D129" s="47" t="s">
        <v>507</v>
      </c>
      <c r="E129" s="64">
        <v>51541.290000000008</v>
      </c>
      <c r="F129" s="64">
        <v>7</v>
      </c>
    </row>
    <row r="130" spans="1:6" x14ac:dyDescent="0.25">
      <c r="A130" s="47" t="s">
        <v>508</v>
      </c>
      <c r="B130" s="47" t="s">
        <v>509</v>
      </c>
      <c r="C130" s="47" t="s">
        <v>510</v>
      </c>
      <c r="D130" s="47" t="s">
        <v>511</v>
      </c>
      <c r="E130" s="64">
        <v>27891.445000000003</v>
      </c>
      <c r="F130" s="64">
        <v>6200</v>
      </c>
    </row>
    <row r="131" spans="1:6" x14ac:dyDescent="0.25">
      <c r="A131" s="47" t="s">
        <v>512</v>
      </c>
      <c r="B131" s="47" t="s">
        <v>513</v>
      </c>
      <c r="C131" s="47" t="s">
        <v>514</v>
      </c>
      <c r="D131" s="47" t="s">
        <v>511</v>
      </c>
      <c r="E131" s="64">
        <v>27891.445000000003</v>
      </c>
      <c r="F131" s="64">
        <v>44.93</v>
      </c>
    </row>
    <row r="132" spans="1:6" x14ac:dyDescent="0.25">
      <c r="A132" s="47" t="s">
        <v>515</v>
      </c>
      <c r="B132" s="47" t="s">
        <v>516</v>
      </c>
      <c r="C132" s="47" t="s">
        <v>517</v>
      </c>
      <c r="D132" s="47" t="s">
        <v>511</v>
      </c>
      <c r="E132" s="64">
        <v>29833.769999999993</v>
      </c>
      <c r="F132" s="64">
        <v>44.93</v>
      </c>
    </row>
    <row r="133" spans="1:6" x14ac:dyDescent="0.25">
      <c r="A133" s="47" t="s">
        <v>518</v>
      </c>
      <c r="B133" s="47" t="s">
        <v>519</v>
      </c>
      <c r="C133" s="47" t="s">
        <v>520</v>
      </c>
      <c r="D133" s="47" t="s">
        <v>521</v>
      </c>
      <c r="E133" s="64">
        <v>142932.79499999998</v>
      </c>
      <c r="F133" s="64">
        <v>8.1150000000000002</v>
      </c>
    </row>
    <row r="134" spans="1:6" x14ac:dyDescent="0.25">
      <c r="A134" s="47" t="s">
        <v>522</v>
      </c>
      <c r="B134" s="47" t="s">
        <v>523</v>
      </c>
      <c r="C134" s="47" t="s">
        <v>524</v>
      </c>
      <c r="D134" s="47" t="s">
        <v>521</v>
      </c>
      <c r="E134" s="64">
        <v>142932.79499999998</v>
      </c>
      <c r="F134" s="64">
        <v>8.1150000000000002</v>
      </c>
    </row>
    <row r="135" spans="1:6" x14ac:dyDescent="0.25">
      <c r="A135" s="47" t="s">
        <v>525</v>
      </c>
      <c r="B135" s="47" t="s">
        <v>526</v>
      </c>
      <c r="C135" s="47" t="s">
        <v>527</v>
      </c>
      <c r="D135" s="47" t="s">
        <v>521</v>
      </c>
      <c r="E135" s="64">
        <v>142932.79499999998</v>
      </c>
      <c r="F135" s="64">
        <v>8.1150000000000002</v>
      </c>
    </row>
    <row r="136" spans="1:6" x14ac:dyDescent="0.25">
      <c r="A136" s="47" t="s">
        <v>528</v>
      </c>
      <c r="B136" s="47" t="s">
        <v>529</v>
      </c>
      <c r="C136" s="47" t="s">
        <v>530</v>
      </c>
      <c r="D136" s="47" t="s">
        <v>531</v>
      </c>
      <c r="E136" s="64">
        <v>30478.78</v>
      </c>
      <c r="F136" s="64">
        <v>3.11</v>
      </c>
    </row>
    <row r="137" spans="1:6" x14ac:dyDescent="0.25">
      <c r="A137" s="47" t="s">
        <v>532</v>
      </c>
      <c r="B137" s="47" t="s">
        <v>533</v>
      </c>
      <c r="C137" s="47" t="s">
        <v>534</v>
      </c>
      <c r="D137" s="47" t="s">
        <v>535</v>
      </c>
      <c r="E137" s="64">
        <v>23455.869999999995</v>
      </c>
      <c r="F137" s="64">
        <v>2</v>
      </c>
    </row>
    <row r="138" spans="1:6" x14ac:dyDescent="0.25">
      <c r="A138" s="47" t="s">
        <v>536</v>
      </c>
      <c r="B138" s="47" t="s">
        <v>537</v>
      </c>
      <c r="C138" s="47" t="s">
        <v>538</v>
      </c>
      <c r="D138" s="47" t="s">
        <v>539</v>
      </c>
      <c r="E138" s="64">
        <v>43436.909999999996</v>
      </c>
      <c r="F138" s="64">
        <v>2.9</v>
      </c>
    </row>
    <row r="139" spans="1:6" x14ac:dyDescent="0.25">
      <c r="A139" s="47" t="s">
        <v>540</v>
      </c>
      <c r="B139" s="47" t="s">
        <v>541</v>
      </c>
      <c r="C139" s="47" t="s">
        <v>542</v>
      </c>
      <c r="D139" s="47" t="s">
        <v>543</v>
      </c>
      <c r="E139" s="64">
        <v>31933.789999999994</v>
      </c>
      <c r="F139" s="64">
        <v>111.86944444444447</v>
      </c>
    </row>
    <row r="140" spans="1:6" x14ac:dyDescent="0.25">
      <c r="A140" s="47" t="s">
        <v>544</v>
      </c>
      <c r="B140" s="47" t="s">
        <v>545</v>
      </c>
      <c r="C140" s="47" t="s">
        <v>546</v>
      </c>
      <c r="D140" s="47" t="s">
        <v>547</v>
      </c>
      <c r="E140" s="64">
        <v>64637.109999999993</v>
      </c>
      <c r="F140" s="64">
        <v>368.48649999999998</v>
      </c>
    </row>
    <row r="141" spans="1:6" x14ac:dyDescent="0.25">
      <c r="A141" s="47" t="s">
        <v>548</v>
      </c>
      <c r="B141" s="47" t="s">
        <v>549</v>
      </c>
      <c r="C141" s="47" t="s">
        <v>550</v>
      </c>
      <c r="D141" s="47" t="s">
        <v>551</v>
      </c>
      <c r="E141" s="64">
        <v>27465.84</v>
      </c>
      <c r="F141" s="64">
        <v>215</v>
      </c>
    </row>
    <row r="142" spans="1:6" x14ac:dyDescent="0.25">
      <c r="A142" s="47" t="s">
        <v>552</v>
      </c>
      <c r="B142" s="47" t="s">
        <v>553</v>
      </c>
      <c r="C142" s="47" t="s">
        <v>554</v>
      </c>
      <c r="D142" s="47" t="s">
        <v>511</v>
      </c>
      <c r="E142" s="64">
        <v>25949.119999999995</v>
      </c>
      <c r="F142" s="64">
        <v>44.93</v>
      </c>
    </row>
    <row r="143" spans="1:6" x14ac:dyDescent="0.25">
      <c r="A143" s="47" t="s">
        <v>555</v>
      </c>
      <c r="B143" s="47" t="s">
        <v>556</v>
      </c>
      <c r="C143" s="47" t="s">
        <v>557</v>
      </c>
      <c r="D143" s="47" t="s">
        <v>511</v>
      </c>
      <c r="E143" s="64">
        <v>25949.119999999995</v>
      </c>
      <c r="F143" s="64">
        <v>44.93</v>
      </c>
    </row>
    <row r="144" spans="1:6" x14ac:dyDescent="0.25">
      <c r="A144" s="47" t="s">
        <v>558</v>
      </c>
      <c r="B144" s="47" t="s">
        <v>559</v>
      </c>
      <c r="C144" s="47" t="s">
        <v>560</v>
      </c>
      <c r="D144" s="47" t="s">
        <v>511</v>
      </c>
      <c r="E144" s="64">
        <v>27891.445000000003</v>
      </c>
      <c r="F144" s="64">
        <v>44.93</v>
      </c>
    </row>
    <row r="145" spans="1:6" x14ac:dyDescent="0.25">
      <c r="A145" s="47" t="s">
        <v>561</v>
      </c>
      <c r="B145" s="47" t="s">
        <v>562</v>
      </c>
      <c r="C145" s="47" t="s">
        <v>563</v>
      </c>
      <c r="D145" s="47" t="s">
        <v>564</v>
      </c>
      <c r="E145" s="64">
        <v>38748.519999999997</v>
      </c>
      <c r="F145" s="64">
        <v>8.3000000000000004E-2</v>
      </c>
    </row>
    <row r="146" spans="1:6" x14ac:dyDescent="0.25">
      <c r="A146" s="47" t="s">
        <v>565</v>
      </c>
      <c r="B146" s="47" t="s">
        <v>566</v>
      </c>
      <c r="C146" s="47" t="s">
        <v>567</v>
      </c>
      <c r="D146" s="47" t="s">
        <v>436</v>
      </c>
      <c r="E146" s="64">
        <v>65529.569999999992</v>
      </c>
      <c r="F146" s="64">
        <v>11.5</v>
      </c>
    </row>
    <row r="147" spans="1:6" x14ac:dyDescent="0.25">
      <c r="A147" s="47" t="s">
        <v>568</v>
      </c>
      <c r="B147" s="47" t="s">
        <v>569</v>
      </c>
      <c r="C147" s="47" t="s">
        <v>570</v>
      </c>
      <c r="D147" s="47" t="s">
        <v>268</v>
      </c>
      <c r="E147" s="64">
        <v>72349.170000000013</v>
      </c>
      <c r="F147" s="64">
        <v>368.48649999999998</v>
      </c>
    </row>
    <row r="148" spans="1:6" x14ac:dyDescent="0.25">
      <c r="A148" s="47" t="s">
        <v>571</v>
      </c>
      <c r="B148" s="47" t="s">
        <v>572</v>
      </c>
      <c r="C148" s="47" t="s">
        <v>573</v>
      </c>
      <c r="D148" s="47" t="s">
        <v>78</v>
      </c>
      <c r="E148" s="64">
        <v>148383.26</v>
      </c>
      <c r="F148" s="64">
        <v>33.299999999999997</v>
      </c>
    </row>
    <row r="149" spans="1:6" x14ac:dyDescent="0.25">
      <c r="A149" s="47" t="s">
        <v>574</v>
      </c>
      <c r="B149" s="47" t="s">
        <v>575</v>
      </c>
      <c r="C149" s="47" t="s">
        <v>576</v>
      </c>
      <c r="D149" s="47" t="s">
        <v>577</v>
      </c>
      <c r="E149" s="64">
        <v>27186.6875</v>
      </c>
      <c r="F149" s="64">
        <v>8.9</v>
      </c>
    </row>
    <row r="150" spans="1:6" x14ac:dyDescent="0.25">
      <c r="A150" s="47" t="s">
        <v>578</v>
      </c>
      <c r="B150" s="47" t="s">
        <v>579</v>
      </c>
      <c r="C150" s="47" t="s">
        <v>580</v>
      </c>
      <c r="D150" s="47" t="s">
        <v>577</v>
      </c>
      <c r="E150" s="64">
        <v>27186.6875</v>
      </c>
      <c r="F150" s="64">
        <v>8.9</v>
      </c>
    </row>
    <row r="151" spans="1:6" x14ac:dyDescent="0.25">
      <c r="A151" s="47" t="s">
        <v>581</v>
      </c>
      <c r="B151" s="47" t="s">
        <v>582</v>
      </c>
      <c r="C151" s="47" t="s">
        <v>583</v>
      </c>
      <c r="D151" s="47" t="s">
        <v>584</v>
      </c>
      <c r="E151" s="64">
        <v>32336.39</v>
      </c>
      <c r="F151" s="64">
        <v>138.5</v>
      </c>
    </row>
    <row r="152" spans="1:6" x14ac:dyDescent="0.25">
      <c r="A152" s="47" t="s">
        <v>585</v>
      </c>
      <c r="B152" s="47" t="s">
        <v>586</v>
      </c>
      <c r="C152" s="47" t="s">
        <v>587</v>
      </c>
      <c r="D152" s="47" t="s">
        <v>588</v>
      </c>
      <c r="E152" s="64">
        <v>56962.63</v>
      </c>
      <c r="F152" s="64">
        <v>60</v>
      </c>
    </row>
    <row r="153" spans="1:6" x14ac:dyDescent="0.25">
      <c r="A153" s="47" t="s">
        <v>589</v>
      </c>
      <c r="B153" s="47" t="s">
        <v>590</v>
      </c>
      <c r="C153" s="47" t="s">
        <v>591</v>
      </c>
      <c r="D153" s="47" t="s">
        <v>592</v>
      </c>
      <c r="E153" s="64">
        <v>30846.5</v>
      </c>
      <c r="F153" s="64">
        <v>0.3</v>
      </c>
    </row>
    <row r="154" spans="1:6" x14ac:dyDescent="0.25">
      <c r="A154" s="47" t="s">
        <v>593</v>
      </c>
      <c r="B154" s="47" t="s">
        <v>594</v>
      </c>
      <c r="C154" s="47" t="s">
        <v>595</v>
      </c>
      <c r="D154" s="47" t="s">
        <v>596</v>
      </c>
      <c r="E154" s="64">
        <v>25544.359999999997</v>
      </c>
      <c r="F154" s="64">
        <v>14.86</v>
      </c>
    </row>
    <row r="155" spans="1:6" x14ac:dyDescent="0.25">
      <c r="A155" s="47" t="s">
        <v>597</v>
      </c>
      <c r="B155" s="47" t="s">
        <v>598</v>
      </c>
      <c r="C155" s="47" t="s">
        <v>599</v>
      </c>
      <c r="D155" s="47" t="s">
        <v>600</v>
      </c>
      <c r="E155" s="64">
        <v>39782.089999999997</v>
      </c>
      <c r="F155" s="64">
        <v>2.4900000000000002</v>
      </c>
    </row>
    <row r="156" spans="1:6" x14ac:dyDescent="0.25">
      <c r="A156" s="47" t="s">
        <v>601</v>
      </c>
      <c r="B156" s="47" t="s">
        <v>602</v>
      </c>
      <c r="C156" s="47" t="s">
        <v>603</v>
      </c>
      <c r="D156" s="47" t="s">
        <v>604</v>
      </c>
      <c r="E156" s="64">
        <v>46305.5</v>
      </c>
      <c r="F156" s="64">
        <v>0.15</v>
      </c>
    </row>
    <row r="157" spans="1:6" x14ac:dyDescent="0.25">
      <c r="A157" s="47" t="s">
        <v>605</v>
      </c>
      <c r="B157" s="47" t="s">
        <v>606</v>
      </c>
      <c r="C157" s="47" t="s">
        <v>607</v>
      </c>
      <c r="D157" s="47" t="s">
        <v>608</v>
      </c>
      <c r="E157" s="64">
        <v>52820.89</v>
      </c>
      <c r="F157" s="64">
        <v>284</v>
      </c>
    </row>
    <row r="158" spans="1:6" x14ac:dyDescent="0.25">
      <c r="A158" s="47" t="s">
        <v>609</v>
      </c>
      <c r="B158" s="47" t="s">
        <v>610</v>
      </c>
      <c r="C158" s="47" t="s">
        <v>611</v>
      </c>
      <c r="D158" s="47" t="s">
        <v>612</v>
      </c>
      <c r="E158" s="64">
        <v>91844.800000000003</v>
      </c>
      <c r="F158" s="64">
        <v>47</v>
      </c>
    </row>
    <row r="159" spans="1:6" x14ac:dyDescent="0.25">
      <c r="A159" s="47" t="s">
        <v>613</v>
      </c>
      <c r="B159" s="47" t="s">
        <v>614</v>
      </c>
      <c r="C159" s="47" t="s">
        <v>615</v>
      </c>
      <c r="D159" s="47" t="s">
        <v>616</v>
      </c>
      <c r="E159" s="64">
        <v>32247.64</v>
      </c>
      <c r="F159" s="64">
        <v>2.0765357142857144</v>
      </c>
    </row>
    <row r="160" spans="1:6" x14ac:dyDescent="0.25">
      <c r="A160" s="47" t="s">
        <v>617</v>
      </c>
      <c r="B160" s="47" t="s">
        <v>618</v>
      </c>
      <c r="C160" s="47" t="s">
        <v>619</v>
      </c>
      <c r="D160" s="47" t="s">
        <v>620</v>
      </c>
      <c r="E160" s="64">
        <v>30383.71</v>
      </c>
      <c r="F160" s="64">
        <v>8.7999999999999995E-2</v>
      </c>
    </row>
    <row r="161" spans="1:6" x14ac:dyDescent="0.25">
      <c r="A161" s="47" t="s">
        <v>621</v>
      </c>
      <c r="B161" s="47" t="s">
        <v>622</v>
      </c>
      <c r="C161" s="47" t="s">
        <v>623</v>
      </c>
      <c r="D161" s="47" t="s">
        <v>624</v>
      </c>
      <c r="E161" s="64">
        <v>33556.009999999995</v>
      </c>
      <c r="F161" s="64">
        <v>3.2000000000000001E-2</v>
      </c>
    </row>
    <row r="162" spans="1:6" x14ac:dyDescent="0.25">
      <c r="A162" s="47" t="s">
        <v>625</v>
      </c>
      <c r="B162" s="47" t="s">
        <v>626</v>
      </c>
      <c r="C162" s="47" t="s">
        <v>627</v>
      </c>
      <c r="D162" s="47" t="s">
        <v>628</v>
      </c>
      <c r="E162" s="64">
        <v>84422.529999999984</v>
      </c>
      <c r="F162" s="64">
        <v>2.2966666666666664</v>
      </c>
    </row>
    <row r="163" spans="1:6" x14ac:dyDescent="0.25">
      <c r="A163" s="47" t="s">
        <v>629</v>
      </c>
      <c r="B163" s="47" t="s">
        <v>630</v>
      </c>
      <c r="C163" s="47" t="s">
        <v>631</v>
      </c>
      <c r="D163" s="47" t="s">
        <v>632</v>
      </c>
      <c r="E163" s="64">
        <v>49896.86</v>
      </c>
      <c r="F163" s="64">
        <v>4.2120833333333341</v>
      </c>
    </row>
    <row r="164" spans="1:6" x14ac:dyDescent="0.25">
      <c r="A164" s="47" t="s">
        <v>633</v>
      </c>
      <c r="B164" s="47" t="s">
        <v>634</v>
      </c>
      <c r="C164" s="47" t="s">
        <v>635</v>
      </c>
      <c r="D164" s="47" t="s">
        <v>636</v>
      </c>
      <c r="E164" s="64">
        <v>35951.19</v>
      </c>
      <c r="F164" s="64">
        <v>30.563788571428574</v>
      </c>
    </row>
    <row r="165" spans="1:6" x14ac:dyDescent="0.25">
      <c r="A165" s="47" t="s">
        <v>637</v>
      </c>
      <c r="B165" s="47" t="s">
        <v>638</v>
      </c>
      <c r="C165" s="47" t="s">
        <v>639</v>
      </c>
      <c r="D165" s="47" t="s">
        <v>640</v>
      </c>
      <c r="E165" s="64">
        <v>32320.439999999995</v>
      </c>
      <c r="F165" s="64">
        <v>0.14000000000000001</v>
      </c>
    </row>
    <row r="166" spans="1:6" x14ac:dyDescent="0.25">
      <c r="A166" s="47" t="s">
        <v>641</v>
      </c>
      <c r="B166" s="47" t="s">
        <v>642</v>
      </c>
      <c r="C166" s="47" t="s">
        <v>643</v>
      </c>
      <c r="D166" s="47" t="s">
        <v>644</v>
      </c>
      <c r="E166" s="64">
        <v>45364.759999999995</v>
      </c>
      <c r="F166" s="64">
        <v>0.5099999999999999</v>
      </c>
    </row>
    <row r="167" spans="1:6" x14ac:dyDescent="0.25">
      <c r="A167" s="47" t="s">
        <v>645</v>
      </c>
      <c r="B167" s="47" t="s">
        <v>646</v>
      </c>
      <c r="C167" s="47" t="s">
        <v>647</v>
      </c>
      <c r="D167" s="47" t="s">
        <v>648</v>
      </c>
      <c r="E167" s="64">
        <v>27613.61</v>
      </c>
      <c r="F167" s="64">
        <v>12.5</v>
      </c>
    </row>
    <row r="168" spans="1:6" x14ac:dyDescent="0.25">
      <c r="A168" s="47" t="s">
        <v>649</v>
      </c>
      <c r="B168" s="47" t="s">
        <v>650</v>
      </c>
      <c r="C168" s="47" t="s">
        <v>651</v>
      </c>
      <c r="D168" s="47" t="s">
        <v>330</v>
      </c>
      <c r="E168" s="64">
        <v>22283.42</v>
      </c>
      <c r="F168" s="64">
        <v>11</v>
      </c>
    </row>
    <row r="169" spans="1:6" x14ac:dyDescent="0.25">
      <c r="A169" s="47" t="s">
        <v>652</v>
      </c>
      <c r="B169" s="47" t="s">
        <v>653</v>
      </c>
      <c r="C169" s="47" t="s">
        <v>654</v>
      </c>
      <c r="D169" s="47" t="s">
        <v>655</v>
      </c>
      <c r="E169" s="64">
        <v>44836.630000000005</v>
      </c>
      <c r="F169" s="64">
        <v>0.81</v>
      </c>
    </row>
    <row r="170" spans="1:6" x14ac:dyDescent="0.25">
      <c r="A170" s="47" t="s">
        <v>656</v>
      </c>
      <c r="B170" s="47" t="s">
        <v>657</v>
      </c>
      <c r="C170" s="47" t="s">
        <v>658</v>
      </c>
      <c r="D170" s="47" t="s">
        <v>659</v>
      </c>
      <c r="E170" s="64">
        <v>54091.51</v>
      </c>
      <c r="F170" s="64">
        <v>368.48649999999998</v>
      </c>
    </row>
    <row r="171" spans="1:6" x14ac:dyDescent="0.25">
      <c r="A171" s="47" t="s">
        <v>660</v>
      </c>
      <c r="B171" s="47" t="s">
        <v>661</v>
      </c>
      <c r="C171" s="47" t="s">
        <v>662</v>
      </c>
      <c r="D171" s="47" t="s">
        <v>663</v>
      </c>
      <c r="E171" s="64">
        <v>53985.54</v>
      </c>
      <c r="F171" s="64">
        <v>196</v>
      </c>
    </row>
    <row r="172" spans="1:6" x14ac:dyDescent="0.25">
      <c r="A172" s="47" t="s">
        <v>664</v>
      </c>
      <c r="B172" s="47" t="s">
        <v>665</v>
      </c>
      <c r="C172" s="47" t="s">
        <v>666</v>
      </c>
      <c r="D172" s="47" t="s">
        <v>667</v>
      </c>
      <c r="E172" s="64">
        <v>47542.21</v>
      </c>
      <c r="F172" s="64">
        <v>0.52</v>
      </c>
    </row>
    <row r="173" spans="1:6" x14ac:dyDescent="0.25">
      <c r="A173" s="47" t="s">
        <v>668</v>
      </c>
      <c r="B173" s="47" t="s">
        <v>669</v>
      </c>
      <c r="C173" s="47" t="s">
        <v>670</v>
      </c>
      <c r="D173" s="47" t="s">
        <v>671</v>
      </c>
      <c r="E173" s="64">
        <v>49188.729999999996</v>
      </c>
      <c r="F173" s="64">
        <v>68.414285714285711</v>
      </c>
    </row>
    <row r="174" spans="1:6" x14ac:dyDescent="0.25">
      <c r="A174" s="47" t="s">
        <v>672</v>
      </c>
      <c r="B174" s="47" t="s">
        <v>673</v>
      </c>
      <c r="C174" s="47" t="s">
        <v>674</v>
      </c>
      <c r="D174" s="47" t="s">
        <v>675</v>
      </c>
      <c r="E174" s="64">
        <v>44816.37</v>
      </c>
      <c r="F174" s="64">
        <v>4.6333333333333337</v>
      </c>
    </row>
    <row r="175" spans="1:6" x14ac:dyDescent="0.25">
      <c r="A175" s="47" t="s">
        <v>676</v>
      </c>
      <c r="B175" s="47" t="s">
        <v>677</v>
      </c>
      <c r="C175" s="47" t="s">
        <v>678</v>
      </c>
      <c r="D175" s="47" t="s">
        <v>679</v>
      </c>
      <c r="E175" s="64">
        <v>31001.07</v>
      </c>
      <c r="F175" s="64">
        <v>43.33</v>
      </c>
    </row>
    <row r="176" spans="1:6" x14ac:dyDescent="0.25">
      <c r="A176" s="47" t="s">
        <v>680</v>
      </c>
      <c r="B176" s="47" t="s">
        <v>681</v>
      </c>
      <c r="C176" s="47" t="s">
        <v>682</v>
      </c>
      <c r="D176" s="47" t="s">
        <v>683</v>
      </c>
      <c r="E176" s="64">
        <v>42243.33</v>
      </c>
      <c r="F176" s="64">
        <v>3.625</v>
      </c>
    </row>
    <row r="177" spans="1:6" x14ac:dyDescent="0.25">
      <c r="A177" s="47" t="s">
        <v>684</v>
      </c>
      <c r="B177" s="47" t="s">
        <v>685</v>
      </c>
      <c r="C177" s="47" t="s">
        <v>686</v>
      </c>
      <c r="D177" s="47" t="s">
        <v>687</v>
      </c>
      <c r="E177" s="64">
        <v>42612.02</v>
      </c>
      <c r="F177" s="64">
        <v>5.1650000000000001E-2</v>
      </c>
    </row>
    <row r="178" spans="1:6" x14ac:dyDescent="0.25">
      <c r="A178" s="47" t="s">
        <v>688</v>
      </c>
      <c r="B178" s="47" t="s">
        <v>689</v>
      </c>
      <c r="C178" s="47" t="s">
        <v>690</v>
      </c>
      <c r="D178" s="47" t="s">
        <v>691</v>
      </c>
      <c r="E178" s="64">
        <v>26554.690000000002</v>
      </c>
      <c r="F178" s="64">
        <v>5.2468399999999998E-2</v>
      </c>
    </row>
    <row r="179" spans="1:6" x14ac:dyDescent="0.25">
      <c r="A179" s="47" t="s">
        <v>692</v>
      </c>
      <c r="B179" s="47" t="s">
        <v>693</v>
      </c>
      <c r="C179" s="47" t="s">
        <v>694</v>
      </c>
      <c r="D179" s="47" t="s">
        <v>695</v>
      </c>
      <c r="E179" s="64">
        <v>42930.26999999999</v>
      </c>
      <c r="F179" s="64">
        <v>0.35</v>
      </c>
    </row>
    <row r="180" spans="1:6" x14ac:dyDescent="0.25">
      <c r="A180" s="47" t="s">
        <v>696</v>
      </c>
      <c r="B180" s="47" t="s">
        <v>697</v>
      </c>
      <c r="C180" s="47" t="s">
        <v>698</v>
      </c>
      <c r="D180" s="47" t="s">
        <v>699</v>
      </c>
      <c r="E180" s="64">
        <v>78330.794999999998</v>
      </c>
      <c r="F180" s="64">
        <v>229</v>
      </c>
    </row>
    <row r="181" spans="1:6" x14ac:dyDescent="0.25">
      <c r="A181" s="47" t="s">
        <v>700</v>
      </c>
      <c r="B181" s="47" t="s">
        <v>701</v>
      </c>
      <c r="C181" s="47" t="s">
        <v>702</v>
      </c>
      <c r="D181" s="47" t="s">
        <v>703</v>
      </c>
      <c r="E181" s="64">
        <v>18078.259999999998</v>
      </c>
      <c r="F181" s="64">
        <v>0.17</v>
      </c>
    </row>
    <row r="182" spans="1:6" x14ac:dyDescent="0.25">
      <c r="A182" s="47" t="s">
        <v>704</v>
      </c>
      <c r="B182" s="47" t="s">
        <v>705</v>
      </c>
      <c r="C182" s="47" t="s">
        <v>706</v>
      </c>
      <c r="D182" s="47" t="s">
        <v>707</v>
      </c>
      <c r="E182" s="64">
        <v>17836.140000000003</v>
      </c>
      <c r="F182" s="64">
        <v>4.6999999999999993</v>
      </c>
    </row>
    <row r="183" spans="1:6" x14ac:dyDescent="0.25">
      <c r="A183" s="47" t="s">
        <v>708</v>
      </c>
      <c r="B183" s="47" t="s">
        <v>709</v>
      </c>
      <c r="C183" s="47" t="s">
        <v>710</v>
      </c>
      <c r="D183" s="47" t="s">
        <v>711</v>
      </c>
      <c r="E183" s="64">
        <v>32498.779999999995</v>
      </c>
      <c r="F183" s="64">
        <v>14.3</v>
      </c>
    </row>
    <row r="184" spans="1:6" x14ac:dyDescent="0.25">
      <c r="A184" s="47" t="s">
        <v>712</v>
      </c>
      <c r="B184" s="47" t="s">
        <v>713</v>
      </c>
      <c r="C184" s="47" t="s">
        <v>714</v>
      </c>
      <c r="D184" s="47" t="s">
        <v>715</v>
      </c>
      <c r="E184" s="64">
        <v>43386.749999999993</v>
      </c>
      <c r="F184" s="64">
        <v>32.25</v>
      </c>
    </row>
    <row r="185" spans="1:6" x14ac:dyDescent="0.25">
      <c r="A185" s="47" t="s">
        <v>716</v>
      </c>
      <c r="B185" s="47" t="s">
        <v>717</v>
      </c>
      <c r="C185" s="47" t="s">
        <v>718</v>
      </c>
      <c r="D185" s="47" t="s">
        <v>719</v>
      </c>
      <c r="E185" s="64">
        <v>55601.989999999991</v>
      </c>
      <c r="F185" s="64">
        <v>75.042000000000002</v>
      </c>
    </row>
    <row r="186" spans="1:6" x14ac:dyDescent="0.25">
      <c r="A186" s="47" t="s">
        <v>720</v>
      </c>
      <c r="B186" s="47" t="s">
        <v>721</v>
      </c>
      <c r="C186" s="47" t="s">
        <v>722</v>
      </c>
      <c r="D186" s="47" t="s">
        <v>723</v>
      </c>
      <c r="E186" s="64">
        <v>26554.690000000002</v>
      </c>
      <c r="F186" s="64">
        <v>5.2468399999999998E-2</v>
      </c>
    </row>
    <row r="187" spans="1:6" x14ac:dyDescent="0.25">
      <c r="A187" s="47" t="s">
        <v>724</v>
      </c>
      <c r="B187" s="47" t="s">
        <v>725</v>
      </c>
      <c r="C187" s="47" t="s">
        <v>726</v>
      </c>
      <c r="D187" s="47" t="s">
        <v>727</v>
      </c>
      <c r="E187" s="64">
        <v>45315.27</v>
      </c>
      <c r="F187" s="64">
        <v>12.285</v>
      </c>
    </row>
    <row r="188" spans="1:6" x14ac:dyDescent="0.25">
      <c r="A188" s="47" t="s">
        <v>728</v>
      </c>
      <c r="B188" s="47" t="s">
        <v>729</v>
      </c>
      <c r="C188" s="47" t="s">
        <v>730</v>
      </c>
      <c r="D188" s="47" t="s">
        <v>58</v>
      </c>
      <c r="E188" s="64">
        <v>36773.460000000006</v>
      </c>
      <c r="F188" s="64">
        <v>82</v>
      </c>
    </row>
    <row r="189" spans="1:6" x14ac:dyDescent="0.25">
      <c r="A189" s="47" t="s">
        <v>731</v>
      </c>
      <c r="B189" s="47" t="s">
        <v>732</v>
      </c>
      <c r="C189" s="47" t="s">
        <v>733</v>
      </c>
      <c r="D189" s="47" t="s">
        <v>734</v>
      </c>
      <c r="E189" s="64">
        <v>23585.280000000002</v>
      </c>
      <c r="F189" s="64">
        <v>842</v>
      </c>
    </row>
    <row r="190" spans="1:6" x14ac:dyDescent="0.25">
      <c r="A190" s="47" t="s">
        <v>735</v>
      </c>
      <c r="B190" s="47" t="s">
        <v>736</v>
      </c>
      <c r="C190" s="47" t="s">
        <v>737</v>
      </c>
      <c r="D190" s="47" t="s">
        <v>738</v>
      </c>
      <c r="E190" s="64">
        <v>48447.28</v>
      </c>
      <c r="F190" s="64">
        <v>14.804833333333335</v>
      </c>
    </row>
    <row r="191" spans="1:6" x14ac:dyDescent="0.25">
      <c r="A191" s="47" t="s">
        <v>739</v>
      </c>
      <c r="B191" s="47" t="s">
        <v>740</v>
      </c>
      <c r="C191" s="47" t="s">
        <v>741</v>
      </c>
      <c r="D191" s="47" t="s">
        <v>742</v>
      </c>
      <c r="E191" s="64">
        <v>45250.614999999998</v>
      </c>
      <c r="F191" s="64">
        <v>47.4</v>
      </c>
    </row>
    <row r="192" spans="1:6" x14ac:dyDescent="0.25">
      <c r="A192" s="47" t="s">
        <v>743</v>
      </c>
      <c r="B192" s="47" t="s">
        <v>744</v>
      </c>
      <c r="C192" s="47" t="s">
        <v>745</v>
      </c>
      <c r="D192" s="47" t="s">
        <v>746</v>
      </c>
      <c r="E192" s="64">
        <v>49716.55</v>
      </c>
      <c r="F192" s="64">
        <v>45.8</v>
      </c>
    </row>
    <row r="193" spans="1:6" x14ac:dyDescent="0.25">
      <c r="A193" s="47" t="s">
        <v>747</v>
      </c>
      <c r="B193" s="47" t="s">
        <v>748</v>
      </c>
      <c r="C193" s="47" t="s">
        <v>749</v>
      </c>
      <c r="D193" s="47" t="s">
        <v>750</v>
      </c>
      <c r="E193" s="64">
        <v>52354.659999999996</v>
      </c>
      <c r="F193" s="64">
        <v>180</v>
      </c>
    </row>
    <row r="194" spans="1:6" x14ac:dyDescent="0.25">
      <c r="A194" s="47" t="s">
        <v>751</v>
      </c>
      <c r="B194" s="47" t="s">
        <v>752</v>
      </c>
      <c r="C194" s="47" t="s">
        <v>753</v>
      </c>
      <c r="D194" s="47" t="s">
        <v>754</v>
      </c>
      <c r="E194" s="64">
        <v>46836.02</v>
      </c>
      <c r="F194" s="64">
        <v>436</v>
      </c>
    </row>
    <row r="195" spans="1:6" x14ac:dyDescent="0.25">
      <c r="A195" s="47" t="s">
        <v>755</v>
      </c>
      <c r="B195" s="47" t="s">
        <v>756</v>
      </c>
      <c r="C195" s="47" t="s">
        <v>757</v>
      </c>
      <c r="D195" s="47" t="s">
        <v>758</v>
      </c>
      <c r="E195" s="64">
        <v>38794.084999999992</v>
      </c>
      <c r="F195" s="64">
        <v>135</v>
      </c>
    </row>
    <row r="196" spans="1:6" x14ac:dyDescent="0.25">
      <c r="A196" s="47" t="s">
        <v>759</v>
      </c>
      <c r="B196" s="47" t="s">
        <v>760</v>
      </c>
      <c r="C196" s="47" t="s">
        <v>761</v>
      </c>
      <c r="D196" s="47" t="s">
        <v>762</v>
      </c>
      <c r="E196" s="64">
        <v>54067.459999999992</v>
      </c>
      <c r="F196" s="64">
        <v>2.8000000000000001E-2</v>
      </c>
    </row>
    <row r="197" spans="1:6" x14ac:dyDescent="0.25">
      <c r="A197" s="47" t="s">
        <v>763</v>
      </c>
      <c r="B197" s="47" t="s">
        <v>764</v>
      </c>
      <c r="C197" s="47" t="s">
        <v>765</v>
      </c>
      <c r="D197" s="47" t="s">
        <v>762</v>
      </c>
      <c r="E197" s="64">
        <v>54067.459999999992</v>
      </c>
      <c r="F197" s="64">
        <v>3.8</v>
      </c>
    </row>
    <row r="198" spans="1:6" x14ac:dyDescent="0.25">
      <c r="A198" s="47" t="s">
        <v>766</v>
      </c>
      <c r="B198" s="47" t="s">
        <v>767</v>
      </c>
      <c r="C198" s="47" t="s">
        <v>768</v>
      </c>
      <c r="D198" s="47" t="s">
        <v>769</v>
      </c>
      <c r="E198" s="64">
        <v>134513.31</v>
      </c>
      <c r="F198" s="64">
        <v>30.1</v>
      </c>
    </row>
    <row r="199" spans="1:6" x14ac:dyDescent="0.25">
      <c r="A199" s="47" t="s">
        <v>770</v>
      </c>
      <c r="B199" s="47" t="s">
        <v>771</v>
      </c>
      <c r="C199" s="47" t="s">
        <v>772</v>
      </c>
      <c r="D199" s="47" t="s">
        <v>773</v>
      </c>
      <c r="E199" s="64">
        <v>32565.449999999997</v>
      </c>
      <c r="F199" s="64">
        <v>90</v>
      </c>
    </row>
    <row r="200" spans="1:6" x14ac:dyDescent="0.25">
      <c r="A200" s="47" t="s">
        <v>774</v>
      </c>
      <c r="B200" s="47" t="s">
        <v>693</v>
      </c>
      <c r="C200" s="47" t="s">
        <v>694</v>
      </c>
      <c r="D200" s="47" t="s">
        <v>695</v>
      </c>
      <c r="E200" s="64">
        <v>48763.18</v>
      </c>
      <c r="F200" s="64">
        <v>0.35</v>
      </c>
    </row>
    <row r="201" spans="1:6" x14ac:dyDescent="0.25">
      <c r="A201" s="47" t="s">
        <v>775</v>
      </c>
      <c r="B201" s="47" t="s">
        <v>776</v>
      </c>
      <c r="C201" s="47" t="s">
        <v>777</v>
      </c>
      <c r="D201" s="47" t="s">
        <v>778</v>
      </c>
      <c r="E201" s="64">
        <v>35475.560000000005</v>
      </c>
      <c r="F201" s="64">
        <v>52</v>
      </c>
    </row>
    <row r="202" spans="1:6" x14ac:dyDescent="0.25">
      <c r="A202" s="47" t="s">
        <v>779</v>
      </c>
      <c r="B202" s="47" t="s">
        <v>780</v>
      </c>
      <c r="C202" s="47" t="s">
        <v>781</v>
      </c>
      <c r="D202" s="47" t="s">
        <v>782</v>
      </c>
      <c r="E202" s="64">
        <v>26248.920000000002</v>
      </c>
      <c r="F202" s="64">
        <v>25.3</v>
      </c>
    </row>
    <row r="203" spans="1:6" x14ac:dyDescent="0.25">
      <c r="A203" s="47" t="s">
        <v>783</v>
      </c>
      <c r="B203" s="47" t="s">
        <v>784</v>
      </c>
      <c r="C203" s="47" t="s">
        <v>785</v>
      </c>
      <c r="D203" s="47" t="s">
        <v>786</v>
      </c>
      <c r="E203" s="64">
        <v>32553.33</v>
      </c>
      <c r="F203" s="64">
        <v>10</v>
      </c>
    </row>
    <row r="204" spans="1:6" x14ac:dyDescent="0.25">
      <c r="A204" s="47" t="s">
        <v>787</v>
      </c>
      <c r="B204" s="47" t="s">
        <v>788</v>
      </c>
      <c r="C204" s="47" t="s">
        <v>789</v>
      </c>
      <c r="D204" s="47" t="s">
        <v>790</v>
      </c>
      <c r="E204" s="64">
        <v>61087.75</v>
      </c>
      <c r="F204" s="64">
        <v>40.42</v>
      </c>
    </row>
    <row r="205" spans="1:6" x14ac:dyDescent="0.25">
      <c r="A205" s="47" t="s">
        <v>791</v>
      </c>
      <c r="B205" s="47" t="s">
        <v>792</v>
      </c>
      <c r="C205" s="47" t="s">
        <v>793</v>
      </c>
      <c r="D205" s="47" t="s">
        <v>794</v>
      </c>
      <c r="E205" s="64">
        <v>25451.769999999997</v>
      </c>
      <c r="F205" s="64">
        <v>15.824999999999999</v>
      </c>
    </row>
    <row r="206" spans="1:6" x14ac:dyDescent="0.25">
      <c r="A206" s="47" t="s">
        <v>795</v>
      </c>
      <c r="B206" s="47" t="s">
        <v>796</v>
      </c>
      <c r="C206" s="47" t="s">
        <v>797</v>
      </c>
      <c r="D206" s="47" t="s">
        <v>798</v>
      </c>
      <c r="E206" s="64">
        <v>26453.906666666669</v>
      </c>
      <c r="F206" s="64">
        <v>1.2</v>
      </c>
    </row>
    <row r="207" spans="1:6" x14ac:dyDescent="0.25">
      <c r="A207" s="47" t="s">
        <v>799</v>
      </c>
      <c r="B207" s="47" t="s">
        <v>800</v>
      </c>
      <c r="C207" s="47" t="s">
        <v>801</v>
      </c>
      <c r="D207" s="47" t="s">
        <v>798</v>
      </c>
      <c r="E207" s="64">
        <v>27030.92</v>
      </c>
      <c r="F207" s="64">
        <v>202</v>
      </c>
    </row>
    <row r="208" spans="1:6" x14ac:dyDescent="0.25">
      <c r="A208" s="47" t="s">
        <v>802</v>
      </c>
      <c r="B208" s="47" t="s">
        <v>803</v>
      </c>
      <c r="C208" s="47" t="s">
        <v>804</v>
      </c>
      <c r="D208" s="47" t="s">
        <v>805</v>
      </c>
      <c r="E208" s="64">
        <v>23790.424999999999</v>
      </c>
      <c r="F208" s="64">
        <v>0.19500000000000001</v>
      </c>
    </row>
    <row r="209" spans="1:6" x14ac:dyDescent="0.25">
      <c r="A209" s="47" t="s">
        <v>806</v>
      </c>
      <c r="B209" s="47" t="s">
        <v>807</v>
      </c>
      <c r="C209" s="47" t="s">
        <v>808</v>
      </c>
      <c r="D209" s="47" t="s">
        <v>805</v>
      </c>
      <c r="E209" s="64">
        <v>23287.273333333331</v>
      </c>
      <c r="F209" s="64">
        <v>0.22</v>
      </c>
    </row>
    <row r="210" spans="1:6" x14ac:dyDescent="0.25">
      <c r="A210" s="47" t="s">
        <v>809</v>
      </c>
      <c r="B210" s="47" t="s">
        <v>810</v>
      </c>
      <c r="C210" s="47" t="s">
        <v>811</v>
      </c>
      <c r="D210" s="47" t="s">
        <v>812</v>
      </c>
      <c r="E210" s="64">
        <v>14919.39</v>
      </c>
      <c r="F210" s="64">
        <v>1088</v>
      </c>
    </row>
    <row r="211" spans="1:6" x14ac:dyDescent="0.25">
      <c r="A211" s="47" t="s">
        <v>813</v>
      </c>
      <c r="B211" s="47" t="s">
        <v>814</v>
      </c>
      <c r="C211" s="47" t="s">
        <v>815</v>
      </c>
      <c r="D211" s="47" t="s">
        <v>816</v>
      </c>
      <c r="E211" s="64">
        <v>29359.912499999999</v>
      </c>
      <c r="F211" s="64">
        <v>1.52</v>
      </c>
    </row>
    <row r="212" spans="1:6" x14ac:dyDescent="0.25">
      <c r="A212" s="47" t="s">
        <v>817</v>
      </c>
      <c r="B212" s="47" t="s">
        <v>818</v>
      </c>
      <c r="C212" s="47" t="s">
        <v>819</v>
      </c>
      <c r="D212" s="47" t="s">
        <v>816</v>
      </c>
      <c r="E212" s="64">
        <v>30200.5</v>
      </c>
      <c r="F212" s="64">
        <v>1.25</v>
      </c>
    </row>
    <row r="213" spans="1:6" x14ac:dyDescent="0.25">
      <c r="A213" s="47" t="s">
        <v>820</v>
      </c>
      <c r="B213" s="47" t="s">
        <v>821</v>
      </c>
      <c r="C213" s="47" t="s">
        <v>822</v>
      </c>
      <c r="D213" s="47" t="s">
        <v>699</v>
      </c>
      <c r="E213" s="64">
        <v>78330.794999999998</v>
      </c>
      <c r="F213" s="64">
        <v>229</v>
      </c>
    </row>
    <row r="214" spans="1:6" x14ac:dyDescent="0.25">
      <c r="A214" s="47" t="s">
        <v>823</v>
      </c>
      <c r="B214" s="47" t="s">
        <v>824</v>
      </c>
      <c r="C214" s="47" t="s">
        <v>825</v>
      </c>
      <c r="D214" s="47" t="s">
        <v>152</v>
      </c>
      <c r="E214" s="64">
        <v>78330.794999999998</v>
      </c>
      <c r="F214" s="64">
        <v>15</v>
      </c>
    </row>
    <row r="215" spans="1:6" x14ac:dyDescent="0.25">
      <c r="A215" s="47" t="s">
        <v>826</v>
      </c>
      <c r="B215" s="47" t="s">
        <v>827</v>
      </c>
      <c r="C215" s="47" t="s">
        <v>828</v>
      </c>
      <c r="D215" s="47" t="s">
        <v>152</v>
      </c>
      <c r="E215" s="64">
        <v>78330.794999999998</v>
      </c>
      <c r="F215" s="64">
        <v>380.5</v>
      </c>
    </row>
    <row r="216" spans="1:6" x14ac:dyDescent="0.25">
      <c r="A216" s="47" t="s">
        <v>829</v>
      </c>
      <c r="B216" s="47" t="s">
        <v>830</v>
      </c>
      <c r="C216" s="47" t="s">
        <v>831</v>
      </c>
      <c r="D216" s="47" t="s">
        <v>152</v>
      </c>
      <c r="E216" s="64">
        <v>78330.794999999998</v>
      </c>
      <c r="F216" s="64">
        <v>380.5</v>
      </c>
    </row>
    <row r="217" spans="1:6" x14ac:dyDescent="0.25">
      <c r="A217" s="47" t="s">
        <v>832</v>
      </c>
      <c r="B217" s="47" t="s">
        <v>833</v>
      </c>
      <c r="C217" s="47" t="s">
        <v>834</v>
      </c>
      <c r="D217" s="47" t="s">
        <v>835</v>
      </c>
      <c r="E217" s="64">
        <v>39644.42</v>
      </c>
      <c r="F217" s="64">
        <v>628.79999999999995</v>
      </c>
    </row>
    <row r="218" spans="1:6" x14ac:dyDescent="0.25">
      <c r="A218" s="47" t="s">
        <v>836</v>
      </c>
      <c r="B218" s="47" t="s">
        <v>837</v>
      </c>
      <c r="C218" s="47" t="s">
        <v>838</v>
      </c>
      <c r="D218" s="47" t="s">
        <v>839</v>
      </c>
      <c r="E218" s="64">
        <v>67614.89</v>
      </c>
      <c r="F218" s="64">
        <v>2.6</v>
      </c>
    </row>
    <row r="219" spans="1:6" x14ac:dyDescent="0.25">
      <c r="A219" s="47" t="s">
        <v>840</v>
      </c>
      <c r="B219" s="47" t="s">
        <v>841</v>
      </c>
      <c r="C219" s="47" t="s">
        <v>842</v>
      </c>
      <c r="D219" s="47" t="s">
        <v>843</v>
      </c>
      <c r="E219" s="64">
        <v>30924.42</v>
      </c>
      <c r="F219" s="64">
        <v>14.804833333333335</v>
      </c>
    </row>
    <row r="220" spans="1:6" x14ac:dyDescent="0.25">
      <c r="A220" s="47" t="s">
        <v>844</v>
      </c>
      <c r="B220" s="47" t="s">
        <v>845</v>
      </c>
      <c r="C220" s="47" t="s">
        <v>846</v>
      </c>
      <c r="D220" s="47" t="s">
        <v>847</v>
      </c>
      <c r="E220" s="64">
        <v>16897.09</v>
      </c>
      <c r="F220" s="64">
        <v>2.7</v>
      </c>
    </row>
    <row r="221" spans="1:6" x14ac:dyDescent="0.25">
      <c r="A221" s="47" t="s">
        <v>848</v>
      </c>
      <c r="B221" s="47" t="s">
        <v>849</v>
      </c>
      <c r="C221" s="47" t="s">
        <v>850</v>
      </c>
      <c r="D221" s="47" t="s">
        <v>851</v>
      </c>
      <c r="E221" s="64">
        <v>33961.319999999992</v>
      </c>
      <c r="F221" s="64">
        <v>11</v>
      </c>
    </row>
    <row r="222" spans="1:6" x14ac:dyDescent="0.25">
      <c r="A222" s="47" t="s">
        <v>852</v>
      </c>
      <c r="B222" s="47" t="s">
        <v>853</v>
      </c>
      <c r="C222" s="47" t="s">
        <v>854</v>
      </c>
      <c r="D222" s="47" t="s">
        <v>855</v>
      </c>
      <c r="E222" s="64">
        <v>49740.58</v>
      </c>
      <c r="F222" s="64">
        <v>4.54</v>
      </c>
    </row>
    <row r="223" spans="1:6" x14ac:dyDescent="0.25">
      <c r="A223" s="47" t="s">
        <v>856</v>
      </c>
      <c r="B223" s="47" t="s">
        <v>857</v>
      </c>
      <c r="C223" s="47" t="s">
        <v>858</v>
      </c>
      <c r="D223" s="47" t="s">
        <v>859</v>
      </c>
      <c r="E223" s="64">
        <v>50460.99</v>
      </c>
      <c r="F223" s="64">
        <v>134.9</v>
      </c>
    </row>
    <row r="224" spans="1:6" x14ac:dyDescent="0.25">
      <c r="A224" s="47" t="s">
        <v>860</v>
      </c>
      <c r="B224" s="47" t="s">
        <v>861</v>
      </c>
      <c r="C224" s="47" t="s">
        <v>862</v>
      </c>
      <c r="D224" s="47" t="s">
        <v>863</v>
      </c>
      <c r="E224" s="64">
        <v>47520.180000000008</v>
      </c>
      <c r="F224" s="64">
        <v>5.2</v>
      </c>
    </row>
    <row r="225" spans="1:6" x14ac:dyDescent="0.25">
      <c r="A225" s="47" t="s">
        <v>864</v>
      </c>
      <c r="B225" s="47" t="s">
        <v>865</v>
      </c>
      <c r="C225" s="47" t="s">
        <v>866</v>
      </c>
      <c r="D225" s="47" t="s">
        <v>867</v>
      </c>
      <c r="E225" s="64">
        <v>208962.63999999998</v>
      </c>
      <c r="F225" s="64">
        <v>135.5</v>
      </c>
    </row>
    <row r="226" spans="1:6" x14ac:dyDescent="0.25">
      <c r="A226" s="47" t="s">
        <v>868</v>
      </c>
      <c r="B226" s="47" t="s">
        <v>869</v>
      </c>
      <c r="C226" s="47" t="s">
        <v>870</v>
      </c>
      <c r="D226" s="47" t="s">
        <v>871</v>
      </c>
      <c r="E226" s="64">
        <v>33421.96</v>
      </c>
      <c r="F226" s="64">
        <v>0.38</v>
      </c>
    </row>
    <row r="227" spans="1:6" x14ac:dyDescent="0.25">
      <c r="A227" s="47" t="s">
        <v>872</v>
      </c>
      <c r="B227" s="47" t="s">
        <v>873</v>
      </c>
      <c r="C227" s="47" t="s">
        <v>874</v>
      </c>
      <c r="D227" s="47" t="s">
        <v>875</v>
      </c>
      <c r="E227" s="64">
        <v>37263.93</v>
      </c>
      <c r="F227" s="64">
        <v>0.52</v>
      </c>
    </row>
    <row r="228" spans="1:6" x14ac:dyDescent="0.25">
      <c r="A228" s="47" t="s">
        <v>876</v>
      </c>
      <c r="B228" s="47" t="s">
        <v>877</v>
      </c>
      <c r="C228" s="47" t="s">
        <v>878</v>
      </c>
      <c r="D228" s="47" t="s">
        <v>879</v>
      </c>
      <c r="E228" s="64">
        <v>116479.20999999999</v>
      </c>
      <c r="F228" s="64">
        <v>6300</v>
      </c>
    </row>
    <row r="229" spans="1:6" x14ac:dyDescent="0.25">
      <c r="A229" s="47" t="s">
        <v>880</v>
      </c>
      <c r="B229" s="47" t="s">
        <v>881</v>
      </c>
      <c r="C229" s="47" t="s">
        <v>882</v>
      </c>
      <c r="D229" s="47" t="s">
        <v>883</v>
      </c>
      <c r="E229" s="64">
        <v>63835.67</v>
      </c>
      <c r="F229" s="64">
        <v>72.261749999999992</v>
      </c>
    </row>
    <row r="230" spans="1:6" x14ac:dyDescent="0.25">
      <c r="A230" s="47" t="s">
        <v>884</v>
      </c>
      <c r="B230" s="47" t="s">
        <v>853</v>
      </c>
      <c r="C230" s="47" t="s">
        <v>885</v>
      </c>
      <c r="D230" s="47" t="s">
        <v>855</v>
      </c>
      <c r="E230" s="64">
        <v>49740.58</v>
      </c>
      <c r="F230" s="64">
        <v>47</v>
      </c>
    </row>
    <row r="231" spans="1:6" x14ac:dyDescent="0.25">
      <c r="A231" s="47" t="s">
        <v>886</v>
      </c>
      <c r="B231" s="47" t="s">
        <v>887</v>
      </c>
      <c r="C231" s="47" t="s">
        <v>888</v>
      </c>
      <c r="D231" s="47" t="s">
        <v>889</v>
      </c>
      <c r="E231" s="64">
        <v>99059.71</v>
      </c>
      <c r="F231" s="64">
        <v>540</v>
      </c>
    </row>
    <row r="232" spans="1:6" x14ac:dyDescent="0.25">
      <c r="A232" s="47" t="s">
        <v>890</v>
      </c>
      <c r="B232" s="47" t="s">
        <v>891</v>
      </c>
      <c r="C232" s="47" t="s">
        <v>892</v>
      </c>
      <c r="D232" s="47" t="s">
        <v>798</v>
      </c>
      <c r="E232" s="64">
        <v>28787.095000000005</v>
      </c>
      <c r="F232" s="64">
        <v>9.84</v>
      </c>
    </row>
    <row r="233" spans="1:6" x14ac:dyDescent="0.25">
      <c r="A233" s="47" t="s">
        <v>893</v>
      </c>
      <c r="B233" s="47" t="s">
        <v>894</v>
      </c>
      <c r="C233" s="47" t="s">
        <v>895</v>
      </c>
      <c r="D233" s="47" t="s">
        <v>896</v>
      </c>
      <c r="E233" s="64">
        <v>126937.60000000001</v>
      </c>
      <c r="F233" s="64">
        <v>4.5</v>
      </c>
    </row>
    <row r="234" spans="1:6" x14ac:dyDescent="0.25">
      <c r="A234" s="47" t="s">
        <v>897</v>
      </c>
      <c r="B234" s="47" t="s">
        <v>898</v>
      </c>
      <c r="C234" s="47" t="s">
        <v>899</v>
      </c>
      <c r="D234" s="47" t="s">
        <v>900</v>
      </c>
      <c r="E234" s="64">
        <v>28498.829999999998</v>
      </c>
      <c r="F234" s="64">
        <v>0.45</v>
      </c>
    </row>
    <row r="235" spans="1:6" x14ac:dyDescent="0.25">
      <c r="A235" s="47" t="s">
        <v>901</v>
      </c>
      <c r="B235" s="47" t="s">
        <v>902</v>
      </c>
      <c r="C235" s="47" t="s">
        <v>903</v>
      </c>
      <c r="D235" s="47" t="s">
        <v>900</v>
      </c>
      <c r="E235" s="64">
        <v>28498.829999999998</v>
      </c>
      <c r="F235" s="64">
        <v>0.45</v>
      </c>
    </row>
    <row r="236" spans="1:6" x14ac:dyDescent="0.25">
      <c r="A236" s="47" t="s">
        <v>904</v>
      </c>
      <c r="B236" s="47" t="s">
        <v>905</v>
      </c>
      <c r="C236" s="47" t="s">
        <v>906</v>
      </c>
      <c r="D236" s="47" t="s">
        <v>907</v>
      </c>
      <c r="E236" s="64">
        <v>119184.45000000004</v>
      </c>
      <c r="F236" s="64">
        <v>298.35000000000002</v>
      </c>
    </row>
    <row r="237" spans="1:6" x14ac:dyDescent="0.25">
      <c r="A237" s="47" t="s">
        <v>908</v>
      </c>
      <c r="B237" s="47" t="s">
        <v>909</v>
      </c>
      <c r="C237" s="47" t="s">
        <v>910</v>
      </c>
      <c r="D237" s="47" t="s">
        <v>911</v>
      </c>
      <c r="E237" s="64">
        <v>36140.07</v>
      </c>
      <c r="F237" s="64">
        <v>0.75</v>
      </c>
    </row>
    <row r="238" spans="1:6" x14ac:dyDescent="0.25">
      <c r="A238" s="47" t="s">
        <v>912</v>
      </c>
      <c r="B238" s="47" t="s">
        <v>913</v>
      </c>
      <c r="C238" s="47" t="s">
        <v>914</v>
      </c>
      <c r="D238" s="47" t="s">
        <v>592</v>
      </c>
      <c r="E238" s="64">
        <v>31083.954999999994</v>
      </c>
      <c r="F238" s="64">
        <v>2.15</v>
      </c>
    </row>
    <row r="239" spans="1:6" x14ac:dyDescent="0.25">
      <c r="A239" s="47" t="s">
        <v>915</v>
      </c>
      <c r="B239" s="47" t="s">
        <v>916</v>
      </c>
      <c r="C239" s="47" t="s">
        <v>917</v>
      </c>
      <c r="D239" s="47" t="s">
        <v>918</v>
      </c>
      <c r="E239" s="64">
        <v>21835.399999999994</v>
      </c>
      <c r="F239" s="64">
        <v>6.4000000000000001E-2</v>
      </c>
    </row>
    <row r="240" spans="1:6" x14ac:dyDescent="0.25">
      <c r="A240" s="47" t="s">
        <v>919</v>
      </c>
      <c r="B240" s="47" t="s">
        <v>920</v>
      </c>
      <c r="C240" s="47" t="s">
        <v>921</v>
      </c>
      <c r="D240" s="47" t="s">
        <v>922</v>
      </c>
      <c r="E240" s="64">
        <v>87726.029999999984</v>
      </c>
      <c r="F240" s="64">
        <v>17.026</v>
      </c>
    </row>
    <row r="241" spans="1:6" x14ac:dyDescent="0.25">
      <c r="A241" s="47" t="s">
        <v>923</v>
      </c>
      <c r="B241" s="47" t="s">
        <v>924</v>
      </c>
      <c r="C241" s="47" t="s">
        <v>925</v>
      </c>
      <c r="D241" s="47" t="s">
        <v>926</v>
      </c>
      <c r="E241" s="64">
        <v>40512.22</v>
      </c>
      <c r="F241" s="64">
        <v>213.43394333333333</v>
      </c>
    </row>
    <row r="242" spans="1:6" x14ac:dyDescent="0.25">
      <c r="A242" s="47" t="s">
        <v>927</v>
      </c>
      <c r="B242" s="47" t="s">
        <v>928</v>
      </c>
      <c r="C242" s="47" t="s">
        <v>929</v>
      </c>
      <c r="D242" s="47" t="s">
        <v>354</v>
      </c>
      <c r="E242" s="64">
        <v>65751.494999999995</v>
      </c>
      <c r="F242" s="64">
        <v>153</v>
      </c>
    </row>
    <row r="243" spans="1:6" x14ac:dyDescent="0.25">
      <c r="A243" s="47" t="s">
        <v>930</v>
      </c>
      <c r="B243" s="47" t="s">
        <v>931</v>
      </c>
      <c r="C243" s="47" t="s">
        <v>932</v>
      </c>
      <c r="D243" s="47" t="s">
        <v>933</v>
      </c>
      <c r="E243" s="64">
        <v>30144.620000000003</v>
      </c>
      <c r="F243" s="64">
        <v>38.299999999999997</v>
      </c>
    </row>
    <row r="244" spans="1:6" x14ac:dyDescent="0.25">
      <c r="A244" s="47" t="s">
        <v>934</v>
      </c>
      <c r="B244" s="47" t="s">
        <v>935</v>
      </c>
      <c r="C244" s="47" t="s">
        <v>936</v>
      </c>
      <c r="D244" s="47" t="s">
        <v>937</v>
      </c>
      <c r="E244" s="64">
        <v>27857.079999999998</v>
      </c>
      <c r="F244" s="64">
        <v>76.088466666666676</v>
      </c>
    </row>
    <row r="245" spans="1:6" x14ac:dyDescent="0.25">
      <c r="A245" s="47" t="s">
        <v>938</v>
      </c>
      <c r="B245" s="47" t="s">
        <v>939</v>
      </c>
      <c r="C245" s="47" t="s">
        <v>940</v>
      </c>
      <c r="D245" s="47" t="s">
        <v>70</v>
      </c>
      <c r="E245" s="64">
        <v>34840.99</v>
      </c>
      <c r="F245" s="64">
        <v>31.0185</v>
      </c>
    </row>
    <row r="246" spans="1:6" x14ac:dyDescent="0.25">
      <c r="A246" s="47" t="s">
        <v>941</v>
      </c>
      <c r="B246" s="47" t="s">
        <v>942</v>
      </c>
      <c r="C246" s="47" t="s">
        <v>943</v>
      </c>
      <c r="D246" s="47" t="s">
        <v>944</v>
      </c>
      <c r="E246" s="64">
        <v>37389.060000000005</v>
      </c>
      <c r="F246" s="64">
        <v>76.088466666666676</v>
      </c>
    </row>
    <row r="247" spans="1:6" x14ac:dyDescent="0.25">
      <c r="A247" s="47" t="s">
        <v>945</v>
      </c>
      <c r="B247" s="47" t="s">
        <v>946</v>
      </c>
      <c r="C247" s="47" t="s">
        <v>947</v>
      </c>
      <c r="D247" s="47" t="s">
        <v>948</v>
      </c>
      <c r="E247" s="64">
        <v>78183.12000000001</v>
      </c>
      <c r="F247" s="64">
        <v>5.38</v>
      </c>
    </row>
    <row r="248" spans="1:6" x14ac:dyDescent="0.25">
      <c r="A248" s="47" t="s">
        <v>949</v>
      </c>
      <c r="B248" s="47" t="s">
        <v>950</v>
      </c>
      <c r="C248" s="47" t="s">
        <v>951</v>
      </c>
      <c r="D248" s="47" t="s">
        <v>952</v>
      </c>
      <c r="E248" s="64">
        <v>53578.69</v>
      </c>
      <c r="F248" s="64">
        <v>76.088466666666676</v>
      </c>
    </row>
    <row r="249" spans="1:6" x14ac:dyDescent="0.25">
      <c r="A249" s="47" t="s">
        <v>953</v>
      </c>
      <c r="B249" s="47" t="s">
        <v>954</v>
      </c>
      <c r="C249" s="47" t="s">
        <v>955</v>
      </c>
      <c r="D249" s="47" t="s">
        <v>956</v>
      </c>
      <c r="E249" s="64">
        <v>54806.67</v>
      </c>
      <c r="F249" s="64">
        <v>76.088466666666676</v>
      </c>
    </row>
    <row r="250" spans="1:6" x14ac:dyDescent="0.25">
      <c r="A250" s="47" t="s">
        <v>957</v>
      </c>
      <c r="B250" s="47" t="s">
        <v>958</v>
      </c>
      <c r="C250" s="47" t="s">
        <v>959</v>
      </c>
      <c r="D250" s="47" t="s">
        <v>960</v>
      </c>
      <c r="E250" s="64">
        <v>27388.34</v>
      </c>
      <c r="F250" s="64">
        <v>94</v>
      </c>
    </row>
    <row r="251" spans="1:6" x14ac:dyDescent="0.25">
      <c r="A251" s="47" t="s">
        <v>961</v>
      </c>
      <c r="B251" s="47" t="s">
        <v>962</v>
      </c>
      <c r="C251" s="47" t="s">
        <v>963</v>
      </c>
      <c r="D251" s="47" t="s">
        <v>964</v>
      </c>
      <c r="E251" s="64">
        <v>64729.94</v>
      </c>
      <c r="F251" s="64">
        <v>18.899999999999999</v>
      </c>
    </row>
    <row r="252" spans="1:6" x14ac:dyDescent="0.25">
      <c r="A252" s="47" t="s">
        <v>965</v>
      </c>
      <c r="B252" s="47" t="s">
        <v>966</v>
      </c>
      <c r="C252" s="47" t="s">
        <v>967</v>
      </c>
      <c r="D252" s="47" t="s">
        <v>968</v>
      </c>
      <c r="E252" s="64">
        <v>55393.34</v>
      </c>
      <c r="F252" s="64">
        <v>368.48649999999998</v>
      </c>
    </row>
    <row r="253" spans="1:6" x14ac:dyDescent="0.25">
      <c r="A253" s="47" t="s">
        <v>969</v>
      </c>
      <c r="B253" s="47" t="s">
        <v>970</v>
      </c>
      <c r="C253" s="47" t="s">
        <v>971</v>
      </c>
      <c r="D253" s="47" t="s">
        <v>972</v>
      </c>
      <c r="E253" s="64">
        <v>27383.34</v>
      </c>
      <c r="F253" s="64">
        <v>27.3</v>
      </c>
    </row>
    <row r="254" spans="1:6" x14ac:dyDescent="0.25">
      <c r="A254" s="47" t="s">
        <v>973</v>
      </c>
      <c r="B254" s="47" t="s">
        <v>974</v>
      </c>
      <c r="C254" s="47" t="s">
        <v>975</v>
      </c>
      <c r="D254" s="47" t="s">
        <v>687</v>
      </c>
      <c r="E254" s="64">
        <v>42828.240000000005</v>
      </c>
      <c r="F254" s="64">
        <v>5.1650000000000001E-2</v>
      </c>
    </row>
    <row r="255" spans="1:6" x14ac:dyDescent="0.25">
      <c r="A255" s="47" t="s">
        <v>976</v>
      </c>
      <c r="B255" s="47" t="s">
        <v>977</v>
      </c>
      <c r="C255" s="47" t="s">
        <v>978</v>
      </c>
      <c r="D255" s="47" t="s">
        <v>979</v>
      </c>
      <c r="E255" s="64">
        <v>35405.769999999997</v>
      </c>
      <c r="F255" s="64">
        <v>131</v>
      </c>
    </row>
    <row r="256" spans="1:6" x14ac:dyDescent="0.25">
      <c r="A256" s="47" t="s">
        <v>980</v>
      </c>
      <c r="B256" s="47" t="s">
        <v>981</v>
      </c>
      <c r="C256" s="47" t="s">
        <v>982</v>
      </c>
      <c r="D256" s="47" t="s">
        <v>983</v>
      </c>
      <c r="E256" s="64">
        <v>37409.219999999994</v>
      </c>
      <c r="F256" s="64">
        <v>46.809013666666665</v>
      </c>
    </row>
    <row r="257" spans="1:6" x14ac:dyDescent="0.25">
      <c r="A257" s="47" t="s">
        <v>984</v>
      </c>
      <c r="B257" s="47" t="s">
        <v>985</v>
      </c>
      <c r="C257" s="47" t="s">
        <v>986</v>
      </c>
      <c r="D257" s="47" t="s">
        <v>987</v>
      </c>
      <c r="E257" s="64">
        <v>36407.33</v>
      </c>
      <c r="F257" s="64">
        <v>46.809013666666665</v>
      </c>
    </row>
    <row r="258" spans="1:6" x14ac:dyDescent="0.25">
      <c r="A258" s="47" t="s">
        <v>988</v>
      </c>
      <c r="B258" s="47" t="s">
        <v>981</v>
      </c>
      <c r="C258" s="47" t="s">
        <v>989</v>
      </c>
      <c r="D258" s="47" t="s">
        <v>983</v>
      </c>
      <c r="E258" s="64">
        <v>37409.219999999994</v>
      </c>
      <c r="F258" s="64">
        <v>46.809013666666665</v>
      </c>
    </row>
    <row r="259" spans="1:6" x14ac:dyDescent="0.25">
      <c r="A259" s="47" t="s">
        <v>990</v>
      </c>
      <c r="B259" s="47" t="s">
        <v>991</v>
      </c>
      <c r="C259" s="47" t="s">
        <v>992</v>
      </c>
      <c r="D259" s="47" t="s">
        <v>993</v>
      </c>
      <c r="E259" s="64">
        <v>32761.059999999998</v>
      </c>
      <c r="F259" s="64">
        <v>0.13</v>
      </c>
    </row>
    <row r="260" spans="1:6" x14ac:dyDescent="0.25">
      <c r="A260" s="47" t="s">
        <v>994</v>
      </c>
      <c r="B260" s="47" t="s">
        <v>995</v>
      </c>
      <c r="C260" s="47" t="s">
        <v>996</v>
      </c>
      <c r="D260" s="47" t="s">
        <v>699</v>
      </c>
      <c r="E260" s="64">
        <v>78330.794999999998</v>
      </c>
      <c r="F260" s="64">
        <v>229</v>
      </c>
    </row>
    <row r="261" spans="1:6" x14ac:dyDescent="0.25">
      <c r="A261" s="47" t="s">
        <v>997</v>
      </c>
      <c r="B261" s="47" t="s">
        <v>998</v>
      </c>
      <c r="C261" s="47" t="s">
        <v>999</v>
      </c>
      <c r="D261" s="47" t="s">
        <v>699</v>
      </c>
      <c r="E261" s="64">
        <v>78330.794999999998</v>
      </c>
      <c r="F261" s="64">
        <v>229</v>
      </c>
    </row>
    <row r="262" spans="1:6" x14ac:dyDescent="0.25">
      <c r="A262" s="47" t="s">
        <v>1000</v>
      </c>
      <c r="B262" s="47" t="s">
        <v>1001</v>
      </c>
      <c r="C262" s="47" t="s">
        <v>1002</v>
      </c>
      <c r="D262" s="47" t="s">
        <v>1003</v>
      </c>
      <c r="E262" s="64">
        <v>89318.79</v>
      </c>
      <c r="F262" s="64">
        <v>21.94</v>
      </c>
    </row>
    <row r="263" spans="1:6" x14ac:dyDescent="0.25">
      <c r="A263" s="47" t="s">
        <v>1004</v>
      </c>
      <c r="B263" s="47" t="s">
        <v>1005</v>
      </c>
      <c r="C263" s="47" t="s">
        <v>1006</v>
      </c>
      <c r="D263" s="47" t="s">
        <v>1007</v>
      </c>
      <c r="E263" s="64">
        <v>41267.840000000011</v>
      </c>
      <c r="F263" s="64">
        <v>140</v>
      </c>
    </row>
    <row r="264" spans="1:6" x14ac:dyDescent="0.25">
      <c r="A264" s="47" t="s">
        <v>1008</v>
      </c>
      <c r="B264" s="47" t="s">
        <v>1009</v>
      </c>
      <c r="C264" s="47" t="s">
        <v>1010</v>
      </c>
      <c r="D264" s="47" t="s">
        <v>1011</v>
      </c>
      <c r="E264" s="64">
        <v>188517.35499999998</v>
      </c>
      <c r="F264" s="64">
        <v>79.900000000000006</v>
      </c>
    </row>
    <row r="265" spans="1:6" x14ac:dyDescent="0.25">
      <c r="A265" s="47" t="s">
        <v>1012</v>
      </c>
      <c r="B265" s="47" t="s">
        <v>1013</v>
      </c>
      <c r="C265" s="47" t="s">
        <v>1014</v>
      </c>
      <c r="D265" s="47" t="s">
        <v>1015</v>
      </c>
      <c r="E265" s="64">
        <v>35394.530000000006</v>
      </c>
      <c r="F265" s="64">
        <v>6.7249999999999996</v>
      </c>
    </row>
    <row r="266" spans="1:6" x14ac:dyDescent="0.25">
      <c r="A266" s="47" t="s">
        <v>1016</v>
      </c>
      <c r="B266" s="47" t="s">
        <v>1017</v>
      </c>
      <c r="C266" s="47" t="s">
        <v>1018</v>
      </c>
      <c r="D266" s="47" t="s">
        <v>1015</v>
      </c>
      <c r="E266" s="64">
        <v>35394.530000000006</v>
      </c>
      <c r="F266" s="64">
        <v>6.7249999999999996</v>
      </c>
    </row>
    <row r="267" spans="1:6" x14ac:dyDescent="0.25">
      <c r="A267" s="47" t="s">
        <v>1019</v>
      </c>
      <c r="B267" s="47" t="s">
        <v>1020</v>
      </c>
      <c r="C267" s="47" t="s">
        <v>1021</v>
      </c>
      <c r="D267" s="47" t="s">
        <v>1022</v>
      </c>
      <c r="E267" s="64">
        <v>23307.86</v>
      </c>
      <c r="F267" s="64">
        <v>749.81368750000013</v>
      </c>
    </row>
    <row r="268" spans="1:6" x14ac:dyDescent="0.25">
      <c r="A268" s="47" t="s">
        <v>1023</v>
      </c>
      <c r="B268" s="47" t="s">
        <v>1024</v>
      </c>
      <c r="C268" s="47" t="s">
        <v>1025</v>
      </c>
      <c r="D268" s="47" t="s">
        <v>798</v>
      </c>
      <c r="E268" s="64">
        <v>24928.695</v>
      </c>
      <c r="F268" s="64">
        <v>11</v>
      </c>
    </row>
    <row r="269" spans="1:6" x14ac:dyDescent="0.25">
      <c r="A269" s="47" t="s">
        <v>1026</v>
      </c>
      <c r="B269" s="47" t="s">
        <v>1027</v>
      </c>
      <c r="C269" s="47" t="s">
        <v>1028</v>
      </c>
      <c r="D269" s="47" t="s">
        <v>798</v>
      </c>
      <c r="E269" s="64">
        <v>26899.58</v>
      </c>
      <c r="F269" s="64">
        <v>9.84</v>
      </c>
    </row>
    <row r="270" spans="1:6" x14ac:dyDescent="0.25">
      <c r="A270" s="47" t="s">
        <v>1029</v>
      </c>
      <c r="B270" s="47" t="s">
        <v>1030</v>
      </c>
      <c r="C270" s="47" t="s">
        <v>1031</v>
      </c>
      <c r="D270" s="47" t="s">
        <v>1032</v>
      </c>
      <c r="E270" s="64">
        <v>19858.28</v>
      </c>
      <c r="F270" s="64">
        <v>9.33</v>
      </c>
    </row>
    <row r="271" spans="1:6" x14ac:dyDescent="0.25">
      <c r="A271" s="47" t="s">
        <v>1033</v>
      </c>
      <c r="B271" s="47" t="s">
        <v>1034</v>
      </c>
      <c r="C271" s="47" t="s">
        <v>1035</v>
      </c>
      <c r="D271" s="47" t="s">
        <v>734</v>
      </c>
      <c r="E271" s="64">
        <v>23585.280000000002</v>
      </c>
      <c r="F271" s="64">
        <v>860.5</v>
      </c>
    </row>
    <row r="272" spans="1:6" x14ac:dyDescent="0.25">
      <c r="A272" s="47" t="s">
        <v>1036</v>
      </c>
      <c r="B272" s="47" t="s">
        <v>1037</v>
      </c>
      <c r="C272" s="47" t="s">
        <v>1038</v>
      </c>
      <c r="D272" s="47" t="s">
        <v>1039</v>
      </c>
      <c r="E272" s="64">
        <v>35216.049999999996</v>
      </c>
      <c r="F272" s="64">
        <v>2</v>
      </c>
    </row>
    <row r="273" spans="1:6" x14ac:dyDescent="0.25">
      <c r="A273" s="47" t="s">
        <v>1040</v>
      </c>
      <c r="B273" s="47" t="s">
        <v>1041</v>
      </c>
      <c r="C273" s="47" t="s">
        <v>1042</v>
      </c>
      <c r="D273" s="47" t="s">
        <v>1003</v>
      </c>
      <c r="E273" s="64">
        <v>89318.79</v>
      </c>
      <c r="F273" s="64">
        <v>21.94</v>
      </c>
    </row>
    <row r="274" spans="1:6" x14ac:dyDescent="0.25">
      <c r="A274" s="47" t="s">
        <v>1043</v>
      </c>
      <c r="B274" s="47" t="s">
        <v>1044</v>
      </c>
      <c r="C274" s="47" t="s">
        <v>1045</v>
      </c>
      <c r="D274" s="47" t="s">
        <v>1003</v>
      </c>
      <c r="E274" s="64">
        <v>89318.79</v>
      </c>
      <c r="F274" s="64">
        <v>21.94</v>
      </c>
    </row>
    <row r="275" spans="1:6" x14ac:dyDescent="0.25">
      <c r="A275" s="47" t="s">
        <v>1046</v>
      </c>
      <c r="B275" s="47" t="s">
        <v>1047</v>
      </c>
      <c r="C275" s="47" t="s">
        <v>1048</v>
      </c>
      <c r="D275" s="47" t="s">
        <v>1003</v>
      </c>
      <c r="E275" s="64">
        <v>89318.79</v>
      </c>
      <c r="F275" s="64">
        <v>21.94</v>
      </c>
    </row>
    <row r="276" spans="1:6" x14ac:dyDescent="0.25">
      <c r="A276" s="47" t="s">
        <v>1049</v>
      </c>
      <c r="B276" s="47" t="s">
        <v>1050</v>
      </c>
      <c r="C276" s="47" t="s">
        <v>1051</v>
      </c>
      <c r="D276" s="47" t="s">
        <v>1052</v>
      </c>
      <c r="E276" s="64">
        <v>29643.180000000004</v>
      </c>
      <c r="F276" s="64">
        <v>14.804833333333335</v>
      </c>
    </row>
    <row r="277" spans="1:6" x14ac:dyDescent="0.25">
      <c r="A277" s="47" t="s">
        <v>1053</v>
      </c>
      <c r="B277" s="47" t="s">
        <v>1054</v>
      </c>
      <c r="C277" s="47" t="s">
        <v>1055</v>
      </c>
      <c r="D277" s="47" t="s">
        <v>1056</v>
      </c>
      <c r="E277" s="64">
        <v>32592.559999999998</v>
      </c>
      <c r="F277" s="64">
        <v>6.75</v>
      </c>
    </row>
    <row r="278" spans="1:6" x14ac:dyDescent="0.25">
      <c r="A278" s="47" t="s">
        <v>1057</v>
      </c>
      <c r="B278" s="47" t="s">
        <v>1058</v>
      </c>
      <c r="C278" s="47" t="s">
        <v>1059</v>
      </c>
      <c r="D278" s="47" t="s">
        <v>1060</v>
      </c>
      <c r="E278" s="64">
        <v>82090.474999999991</v>
      </c>
      <c r="F278" s="64">
        <v>2162.5</v>
      </c>
    </row>
    <row r="279" spans="1:6" x14ac:dyDescent="0.25">
      <c r="A279" s="47" t="s">
        <v>1061</v>
      </c>
      <c r="B279" s="47" t="s">
        <v>1062</v>
      </c>
      <c r="C279" s="47" t="s">
        <v>1063</v>
      </c>
      <c r="D279" s="47" t="s">
        <v>1064</v>
      </c>
      <c r="E279" s="64">
        <v>141986.87</v>
      </c>
      <c r="F279" s="64">
        <v>370</v>
      </c>
    </row>
    <row r="280" spans="1:6" x14ac:dyDescent="0.25">
      <c r="A280" s="47" t="s">
        <v>1065</v>
      </c>
      <c r="B280" s="47" t="s">
        <v>1066</v>
      </c>
      <c r="C280" s="47" t="s">
        <v>1067</v>
      </c>
      <c r="D280" s="47" t="s">
        <v>1011</v>
      </c>
      <c r="E280" s="64">
        <v>144053.41</v>
      </c>
      <c r="F280" s="64">
        <v>79.900000000000006</v>
      </c>
    </row>
    <row r="281" spans="1:6" x14ac:dyDescent="0.25">
      <c r="A281" s="47" t="s">
        <v>1068</v>
      </c>
      <c r="B281" s="47" t="s">
        <v>1069</v>
      </c>
      <c r="C281" s="47" t="s">
        <v>1070</v>
      </c>
      <c r="D281" s="47" t="s">
        <v>1071</v>
      </c>
      <c r="E281" s="64">
        <v>27927.410000000003</v>
      </c>
      <c r="F281" s="64">
        <v>18.3185</v>
      </c>
    </row>
    <row r="282" spans="1:6" x14ac:dyDescent="0.25">
      <c r="A282" s="47" t="s">
        <v>1072</v>
      </c>
      <c r="B282" s="47" t="s">
        <v>1073</v>
      </c>
      <c r="C282" s="47" t="s">
        <v>1074</v>
      </c>
      <c r="D282" s="47" t="s">
        <v>1075</v>
      </c>
      <c r="E282" s="64">
        <v>31372.689999999995</v>
      </c>
      <c r="F282" s="64">
        <v>14.804833333333335</v>
      </c>
    </row>
    <row r="283" spans="1:6" x14ac:dyDescent="0.25">
      <c r="A283" s="47" t="s">
        <v>1076</v>
      </c>
      <c r="B283" s="47" t="s">
        <v>1077</v>
      </c>
      <c r="C283" s="47" t="s">
        <v>1078</v>
      </c>
      <c r="D283" s="47" t="s">
        <v>1079</v>
      </c>
      <c r="E283" s="64">
        <v>54150.596666666665</v>
      </c>
      <c r="F283" s="64">
        <v>2</v>
      </c>
    </row>
    <row r="284" spans="1:6" x14ac:dyDescent="0.25">
      <c r="A284" s="47" t="s">
        <v>1080</v>
      </c>
      <c r="B284" s="47" t="s">
        <v>1081</v>
      </c>
      <c r="C284" s="47" t="s">
        <v>1082</v>
      </c>
      <c r="D284" s="47" t="s">
        <v>1083</v>
      </c>
      <c r="E284" s="64">
        <v>78501.150000000009</v>
      </c>
      <c r="F284" s="64">
        <v>0.157</v>
      </c>
    </row>
    <row r="285" spans="1:6" x14ac:dyDescent="0.25">
      <c r="A285" s="47" t="s">
        <v>1084</v>
      </c>
      <c r="B285" s="47" t="s">
        <v>1085</v>
      </c>
      <c r="C285" s="47" t="s">
        <v>1086</v>
      </c>
      <c r="D285" s="47" t="s">
        <v>612</v>
      </c>
      <c r="E285" s="64">
        <v>90519.87999999999</v>
      </c>
      <c r="F285" s="64">
        <v>47</v>
      </c>
    </row>
    <row r="286" spans="1:6" x14ac:dyDescent="0.25">
      <c r="A286" s="47" t="s">
        <v>1087</v>
      </c>
      <c r="B286" s="47" t="s">
        <v>1088</v>
      </c>
      <c r="C286" s="47" t="s">
        <v>1089</v>
      </c>
      <c r="D286" s="47" t="s">
        <v>1090</v>
      </c>
      <c r="E286" s="64">
        <v>48951.3</v>
      </c>
      <c r="F286" s="64">
        <v>40</v>
      </c>
    </row>
    <row r="287" spans="1:6" x14ac:dyDescent="0.25">
      <c r="A287" s="47" t="s">
        <v>1091</v>
      </c>
      <c r="B287" s="47" t="s">
        <v>1092</v>
      </c>
      <c r="C287" s="47" t="s">
        <v>1093</v>
      </c>
      <c r="D287" s="47" t="s">
        <v>1094</v>
      </c>
      <c r="E287" s="64">
        <v>31295.75</v>
      </c>
      <c r="F287" s="64">
        <v>250</v>
      </c>
    </row>
    <row r="288" spans="1:6" x14ac:dyDescent="0.25">
      <c r="A288" s="47" t="s">
        <v>1095</v>
      </c>
      <c r="B288" s="47" t="s">
        <v>1096</v>
      </c>
      <c r="C288" s="47" t="s">
        <v>1097</v>
      </c>
      <c r="D288" s="47" t="s">
        <v>1098</v>
      </c>
      <c r="E288" s="64">
        <v>40956.170000000006</v>
      </c>
      <c r="F288" s="64">
        <v>1.2</v>
      </c>
    </row>
    <row r="289" spans="1:6" x14ac:dyDescent="0.25">
      <c r="A289" s="47" t="s">
        <v>1099</v>
      </c>
      <c r="B289" s="47" t="s">
        <v>1100</v>
      </c>
      <c r="C289" s="47" t="s">
        <v>1101</v>
      </c>
      <c r="D289" s="47" t="s">
        <v>1102</v>
      </c>
      <c r="E289" s="64">
        <v>40638.399999999994</v>
      </c>
      <c r="F289" s="64">
        <v>18.3185</v>
      </c>
    </row>
    <row r="290" spans="1:6" x14ac:dyDescent="0.25">
      <c r="A290" s="47" t="s">
        <v>1103</v>
      </c>
      <c r="B290" s="47" t="s">
        <v>1104</v>
      </c>
      <c r="C290" s="47" t="s">
        <v>1105</v>
      </c>
      <c r="D290" s="47" t="s">
        <v>1106</v>
      </c>
      <c r="E290" s="64">
        <v>51049.08</v>
      </c>
      <c r="F290" s="64">
        <v>192.40241666666668</v>
      </c>
    </row>
    <row r="291" spans="1:6" x14ac:dyDescent="0.25">
      <c r="A291" s="47" t="s">
        <v>1107</v>
      </c>
      <c r="B291" s="47" t="s">
        <v>1108</v>
      </c>
      <c r="C291" s="47" t="s">
        <v>1109</v>
      </c>
      <c r="D291" s="47" t="s">
        <v>1110</v>
      </c>
      <c r="E291" s="64">
        <v>53609.63</v>
      </c>
      <c r="F291" s="64">
        <v>5.2</v>
      </c>
    </row>
    <row r="292" spans="1:6" x14ac:dyDescent="0.25">
      <c r="A292" s="47" t="s">
        <v>1111</v>
      </c>
      <c r="B292" s="47" t="s">
        <v>1112</v>
      </c>
      <c r="C292" s="47" t="s">
        <v>1113</v>
      </c>
      <c r="D292" s="47" t="s">
        <v>1114</v>
      </c>
      <c r="E292" s="64">
        <v>27058.883333333331</v>
      </c>
      <c r="F292" s="64">
        <v>9</v>
      </c>
    </row>
    <row r="293" spans="1:6" x14ac:dyDescent="0.25">
      <c r="A293" s="47" t="s">
        <v>1115</v>
      </c>
      <c r="B293" s="47" t="s">
        <v>1116</v>
      </c>
      <c r="C293" s="47" t="s">
        <v>1117</v>
      </c>
      <c r="D293" s="47" t="s">
        <v>1118</v>
      </c>
      <c r="E293" s="64">
        <v>63694.620000000017</v>
      </c>
      <c r="F293" s="64">
        <v>199</v>
      </c>
    </row>
    <row r="294" spans="1:6" x14ac:dyDescent="0.25">
      <c r="A294" s="47" t="s">
        <v>1119</v>
      </c>
      <c r="B294" s="47" t="s">
        <v>1120</v>
      </c>
      <c r="C294" s="47" t="s">
        <v>1121</v>
      </c>
      <c r="D294" s="47" t="s">
        <v>1122</v>
      </c>
      <c r="E294" s="64">
        <v>24745.640000000003</v>
      </c>
      <c r="F294" s="64">
        <v>68.682333333333332</v>
      </c>
    </row>
    <row r="295" spans="1:6" x14ac:dyDescent="0.25">
      <c r="A295" s="47" t="s">
        <v>1123</v>
      </c>
      <c r="B295" s="47" t="s">
        <v>1124</v>
      </c>
      <c r="C295" s="47" t="s">
        <v>1125</v>
      </c>
      <c r="D295" s="47" t="s">
        <v>1122</v>
      </c>
      <c r="E295" s="64">
        <v>24745.640000000003</v>
      </c>
      <c r="F295" s="64">
        <v>108.5</v>
      </c>
    </row>
    <row r="296" spans="1:6" x14ac:dyDescent="0.25">
      <c r="A296" s="47" t="s">
        <v>1126</v>
      </c>
      <c r="B296" s="47" t="s">
        <v>1127</v>
      </c>
      <c r="C296" s="47" t="s">
        <v>1128</v>
      </c>
      <c r="D296" s="47" t="s">
        <v>1129</v>
      </c>
      <c r="E296" s="64">
        <v>23591.98</v>
      </c>
      <c r="F296" s="64">
        <v>209</v>
      </c>
    </row>
    <row r="297" spans="1:6" x14ac:dyDescent="0.25">
      <c r="A297" s="47" t="s">
        <v>1130</v>
      </c>
      <c r="B297" s="47" t="s">
        <v>1131</v>
      </c>
      <c r="C297" s="47" t="s">
        <v>1132</v>
      </c>
      <c r="D297" s="47" t="s">
        <v>699</v>
      </c>
      <c r="E297" s="64">
        <v>78330.794999999998</v>
      </c>
      <c r="F297" s="64">
        <v>229</v>
      </c>
    </row>
    <row r="298" spans="1:6" x14ac:dyDescent="0.25">
      <c r="A298" s="47" t="s">
        <v>1133</v>
      </c>
      <c r="B298" s="47" t="s">
        <v>1134</v>
      </c>
      <c r="C298" s="47" t="s">
        <v>1135</v>
      </c>
      <c r="D298" s="47" t="s">
        <v>699</v>
      </c>
      <c r="E298" s="64">
        <v>78330.794999999998</v>
      </c>
      <c r="F298" s="64">
        <v>229</v>
      </c>
    </row>
    <row r="299" spans="1:6" x14ac:dyDescent="0.25">
      <c r="A299" s="47" t="s">
        <v>1136</v>
      </c>
      <c r="B299" s="47" t="s">
        <v>1137</v>
      </c>
      <c r="C299" s="47" t="s">
        <v>1138</v>
      </c>
      <c r="D299" s="47" t="s">
        <v>1139</v>
      </c>
      <c r="E299" s="64">
        <v>52013.56</v>
      </c>
      <c r="F299" s="64">
        <v>290</v>
      </c>
    </row>
    <row r="300" spans="1:6" x14ac:dyDescent="0.25">
      <c r="A300" s="47" t="s">
        <v>1140</v>
      </c>
      <c r="B300" s="47" t="s">
        <v>1141</v>
      </c>
      <c r="C300" s="47" t="s">
        <v>1142</v>
      </c>
      <c r="D300" s="47" t="s">
        <v>1139</v>
      </c>
      <c r="E300" s="64">
        <v>46466.540000000008</v>
      </c>
      <c r="F300" s="64">
        <v>290</v>
      </c>
    </row>
    <row r="301" spans="1:6" x14ac:dyDescent="0.25">
      <c r="A301" s="47" t="s">
        <v>1143</v>
      </c>
      <c r="B301" s="47" t="s">
        <v>1144</v>
      </c>
      <c r="C301" s="47" t="s">
        <v>1145</v>
      </c>
      <c r="D301" s="47" t="s">
        <v>1015</v>
      </c>
      <c r="E301" s="64">
        <v>35394.530000000006</v>
      </c>
      <c r="F301" s="64">
        <v>60503.775000000001</v>
      </c>
    </row>
    <row r="302" spans="1:6" x14ac:dyDescent="0.25">
      <c r="A302" s="47" t="s">
        <v>1146</v>
      </c>
      <c r="B302" s="47" t="s">
        <v>1147</v>
      </c>
      <c r="C302" s="47" t="s">
        <v>1148</v>
      </c>
      <c r="D302" s="47" t="s">
        <v>1149</v>
      </c>
      <c r="E302" s="64">
        <v>32712.984999999997</v>
      </c>
      <c r="F302" s="64">
        <v>12.007999999999999</v>
      </c>
    </row>
    <row r="303" spans="1:6" x14ac:dyDescent="0.25">
      <c r="A303" s="47" t="s">
        <v>1150</v>
      </c>
      <c r="B303" s="47" t="s">
        <v>1151</v>
      </c>
      <c r="C303" s="47" t="s">
        <v>1152</v>
      </c>
      <c r="D303" s="47" t="s">
        <v>1153</v>
      </c>
      <c r="E303" s="64">
        <v>40154.820000000007</v>
      </c>
      <c r="F303" s="64">
        <v>4.9000000000000004</v>
      </c>
    </row>
    <row r="304" spans="1:6" x14ac:dyDescent="0.25">
      <c r="A304" s="47" t="s">
        <v>1154</v>
      </c>
      <c r="B304" s="47" t="s">
        <v>1155</v>
      </c>
      <c r="C304" s="47" t="s">
        <v>1156</v>
      </c>
      <c r="D304" s="47" t="s">
        <v>1157</v>
      </c>
      <c r="E304" s="64">
        <v>42964.54</v>
      </c>
      <c r="F304" s="64">
        <v>8.7200000000000006</v>
      </c>
    </row>
    <row r="305" spans="1:6" x14ac:dyDescent="0.25">
      <c r="A305" s="47" t="s">
        <v>1158</v>
      </c>
      <c r="B305" s="47" t="s">
        <v>1159</v>
      </c>
      <c r="C305" s="47" t="s">
        <v>1160</v>
      </c>
      <c r="D305" s="47" t="s">
        <v>1161</v>
      </c>
      <c r="E305" s="64">
        <v>21269.43</v>
      </c>
      <c r="F305" s="64">
        <v>39</v>
      </c>
    </row>
    <row r="306" spans="1:6" x14ac:dyDescent="0.25">
      <c r="A306" s="47" t="s">
        <v>1162</v>
      </c>
      <c r="B306" s="47" t="s">
        <v>1163</v>
      </c>
      <c r="C306" s="47" t="s">
        <v>1164</v>
      </c>
      <c r="D306" s="47" t="s">
        <v>1165</v>
      </c>
      <c r="E306" s="64">
        <v>32693.22</v>
      </c>
      <c r="F306" s="64">
        <v>29</v>
      </c>
    </row>
    <row r="307" spans="1:6" x14ac:dyDescent="0.25">
      <c r="A307" s="47" t="s">
        <v>1166</v>
      </c>
      <c r="B307" s="47" t="s">
        <v>1167</v>
      </c>
      <c r="C307" s="47" t="s">
        <v>1168</v>
      </c>
      <c r="D307" s="47" t="s">
        <v>78</v>
      </c>
      <c r="E307" s="64">
        <v>148383.26</v>
      </c>
      <c r="F307" s="64">
        <v>33.299999999999997</v>
      </c>
    </row>
    <row r="308" spans="1:6" x14ac:dyDescent="0.25">
      <c r="A308" s="47" t="s">
        <v>1169</v>
      </c>
      <c r="B308" s="47" t="s">
        <v>1170</v>
      </c>
      <c r="C308" s="47" t="s">
        <v>1171</v>
      </c>
      <c r="D308" s="47" t="s">
        <v>1172</v>
      </c>
      <c r="E308" s="64">
        <v>49600.109999999993</v>
      </c>
      <c r="F308" s="64">
        <v>310.85000000000002</v>
      </c>
    </row>
    <row r="309" spans="1:6" x14ac:dyDescent="0.25">
      <c r="A309" s="47" t="s">
        <v>1173</v>
      </c>
      <c r="B309" s="47" t="s">
        <v>1174</v>
      </c>
      <c r="C309" s="47" t="s">
        <v>1175</v>
      </c>
      <c r="D309" s="47" t="s">
        <v>1176</v>
      </c>
      <c r="E309" s="64">
        <v>37849.980000000003</v>
      </c>
      <c r="F309" s="64">
        <v>9.5</v>
      </c>
    </row>
    <row r="310" spans="1:6" x14ac:dyDescent="0.25">
      <c r="A310" s="47" t="s">
        <v>1177</v>
      </c>
      <c r="B310" s="47" t="s">
        <v>1178</v>
      </c>
      <c r="C310" s="47" t="s">
        <v>1179</v>
      </c>
      <c r="D310" s="47" t="s">
        <v>184</v>
      </c>
      <c r="E310" s="64">
        <v>19524.12</v>
      </c>
      <c r="F310" s="64">
        <v>571.5</v>
      </c>
    </row>
    <row r="311" spans="1:6" x14ac:dyDescent="0.25">
      <c r="A311" s="47" t="s">
        <v>1180</v>
      </c>
      <c r="B311" s="47" t="s">
        <v>1181</v>
      </c>
      <c r="C311" s="47" t="s">
        <v>1182</v>
      </c>
      <c r="D311" s="47" t="s">
        <v>1183</v>
      </c>
      <c r="E311" s="64">
        <v>43115.83</v>
      </c>
      <c r="F311" s="64">
        <v>27.076333333333338</v>
      </c>
    </row>
    <row r="312" spans="1:6" x14ac:dyDescent="0.25">
      <c r="A312" s="47" t="s">
        <v>1184</v>
      </c>
      <c r="B312" s="47" t="s">
        <v>1185</v>
      </c>
      <c r="C312" s="47" t="s">
        <v>1186</v>
      </c>
      <c r="D312" s="47" t="s">
        <v>1187</v>
      </c>
      <c r="E312" s="64">
        <v>32559.880000000005</v>
      </c>
      <c r="F312" s="64">
        <v>0.5827</v>
      </c>
    </row>
    <row r="313" spans="1:6" x14ac:dyDescent="0.25">
      <c r="A313" s="47" t="s">
        <v>1188</v>
      </c>
      <c r="B313" s="47" t="s">
        <v>1189</v>
      </c>
      <c r="C313" s="47" t="s">
        <v>1190</v>
      </c>
      <c r="D313" s="47" t="s">
        <v>1191</v>
      </c>
      <c r="E313" s="64">
        <v>21293.600000000002</v>
      </c>
      <c r="F313" s="64">
        <v>35.700000000000003</v>
      </c>
    </row>
    <row r="314" spans="1:6" x14ac:dyDescent="0.25">
      <c r="A314" s="47" t="s">
        <v>1192</v>
      </c>
      <c r="B314" s="47" t="s">
        <v>1193</v>
      </c>
      <c r="C314" s="47" t="s">
        <v>1194</v>
      </c>
      <c r="D314" s="47" t="s">
        <v>1195</v>
      </c>
      <c r="E314" s="64">
        <v>20814.169999999998</v>
      </c>
      <c r="F314" s="64">
        <v>0.44</v>
      </c>
    </row>
    <row r="315" spans="1:6" x14ac:dyDescent="0.25">
      <c r="A315" s="47" t="s">
        <v>1196</v>
      </c>
      <c r="B315" s="47" t="s">
        <v>1197</v>
      </c>
      <c r="C315" s="47" t="s">
        <v>1198</v>
      </c>
      <c r="D315" s="47" t="s">
        <v>74</v>
      </c>
      <c r="E315" s="64">
        <v>71687.149999999994</v>
      </c>
      <c r="F315" s="64">
        <v>1.49325</v>
      </c>
    </row>
    <row r="316" spans="1:6" x14ac:dyDescent="0.25">
      <c r="A316" s="47" t="s">
        <v>1199</v>
      </c>
      <c r="B316" s="47" t="s">
        <v>1200</v>
      </c>
      <c r="C316" s="47" t="s">
        <v>1201</v>
      </c>
      <c r="D316" s="47" t="s">
        <v>1202</v>
      </c>
      <c r="E316" s="64">
        <v>45125.45</v>
      </c>
      <c r="F316" s="64">
        <v>76.110799999999998</v>
      </c>
    </row>
    <row r="317" spans="1:6" x14ac:dyDescent="0.25">
      <c r="A317" s="47" t="s">
        <v>1203</v>
      </c>
      <c r="B317" s="47" t="s">
        <v>1204</v>
      </c>
      <c r="C317" s="47" t="s">
        <v>1205</v>
      </c>
      <c r="D317" s="47" t="s">
        <v>1202</v>
      </c>
      <c r="E317" s="64">
        <v>45125.45</v>
      </c>
      <c r="F317" s="64">
        <v>76.110799999999998</v>
      </c>
    </row>
    <row r="318" spans="1:6" x14ac:dyDescent="0.25">
      <c r="A318" s="47" t="s">
        <v>1206</v>
      </c>
      <c r="B318" s="47" t="s">
        <v>1207</v>
      </c>
      <c r="C318" s="47" t="s">
        <v>1208</v>
      </c>
      <c r="D318" s="47" t="s">
        <v>1209</v>
      </c>
      <c r="E318" s="64">
        <v>28189.389999999996</v>
      </c>
      <c r="F318" s="64">
        <v>368.48649999999998</v>
      </c>
    </row>
    <row r="319" spans="1:6" x14ac:dyDescent="0.25">
      <c r="A319" s="47" t="s">
        <v>1210</v>
      </c>
      <c r="B319" s="47" t="s">
        <v>1211</v>
      </c>
      <c r="C319" s="47" t="s">
        <v>1212</v>
      </c>
      <c r="D319" s="47" t="s">
        <v>1213</v>
      </c>
      <c r="E319" s="64">
        <v>26241.19</v>
      </c>
      <c r="F319" s="64">
        <v>36.35</v>
      </c>
    </row>
    <row r="320" spans="1:6" x14ac:dyDescent="0.25">
      <c r="A320" s="47" t="s">
        <v>1214</v>
      </c>
      <c r="B320" s="47" t="s">
        <v>1215</v>
      </c>
      <c r="C320" s="47" t="s">
        <v>1216</v>
      </c>
      <c r="D320" s="47" t="s">
        <v>1217</v>
      </c>
      <c r="E320" s="64">
        <v>83873.159999999989</v>
      </c>
      <c r="F320" s="64">
        <v>127</v>
      </c>
    </row>
    <row r="321" spans="1:6" x14ac:dyDescent="0.25">
      <c r="A321" s="47" t="s">
        <v>1218</v>
      </c>
      <c r="B321" s="47" t="s">
        <v>1219</v>
      </c>
      <c r="C321" s="47" t="s">
        <v>1220</v>
      </c>
      <c r="D321" s="47" t="s">
        <v>184</v>
      </c>
      <c r="E321" s="64">
        <v>19524.12</v>
      </c>
      <c r="F321" s="64">
        <v>571.5</v>
      </c>
    </row>
    <row r="322" spans="1:6" x14ac:dyDescent="0.25">
      <c r="A322" s="47" t="s">
        <v>1221</v>
      </c>
      <c r="B322" s="47" t="s">
        <v>1222</v>
      </c>
      <c r="C322" s="47" t="s">
        <v>1223</v>
      </c>
      <c r="D322" s="47" t="s">
        <v>184</v>
      </c>
      <c r="E322" s="64">
        <v>19524.12</v>
      </c>
      <c r="F322" s="64">
        <v>571.5</v>
      </c>
    </row>
    <row r="323" spans="1:6" x14ac:dyDescent="0.25">
      <c r="A323" s="47" t="s">
        <v>1224</v>
      </c>
      <c r="B323" s="47" t="s">
        <v>1225</v>
      </c>
      <c r="C323" s="47" t="s">
        <v>1226</v>
      </c>
      <c r="D323" s="47" t="s">
        <v>184</v>
      </c>
      <c r="E323" s="64">
        <v>19524.12</v>
      </c>
      <c r="F323" s="64">
        <v>571.5</v>
      </c>
    </row>
    <row r="324" spans="1:6" x14ac:dyDescent="0.25">
      <c r="A324" s="47" t="s">
        <v>1227</v>
      </c>
      <c r="B324" s="47" t="s">
        <v>1228</v>
      </c>
      <c r="C324" s="47" t="s">
        <v>1229</v>
      </c>
      <c r="D324" s="47" t="s">
        <v>1230</v>
      </c>
      <c r="E324" s="64">
        <v>38562.426666666666</v>
      </c>
      <c r="F324" s="64">
        <v>1.2999999999999999E-2</v>
      </c>
    </row>
    <row r="325" spans="1:6" x14ac:dyDescent="0.25">
      <c r="A325" s="47" t="s">
        <v>1231</v>
      </c>
      <c r="B325" s="47" t="s">
        <v>1232</v>
      </c>
      <c r="C325" s="47" t="s">
        <v>1233</v>
      </c>
      <c r="D325" s="47" t="s">
        <v>616</v>
      </c>
      <c r="E325" s="64">
        <v>32510.980000000003</v>
      </c>
      <c r="F325" s="64">
        <v>2E-3</v>
      </c>
    </row>
    <row r="326" spans="1:6" x14ac:dyDescent="0.25">
      <c r="A326" s="47" t="s">
        <v>1234</v>
      </c>
      <c r="B326" s="47" t="s">
        <v>1235</v>
      </c>
      <c r="C326" s="47" t="s">
        <v>1236</v>
      </c>
      <c r="D326" s="47" t="s">
        <v>1237</v>
      </c>
      <c r="E326" s="64">
        <v>36358.629999999997</v>
      </c>
      <c r="F326" s="64">
        <v>1.07</v>
      </c>
    </row>
    <row r="327" spans="1:6" x14ac:dyDescent="0.25">
      <c r="A327" s="47" t="s">
        <v>1238</v>
      </c>
      <c r="B327" s="47" t="s">
        <v>1239</v>
      </c>
      <c r="C327" s="47" t="s">
        <v>1240</v>
      </c>
      <c r="D327" s="47" t="s">
        <v>1241</v>
      </c>
      <c r="E327" s="64">
        <v>22621.120000000003</v>
      </c>
      <c r="F327" s="64">
        <v>3.8699999999999998E-2</v>
      </c>
    </row>
    <row r="328" spans="1:6" x14ac:dyDescent="0.25">
      <c r="A328" s="47" t="s">
        <v>1242</v>
      </c>
      <c r="B328" s="47" t="s">
        <v>1243</v>
      </c>
      <c r="C328" s="47" t="s">
        <v>1244</v>
      </c>
      <c r="D328" s="47" t="s">
        <v>1245</v>
      </c>
      <c r="E328" s="64">
        <v>27338.479999999996</v>
      </c>
      <c r="F328" s="64">
        <v>14.804833333333335</v>
      </c>
    </row>
    <row r="329" spans="1:6" x14ac:dyDescent="0.25">
      <c r="A329" s="47" t="s">
        <v>1246</v>
      </c>
      <c r="B329" s="47" t="s">
        <v>1247</v>
      </c>
      <c r="C329" s="47" t="s">
        <v>1248</v>
      </c>
      <c r="D329" s="47" t="s">
        <v>1249</v>
      </c>
      <c r="E329" s="64">
        <v>30831.759999999998</v>
      </c>
      <c r="F329" s="64">
        <v>6.1</v>
      </c>
    </row>
    <row r="330" spans="1:6" x14ac:dyDescent="0.25">
      <c r="A330" s="47" t="s">
        <v>1250</v>
      </c>
      <c r="B330" s="47" t="s">
        <v>1251</v>
      </c>
      <c r="C330" s="47" t="s">
        <v>1252</v>
      </c>
      <c r="D330" s="47" t="s">
        <v>1253</v>
      </c>
      <c r="E330" s="64">
        <v>19996.580000000002</v>
      </c>
      <c r="F330" s="64">
        <v>1.1400000000000001</v>
      </c>
    </row>
    <row r="331" spans="1:6" x14ac:dyDescent="0.25">
      <c r="A331" s="47" t="s">
        <v>1254</v>
      </c>
      <c r="B331" s="47" t="s">
        <v>1255</v>
      </c>
      <c r="C331" s="47" t="s">
        <v>1256</v>
      </c>
      <c r="D331" s="47" t="s">
        <v>1257</v>
      </c>
      <c r="E331" s="64">
        <v>38454.67</v>
      </c>
      <c r="F331" s="64">
        <v>0.37325000000000003</v>
      </c>
    </row>
    <row r="332" spans="1:6" x14ac:dyDescent="0.25">
      <c r="A332" s="47" t="s">
        <v>1258</v>
      </c>
      <c r="B332" s="47" t="s">
        <v>1259</v>
      </c>
      <c r="C332" s="47" t="s">
        <v>1260</v>
      </c>
      <c r="D332" s="47" t="s">
        <v>1261</v>
      </c>
      <c r="E332" s="64">
        <v>35799.140000000007</v>
      </c>
      <c r="F332" s="64">
        <v>111.86944444444447</v>
      </c>
    </row>
    <row r="333" spans="1:6" x14ac:dyDescent="0.25">
      <c r="A333" s="47" t="s">
        <v>1262</v>
      </c>
      <c r="B333" s="47" t="s">
        <v>1263</v>
      </c>
      <c r="C333" s="47" t="s">
        <v>1264</v>
      </c>
      <c r="D333" s="47" t="s">
        <v>1265</v>
      </c>
      <c r="E333" s="64">
        <v>17048.36</v>
      </c>
      <c r="F333" s="64">
        <v>46000</v>
      </c>
    </row>
    <row r="334" spans="1:6" x14ac:dyDescent="0.25">
      <c r="A334" s="47" t="s">
        <v>1266</v>
      </c>
      <c r="B334" s="47" t="s">
        <v>1267</v>
      </c>
      <c r="C334" s="47" t="s">
        <v>1268</v>
      </c>
      <c r="D334" s="47" t="s">
        <v>1269</v>
      </c>
      <c r="E334" s="64">
        <v>70529.86</v>
      </c>
      <c r="F334" s="64">
        <v>2.1</v>
      </c>
    </row>
    <row r="335" spans="1:6" x14ac:dyDescent="0.25">
      <c r="A335" s="47" t="s">
        <v>1270</v>
      </c>
      <c r="B335" s="47" t="s">
        <v>1271</v>
      </c>
      <c r="C335" s="47" t="s">
        <v>1272</v>
      </c>
      <c r="D335" s="47" t="s">
        <v>1273</v>
      </c>
      <c r="E335" s="64">
        <v>70529.86</v>
      </c>
      <c r="F335" s="64">
        <v>4.2</v>
      </c>
    </row>
    <row r="336" spans="1:6" x14ac:dyDescent="0.25">
      <c r="A336" s="47" t="s">
        <v>1274</v>
      </c>
      <c r="B336" s="47" t="s">
        <v>1275</v>
      </c>
      <c r="C336" s="47" t="s">
        <v>1276</v>
      </c>
      <c r="D336" s="47" t="s">
        <v>1277</v>
      </c>
      <c r="E336" s="64">
        <v>50242.659999999996</v>
      </c>
      <c r="F336" s="64">
        <v>2.7</v>
      </c>
    </row>
    <row r="337" spans="1:6" x14ac:dyDescent="0.25">
      <c r="A337" s="47" t="s">
        <v>1278</v>
      </c>
      <c r="B337" s="47" t="s">
        <v>1279</v>
      </c>
      <c r="C337" s="47" t="s">
        <v>1280</v>
      </c>
      <c r="D337" s="47" t="s">
        <v>1011</v>
      </c>
      <c r="E337" s="64">
        <v>188517.35499999998</v>
      </c>
      <c r="F337" s="64">
        <v>1203</v>
      </c>
    </row>
    <row r="338" spans="1:6" x14ac:dyDescent="0.25">
      <c r="A338" s="47" t="s">
        <v>1281</v>
      </c>
      <c r="B338" s="47" t="s">
        <v>1282</v>
      </c>
      <c r="C338" s="47" t="s">
        <v>1283</v>
      </c>
      <c r="D338" s="47" t="s">
        <v>1011</v>
      </c>
      <c r="E338" s="64">
        <v>144053.41</v>
      </c>
      <c r="F338" s="64">
        <v>1203</v>
      </c>
    </row>
    <row r="339" spans="1:6" x14ac:dyDescent="0.25">
      <c r="A339" s="47" t="s">
        <v>1284</v>
      </c>
      <c r="B339" s="47" t="s">
        <v>1285</v>
      </c>
      <c r="C339" s="47" t="s">
        <v>1286</v>
      </c>
      <c r="D339" s="47" t="s">
        <v>1129</v>
      </c>
      <c r="E339" s="64">
        <v>23591.98</v>
      </c>
      <c r="F339" s="64">
        <v>510</v>
      </c>
    </row>
    <row r="340" spans="1:6" x14ac:dyDescent="0.25">
      <c r="A340" s="47" t="s">
        <v>1287</v>
      </c>
      <c r="B340" s="47" t="s">
        <v>1288</v>
      </c>
      <c r="C340" s="47" t="s">
        <v>1289</v>
      </c>
      <c r="D340" s="47" t="s">
        <v>1290</v>
      </c>
      <c r="E340" s="64">
        <v>23782.42</v>
      </c>
      <c r="F340" s="64">
        <v>3</v>
      </c>
    </row>
    <row r="341" spans="1:6" x14ac:dyDescent="0.25">
      <c r="A341" s="47" t="s">
        <v>1291</v>
      </c>
      <c r="B341" s="47" t="s">
        <v>1292</v>
      </c>
      <c r="C341" s="47" t="s">
        <v>1293</v>
      </c>
      <c r="D341" s="47" t="s">
        <v>184</v>
      </c>
      <c r="E341" s="64">
        <v>19524.12</v>
      </c>
      <c r="F341" s="64">
        <v>458.5</v>
      </c>
    </row>
    <row r="342" spans="1:6" x14ac:dyDescent="0.25">
      <c r="A342" s="47" t="s">
        <v>1294</v>
      </c>
      <c r="B342" s="47" t="s">
        <v>1295</v>
      </c>
      <c r="C342" s="47" t="s">
        <v>1296</v>
      </c>
      <c r="D342" s="47" t="s">
        <v>1297</v>
      </c>
      <c r="E342" s="64">
        <v>48284.295000000006</v>
      </c>
      <c r="F342" s="64">
        <v>0.25</v>
      </c>
    </row>
    <row r="343" spans="1:6" x14ac:dyDescent="0.25">
      <c r="A343" s="47" t="s">
        <v>1298</v>
      </c>
      <c r="B343" s="47" t="s">
        <v>1299</v>
      </c>
      <c r="C343" s="47" t="s">
        <v>1300</v>
      </c>
      <c r="D343" s="47" t="s">
        <v>1301</v>
      </c>
      <c r="E343" s="64">
        <v>34234.253333333334</v>
      </c>
      <c r="F343" s="64">
        <v>126.8</v>
      </c>
    </row>
    <row r="344" spans="1:6" x14ac:dyDescent="0.25">
      <c r="A344" s="47" t="s">
        <v>1302</v>
      </c>
      <c r="B344" s="47" t="s">
        <v>1303</v>
      </c>
      <c r="C344" s="47" t="s">
        <v>1304</v>
      </c>
      <c r="D344" s="47" t="s">
        <v>1305</v>
      </c>
      <c r="E344" s="64">
        <v>33754.649999999994</v>
      </c>
      <c r="F344" s="64">
        <v>14.804833333333335</v>
      </c>
    </row>
    <row r="345" spans="1:6" x14ac:dyDescent="0.25">
      <c r="A345" s="47" t="s">
        <v>1306</v>
      </c>
      <c r="B345" s="47" t="s">
        <v>1307</v>
      </c>
      <c r="C345" s="47" t="s">
        <v>1308</v>
      </c>
      <c r="D345" s="47" t="s">
        <v>1309</v>
      </c>
      <c r="E345" s="64">
        <v>19415.619999999995</v>
      </c>
      <c r="F345" s="64">
        <v>0.4</v>
      </c>
    </row>
    <row r="346" spans="1:6" x14ac:dyDescent="0.25">
      <c r="A346" s="47" t="s">
        <v>1310</v>
      </c>
      <c r="B346" s="47" t="s">
        <v>1311</v>
      </c>
      <c r="C346" s="47" t="s">
        <v>1312</v>
      </c>
      <c r="D346" s="47" t="s">
        <v>1313</v>
      </c>
      <c r="E346" s="64">
        <v>23510.825000000001</v>
      </c>
      <c r="F346" s="64">
        <v>54.25</v>
      </c>
    </row>
    <row r="347" spans="1:6" x14ac:dyDescent="0.25">
      <c r="A347" s="47" t="s">
        <v>1314</v>
      </c>
      <c r="B347" s="47" t="s">
        <v>1315</v>
      </c>
      <c r="C347" s="47" t="s">
        <v>1316</v>
      </c>
      <c r="D347" s="47" t="s">
        <v>1317</v>
      </c>
      <c r="E347" s="64">
        <v>32229.935000000005</v>
      </c>
      <c r="F347" s="64">
        <v>9201.8125</v>
      </c>
    </row>
    <row r="348" spans="1:6" x14ac:dyDescent="0.25">
      <c r="A348" s="47" t="s">
        <v>1318</v>
      </c>
      <c r="B348" s="47" t="s">
        <v>1319</v>
      </c>
      <c r="C348" s="47" t="s">
        <v>1320</v>
      </c>
      <c r="D348" s="47" t="s">
        <v>1321</v>
      </c>
      <c r="E348" s="64">
        <v>36571.61</v>
      </c>
      <c r="F348" s="64">
        <v>213.43394333333333</v>
      </c>
    </row>
    <row r="349" spans="1:6" x14ac:dyDescent="0.25">
      <c r="A349" s="47" t="s">
        <v>1322</v>
      </c>
      <c r="B349" s="47" t="s">
        <v>1323</v>
      </c>
      <c r="C349" s="47" t="s">
        <v>1324</v>
      </c>
      <c r="D349" s="47" t="s">
        <v>1325</v>
      </c>
      <c r="E349" s="64">
        <v>52909.49</v>
      </c>
      <c r="F349" s="64">
        <v>49.465000000000003</v>
      </c>
    </row>
    <row r="350" spans="1:6" x14ac:dyDescent="0.25">
      <c r="A350" s="47" t="s">
        <v>1326</v>
      </c>
      <c r="B350" s="47" t="s">
        <v>1323</v>
      </c>
      <c r="C350" s="47" t="s">
        <v>1327</v>
      </c>
      <c r="D350" s="47" t="s">
        <v>1325</v>
      </c>
      <c r="E350" s="64">
        <v>52909.49</v>
      </c>
      <c r="F350" s="64">
        <v>60.384</v>
      </c>
    </row>
    <row r="351" spans="1:6" x14ac:dyDescent="0.25">
      <c r="A351" s="47" t="s">
        <v>1328</v>
      </c>
      <c r="B351" s="47" t="s">
        <v>1329</v>
      </c>
      <c r="C351" s="47" t="s">
        <v>1330</v>
      </c>
      <c r="D351" s="47" t="s">
        <v>1331</v>
      </c>
      <c r="E351" s="64">
        <v>69038.91</v>
      </c>
      <c r="F351" s="64">
        <v>845</v>
      </c>
    </row>
    <row r="352" spans="1:6" x14ac:dyDescent="0.25">
      <c r="A352" s="47" t="s">
        <v>1332</v>
      </c>
      <c r="B352" s="47" t="s">
        <v>1333</v>
      </c>
      <c r="C352" s="47" t="s">
        <v>1334</v>
      </c>
      <c r="D352" s="47" t="s">
        <v>1335</v>
      </c>
      <c r="E352" s="64">
        <v>30272.379999999997</v>
      </c>
      <c r="F352" s="64">
        <v>8.3150000000000013</v>
      </c>
    </row>
    <row r="353" spans="1:6" x14ac:dyDescent="0.25">
      <c r="A353" s="47" t="s">
        <v>1336</v>
      </c>
      <c r="B353" s="47" t="s">
        <v>1337</v>
      </c>
      <c r="C353" s="47" t="s">
        <v>1338</v>
      </c>
      <c r="D353" s="47" t="s">
        <v>1339</v>
      </c>
      <c r="E353" s="64">
        <v>51558.89</v>
      </c>
      <c r="F353" s="64">
        <v>167.9</v>
      </c>
    </row>
    <row r="354" spans="1:6" x14ac:dyDescent="0.25">
      <c r="A354" s="47" t="s">
        <v>1340</v>
      </c>
      <c r="B354" s="47" t="s">
        <v>1341</v>
      </c>
      <c r="C354" s="47" t="s">
        <v>1342</v>
      </c>
      <c r="D354" s="47" t="s">
        <v>1343</v>
      </c>
      <c r="E354" s="64">
        <v>59246.63</v>
      </c>
      <c r="F354" s="64">
        <v>263.20833333333331</v>
      </c>
    </row>
    <row r="355" spans="1:6" x14ac:dyDescent="0.25">
      <c r="A355" s="47" t="s">
        <v>1344</v>
      </c>
      <c r="B355" s="47" t="s">
        <v>1345</v>
      </c>
      <c r="C355" s="47" t="s">
        <v>1346</v>
      </c>
      <c r="D355" s="47" t="s">
        <v>1347</v>
      </c>
      <c r="E355" s="64">
        <v>17909.54</v>
      </c>
      <c r="F355" s="64">
        <v>1</v>
      </c>
    </row>
    <row r="356" spans="1:6" x14ac:dyDescent="0.25">
      <c r="A356" s="47" t="s">
        <v>1348</v>
      </c>
      <c r="B356" s="47" t="s">
        <v>1349</v>
      </c>
      <c r="C356" s="47" t="s">
        <v>1350</v>
      </c>
      <c r="D356" s="47" t="s">
        <v>1351</v>
      </c>
      <c r="E356" s="64">
        <v>58677.400000000009</v>
      </c>
      <c r="F356" s="64">
        <v>0.43</v>
      </c>
    </row>
    <row r="357" spans="1:6" x14ac:dyDescent="0.25">
      <c r="A357" s="47" t="s">
        <v>1352</v>
      </c>
      <c r="B357" s="47" t="s">
        <v>1353</v>
      </c>
      <c r="C357" s="47" t="s">
        <v>1354</v>
      </c>
      <c r="D357" s="47" t="s">
        <v>1355</v>
      </c>
      <c r="E357" s="64">
        <v>53993.179999999993</v>
      </c>
      <c r="F357" s="64">
        <v>60.666666666666664</v>
      </c>
    </row>
    <row r="358" spans="1:6" x14ac:dyDescent="0.25">
      <c r="A358" s="47" t="s">
        <v>1356</v>
      </c>
      <c r="B358" s="47" t="s">
        <v>1357</v>
      </c>
      <c r="C358" s="47" t="s">
        <v>1358</v>
      </c>
      <c r="D358" s="47" t="s">
        <v>738</v>
      </c>
      <c r="E358" s="64">
        <v>48447.28</v>
      </c>
      <c r="F358" s="64">
        <v>14.804833333333335</v>
      </c>
    </row>
    <row r="359" spans="1:6" x14ac:dyDescent="0.25">
      <c r="A359" s="47" t="s">
        <v>1359</v>
      </c>
      <c r="B359" s="47" t="s">
        <v>1360</v>
      </c>
      <c r="C359" s="47" t="s">
        <v>1361</v>
      </c>
      <c r="D359" s="47" t="s">
        <v>1362</v>
      </c>
      <c r="E359" s="64">
        <v>71721.23000000001</v>
      </c>
      <c r="F359" s="64">
        <v>0.67</v>
      </c>
    </row>
    <row r="360" spans="1:6" x14ac:dyDescent="0.25">
      <c r="A360" s="47" t="s">
        <v>1363</v>
      </c>
      <c r="B360" s="47" t="s">
        <v>1364</v>
      </c>
      <c r="C360" s="47" t="s">
        <v>1365</v>
      </c>
      <c r="D360" s="47" t="s">
        <v>1366</v>
      </c>
      <c r="E360" s="64">
        <v>24245.285</v>
      </c>
      <c r="F360" s="64">
        <v>0.82</v>
      </c>
    </row>
    <row r="361" spans="1:6" x14ac:dyDescent="0.25">
      <c r="A361" s="47" t="s">
        <v>1367</v>
      </c>
      <c r="B361" s="47" t="s">
        <v>1368</v>
      </c>
      <c r="C361" s="47" t="s">
        <v>1369</v>
      </c>
      <c r="D361" s="47" t="s">
        <v>1370</v>
      </c>
      <c r="E361" s="64">
        <v>184899.31999999998</v>
      </c>
      <c r="F361" s="64">
        <v>2.8</v>
      </c>
    </row>
    <row r="362" spans="1:6" x14ac:dyDescent="0.25">
      <c r="A362" s="47" t="s">
        <v>1371</v>
      </c>
      <c r="B362" s="47" t="s">
        <v>1372</v>
      </c>
      <c r="C362" s="47" t="s">
        <v>1373</v>
      </c>
      <c r="D362" s="47" t="s">
        <v>1122</v>
      </c>
      <c r="E362" s="64">
        <v>25357.584999999999</v>
      </c>
      <c r="F362" s="64">
        <v>229</v>
      </c>
    </row>
    <row r="363" spans="1:6" x14ac:dyDescent="0.25">
      <c r="A363" s="47" t="s">
        <v>1374</v>
      </c>
      <c r="B363" s="47" t="s">
        <v>1375</v>
      </c>
      <c r="C363" s="47" t="s">
        <v>1376</v>
      </c>
      <c r="D363" s="47" t="s">
        <v>1377</v>
      </c>
      <c r="E363" s="64">
        <v>21390.07</v>
      </c>
      <c r="F363" s="64">
        <v>0.94</v>
      </c>
    </row>
    <row r="364" spans="1:6" x14ac:dyDescent="0.25">
      <c r="A364" s="47" t="s">
        <v>1378</v>
      </c>
      <c r="B364" s="47" t="s">
        <v>1379</v>
      </c>
      <c r="C364" s="47" t="s">
        <v>1380</v>
      </c>
      <c r="D364" s="47" t="s">
        <v>535</v>
      </c>
      <c r="E364" s="64">
        <v>23455.869999999995</v>
      </c>
      <c r="F364" s="64">
        <v>2</v>
      </c>
    </row>
    <row r="365" spans="1:6" x14ac:dyDescent="0.25">
      <c r="A365" s="47" t="s">
        <v>1381</v>
      </c>
      <c r="B365" s="47" t="s">
        <v>1382</v>
      </c>
      <c r="C365" s="47" t="s">
        <v>1383</v>
      </c>
      <c r="D365" s="47" t="s">
        <v>1384</v>
      </c>
      <c r="E365" s="64">
        <v>22532.61</v>
      </c>
      <c r="F365" s="64">
        <v>0.65</v>
      </c>
    </row>
    <row r="366" spans="1:6" x14ac:dyDescent="0.25">
      <c r="A366" s="47" t="s">
        <v>1385</v>
      </c>
      <c r="B366" s="47" t="s">
        <v>1386</v>
      </c>
      <c r="C366" s="47" t="s">
        <v>1387</v>
      </c>
      <c r="D366" s="47" t="s">
        <v>1388</v>
      </c>
      <c r="E366" s="64">
        <v>60372.310000000005</v>
      </c>
      <c r="F366" s="64">
        <v>3.8510000000000004</v>
      </c>
    </row>
    <row r="367" spans="1:6" x14ac:dyDescent="0.25">
      <c r="A367" s="47" t="s">
        <v>1389</v>
      </c>
      <c r="B367" s="47" t="s">
        <v>1390</v>
      </c>
      <c r="C367" s="47" t="s">
        <v>1391</v>
      </c>
      <c r="D367" s="47" t="s">
        <v>805</v>
      </c>
      <c r="E367" s="64">
        <v>23790.424999999999</v>
      </c>
      <c r="F367" s="64">
        <v>5.2</v>
      </c>
    </row>
    <row r="368" spans="1:6" x14ac:dyDescent="0.25">
      <c r="A368" s="47" t="s">
        <v>1392</v>
      </c>
      <c r="B368" s="47" t="s">
        <v>1393</v>
      </c>
      <c r="C368" s="47" t="s">
        <v>1394</v>
      </c>
      <c r="D368" s="47" t="s">
        <v>798</v>
      </c>
      <c r="E368" s="64">
        <v>24928.695</v>
      </c>
      <c r="F368" s="64">
        <v>750</v>
      </c>
    </row>
    <row r="369" spans="1:6" x14ac:dyDescent="0.25">
      <c r="A369" s="47" t="s">
        <v>1395</v>
      </c>
      <c r="B369" s="47" t="s">
        <v>1396</v>
      </c>
      <c r="C369" s="47" t="s">
        <v>1397</v>
      </c>
      <c r="D369" s="47" t="s">
        <v>1398</v>
      </c>
      <c r="E369" s="64">
        <v>39873.72</v>
      </c>
      <c r="F369" s="64">
        <v>5.3149999999999995</v>
      </c>
    </row>
    <row r="370" spans="1:6" x14ac:dyDescent="0.25">
      <c r="A370" s="47" t="s">
        <v>1399</v>
      </c>
      <c r="B370" s="47" t="s">
        <v>1400</v>
      </c>
      <c r="C370" s="47" t="s">
        <v>1401</v>
      </c>
      <c r="D370" s="47" t="s">
        <v>1402</v>
      </c>
      <c r="E370" s="64">
        <v>37813.75</v>
      </c>
      <c r="F370" s="64">
        <v>0.64</v>
      </c>
    </row>
    <row r="371" spans="1:6" x14ac:dyDescent="0.25">
      <c r="A371" s="47" t="s">
        <v>1403</v>
      </c>
      <c r="B371" s="47" t="s">
        <v>1404</v>
      </c>
      <c r="C371" s="47" t="s">
        <v>1405</v>
      </c>
      <c r="D371" s="47" t="s">
        <v>1406</v>
      </c>
      <c r="E371" s="64">
        <v>23275.430000000004</v>
      </c>
      <c r="F371" s="64">
        <v>25.7</v>
      </c>
    </row>
    <row r="372" spans="1:6" x14ac:dyDescent="0.25">
      <c r="A372" s="47" t="s">
        <v>1407</v>
      </c>
      <c r="B372" s="47" t="s">
        <v>1408</v>
      </c>
      <c r="C372" s="47" t="s">
        <v>1409</v>
      </c>
      <c r="D372" s="47" t="s">
        <v>1410</v>
      </c>
      <c r="E372" s="64">
        <v>34892.04</v>
      </c>
      <c r="F372" s="64">
        <v>9201.8125</v>
      </c>
    </row>
    <row r="373" spans="1:6" x14ac:dyDescent="0.25">
      <c r="A373" s="47" t="s">
        <v>1411</v>
      </c>
      <c r="B373" s="47" t="s">
        <v>1412</v>
      </c>
      <c r="C373" s="47" t="s">
        <v>1413</v>
      </c>
      <c r="D373" s="47" t="s">
        <v>1414</v>
      </c>
      <c r="E373" s="64">
        <v>51049.08</v>
      </c>
      <c r="F373" s="64">
        <v>370</v>
      </c>
    </row>
    <row r="374" spans="1:6" x14ac:dyDescent="0.25">
      <c r="A374" s="47" t="s">
        <v>1415</v>
      </c>
      <c r="B374" s="47" t="s">
        <v>1416</v>
      </c>
      <c r="C374" s="47" t="s">
        <v>1417</v>
      </c>
      <c r="D374" s="47" t="s">
        <v>1418</v>
      </c>
      <c r="E374" s="64">
        <v>37145.479999999996</v>
      </c>
      <c r="F374" s="64">
        <v>213.43394333333333</v>
      </c>
    </row>
    <row r="375" spans="1:6" x14ac:dyDescent="0.25">
      <c r="A375" s="47" t="s">
        <v>1419</v>
      </c>
      <c r="B375" s="47" t="s">
        <v>1420</v>
      </c>
      <c r="C375" s="47" t="s">
        <v>1421</v>
      </c>
      <c r="D375" s="47" t="s">
        <v>1418</v>
      </c>
      <c r="E375" s="64">
        <v>37145.479999999996</v>
      </c>
      <c r="F375" s="64">
        <v>7.3275000000000006</v>
      </c>
    </row>
    <row r="376" spans="1:6" x14ac:dyDescent="0.25">
      <c r="A376" s="47" t="s">
        <v>1422</v>
      </c>
      <c r="B376" s="47" t="s">
        <v>1423</v>
      </c>
      <c r="C376" s="47" t="s">
        <v>1424</v>
      </c>
      <c r="D376" s="47" t="s">
        <v>1015</v>
      </c>
      <c r="E376" s="64">
        <v>35368.444999999992</v>
      </c>
      <c r="F376" s="64">
        <v>27.274999999999999</v>
      </c>
    </row>
    <row r="377" spans="1:6" x14ac:dyDescent="0.25">
      <c r="A377" s="47" t="s">
        <v>1425</v>
      </c>
      <c r="B377" s="47" t="s">
        <v>1426</v>
      </c>
      <c r="C377" s="47" t="s">
        <v>1427</v>
      </c>
      <c r="D377" s="47" t="s">
        <v>1015</v>
      </c>
      <c r="E377" s="64">
        <v>35368.444999999992</v>
      </c>
      <c r="F377" s="64">
        <v>29.733333333333334</v>
      </c>
    </row>
    <row r="378" spans="1:6" x14ac:dyDescent="0.25">
      <c r="A378" s="47" t="s">
        <v>1428</v>
      </c>
      <c r="B378" s="47" t="s">
        <v>1429</v>
      </c>
      <c r="C378" s="47" t="s">
        <v>1430</v>
      </c>
      <c r="D378" s="47" t="s">
        <v>1431</v>
      </c>
      <c r="E378" s="64">
        <v>42346.11</v>
      </c>
      <c r="F378" s="64">
        <v>2700</v>
      </c>
    </row>
    <row r="379" spans="1:6" x14ac:dyDescent="0.25">
      <c r="A379" s="47" t="s">
        <v>1432</v>
      </c>
      <c r="B379" s="47" t="s">
        <v>1433</v>
      </c>
      <c r="C379" s="47" t="s">
        <v>1434</v>
      </c>
      <c r="D379" s="47" t="s">
        <v>1435</v>
      </c>
      <c r="E379" s="64">
        <v>36396.5</v>
      </c>
      <c r="F379" s="64">
        <v>11.5</v>
      </c>
    </row>
    <row r="380" spans="1:6" x14ac:dyDescent="0.25">
      <c r="A380" s="47" t="s">
        <v>1436</v>
      </c>
      <c r="B380" s="47" t="s">
        <v>1437</v>
      </c>
      <c r="C380" s="47" t="s">
        <v>1438</v>
      </c>
      <c r="D380" s="47" t="s">
        <v>1435</v>
      </c>
      <c r="E380" s="64">
        <v>36396.5</v>
      </c>
      <c r="F380" s="64">
        <v>1.42</v>
      </c>
    </row>
    <row r="381" spans="1:6" x14ac:dyDescent="0.25">
      <c r="A381" s="47" t="s">
        <v>1439</v>
      </c>
      <c r="B381" s="47" t="s">
        <v>1440</v>
      </c>
      <c r="C381" s="47" t="s">
        <v>1441</v>
      </c>
      <c r="D381" s="47" t="s">
        <v>1442</v>
      </c>
      <c r="E381" s="64">
        <v>63737.579999999994</v>
      </c>
      <c r="F381" s="64">
        <v>141.19999999999999</v>
      </c>
    </row>
    <row r="382" spans="1:6" x14ac:dyDescent="0.25">
      <c r="A382" s="47" t="s">
        <v>1443</v>
      </c>
      <c r="B382" s="47" t="s">
        <v>1444</v>
      </c>
      <c r="C382" s="47" t="s">
        <v>1445</v>
      </c>
      <c r="D382" s="47" t="s">
        <v>1446</v>
      </c>
      <c r="E382" s="64">
        <v>47343.43</v>
      </c>
      <c r="F382" s="64">
        <v>1.59</v>
      </c>
    </row>
    <row r="383" spans="1:6" x14ac:dyDescent="0.25">
      <c r="A383" s="47" t="s">
        <v>1447</v>
      </c>
      <c r="B383" s="47" t="s">
        <v>1448</v>
      </c>
      <c r="C383" s="47" t="s">
        <v>1449</v>
      </c>
      <c r="D383" s="47" t="s">
        <v>1450</v>
      </c>
      <c r="E383" s="64">
        <v>40947.979999999996</v>
      </c>
      <c r="F383" s="64">
        <v>95.875</v>
      </c>
    </row>
    <row r="384" spans="1:6" x14ac:dyDescent="0.25">
      <c r="A384" s="47" t="s">
        <v>1451</v>
      </c>
      <c r="B384" s="47" t="s">
        <v>1452</v>
      </c>
      <c r="C384" s="47" t="s">
        <v>1453</v>
      </c>
      <c r="D384" s="47" t="s">
        <v>1454</v>
      </c>
      <c r="E384" s="64">
        <v>35259.590000000004</v>
      </c>
      <c r="F384" s="64">
        <v>24</v>
      </c>
    </row>
    <row r="385" spans="1:6" x14ac:dyDescent="0.25">
      <c r="A385" s="47" t="s">
        <v>1455</v>
      </c>
      <c r="B385" s="47" t="s">
        <v>1456</v>
      </c>
      <c r="C385" s="47" t="s">
        <v>1457</v>
      </c>
      <c r="D385" s="47" t="s">
        <v>1458</v>
      </c>
      <c r="E385" s="64">
        <v>49653.264999999992</v>
      </c>
      <c r="F385" s="64">
        <v>0.82</v>
      </c>
    </row>
    <row r="386" spans="1:6" x14ac:dyDescent="0.25">
      <c r="A386" s="47" t="s">
        <v>1459</v>
      </c>
      <c r="B386" s="47" t="s">
        <v>1460</v>
      </c>
      <c r="C386" s="47" t="s">
        <v>1461</v>
      </c>
      <c r="D386" s="47" t="s">
        <v>1462</v>
      </c>
      <c r="E386" s="64">
        <v>42977.395000000004</v>
      </c>
      <c r="F386" s="64">
        <v>417</v>
      </c>
    </row>
    <row r="387" spans="1:6" x14ac:dyDescent="0.25">
      <c r="A387" s="47" t="s">
        <v>1463</v>
      </c>
      <c r="B387" s="47" t="s">
        <v>1464</v>
      </c>
      <c r="C387" s="47" t="s">
        <v>1465</v>
      </c>
      <c r="D387" s="47" t="s">
        <v>1466</v>
      </c>
      <c r="E387" s="64">
        <v>34773.479999999996</v>
      </c>
      <c r="F387" s="64">
        <v>3.7</v>
      </c>
    </row>
    <row r="388" spans="1:6" x14ac:dyDescent="0.25">
      <c r="A388" s="47" t="s">
        <v>1467</v>
      </c>
      <c r="B388" s="47" t="s">
        <v>1468</v>
      </c>
      <c r="C388" s="47" t="s">
        <v>1469</v>
      </c>
      <c r="D388" s="47" t="s">
        <v>1470</v>
      </c>
      <c r="E388" s="64">
        <v>41037.589999999997</v>
      </c>
      <c r="F388" s="64">
        <v>9.1</v>
      </c>
    </row>
    <row r="389" spans="1:6" x14ac:dyDescent="0.25">
      <c r="A389" s="47" t="s">
        <v>1471</v>
      </c>
      <c r="B389" s="47" t="s">
        <v>1472</v>
      </c>
      <c r="C389" s="47" t="s">
        <v>1473</v>
      </c>
      <c r="D389" s="47" t="s">
        <v>1466</v>
      </c>
      <c r="E389" s="64">
        <v>34773.479999999996</v>
      </c>
      <c r="F389" s="64">
        <v>3.7</v>
      </c>
    </row>
    <row r="390" spans="1:6" x14ac:dyDescent="0.25">
      <c r="A390" s="47" t="s">
        <v>1474</v>
      </c>
      <c r="B390" s="47" t="s">
        <v>1475</v>
      </c>
      <c r="C390" s="47" t="s">
        <v>1476</v>
      </c>
      <c r="D390" s="47" t="s">
        <v>1477</v>
      </c>
      <c r="E390" s="64">
        <v>30207.64</v>
      </c>
      <c r="F390" s="64">
        <v>128</v>
      </c>
    </row>
    <row r="391" spans="1:6" x14ac:dyDescent="0.25">
      <c r="A391" s="47" t="s">
        <v>1478</v>
      </c>
      <c r="B391" s="47" t="s">
        <v>1479</v>
      </c>
      <c r="C391" s="47" t="s">
        <v>1480</v>
      </c>
      <c r="D391" s="47" t="s">
        <v>1481</v>
      </c>
      <c r="E391" s="64">
        <v>28755.800000000007</v>
      </c>
      <c r="F391" s="64">
        <v>5.35</v>
      </c>
    </row>
    <row r="392" spans="1:6" x14ac:dyDescent="0.25">
      <c r="A392" s="47" t="s">
        <v>1482</v>
      </c>
      <c r="B392" s="47" t="s">
        <v>1483</v>
      </c>
      <c r="C392" s="47" t="s">
        <v>1484</v>
      </c>
      <c r="D392" s="47" t="s">
        <v>1485</v>
      </c>
      <c r="E392" s="64">
        <v>33622.720000000001</v>
      </c>
      <c r="F392" s="64">
        <v>18.3</v>
      </c>
    </row>
    <row r="393" spans="1:6" x14ac:dyDescent="0.25">
      <c r="A393" s="47" t="s">
        <v>1486</v>
      </c>
      <c r="B393" s="47" t="s">
        <v>1487</v>
      </c>
      <c r="C393" s="47" t="s">
        <v>1488</v>
      </c>
      <c r="D393" s="47" t="s">
        <v>1489</v>
      </c>
      <c r="E393" s="64">
        <v>43542.633999999998</v>
      </c>
      <c r="F393" s="64">
        <v>17.136666666666667</v>
      </c>
    </row>
    <row r="394" spans="1:6" x14ac:dyDescent="0.25">
      <c r="A394" s="47" t="s">
        <v>1490</v>
      </c>
      <c r="B394" s="47" t="s">
        <v>1491</v>
      </c>
      <c r="C394" s="47" t="s">
        <v>1492</v>
      </c>
      <c r="D394" s="47" t="s">
        <v>1493</v>
      </c>
      <c r="E394" s="64">
        <v>47112.469999999994</v>
      </c>
      <c r="F394" s="64">
        <v>5.42</v>
      </c>
    </row>
    <row r="395" spans="1:6" x14ac:dyDescent="0.25">
      <c r="A395" s="47" t="s">
        <v>1494</v>
      </c>
      <c r="B395" s="47" t="s">
        <v>1495</v>
      </c>
      <c r="C395" s="47" t="s">
        <v>1496</v>
      </c>
      <c r="D395" s="47" t="s">
        <v>1497</v>
      </c>
      <c r="E395" s="64">
        <v>35726.17</v>
      </c>
      <c r="F395" s="64">
        <v>25.7</v>
      </c>
    </row>
    <row r="396" spans="1:6" x14ac:dyDescent="0.25">
      <c r="A396" s="47" t="s">
        <v>1498</v>
      </c>
      <c r="B396" s="47" t="s">
        <v>1499</v>
      </c>
      <c r="C396" s="47" t="s">
        <v>1500</v>
      </c>
      <c r="D396" s="47" t="s">
        <v>1501</v>
      </c>
      <c r="E396" s="64">
        <v>43110.16</v>
      </c>
      <c r="F396" s="64">
        <v>48015.625</v>
      </c>
    </row>
    <row r="397" spans="1:6" x14ac:dyDescent="0.25">
      <c r="A397" s="47" t="s">
        <v>1502</v>
      </c>
      <c r="B397" s="47" t="s">
        <v>1503</v>
      </c>
      <c r="C397" s="47" t="s">
        <v>1504</v>
      </c>
      <c r="D397" s="47" t="s">
        <v>1505</v>
      </c>
      <c r="E397" s="64">
        <v>38515.046666666662</v>
      </c>
      <c r="F397" s="64">
        <v>122</v>
      </c>
    </row>
    <row r="398" spans="1:6" x14ac:dyDescent="0.25">
      <c r="A398" s="47" t="s">
        <v>1506</v>
      </c>
      <c r="B398" s="47" t="s">
        <v>1507</v>
      </c>
      <c r="C398" s="47" t="s">
        <v>1508</v>
      </c>
      <c r="D398" s="47" t="s">
        <v>1509</v>
      </c>
      <c r="E398" s="64">
        <v>17581.2</v>
      </c>
      <c r="F398" s="64">
        <v>4.0999999999999996</v>
      </c>
    </row>
    <row r="399" spans="1:6" x14ac:dyDescent="0.25">
      <c r="A399" s="47" t="s">
        <v>1510</v>
      </c>
      <c r="B399" s="47" t="s">
        <v>1511</v>
      </c>
      <c r="C399" s="47" t="s">
        <v>1512</v>
      </c>
      <c r="D399" s="47" t="s">
        <v>1513</v>
      </c>
      <c r="E399" s="64">
        <v>23361.370000000003</v>
      </c>
      <c r="F399" s="64">
        <v>11.65</v>
      </c>
    </row>
    <row r="400" spans="1:6" x14ac:dyDescent="0.25">
      <c r="A400" s="47" t="s">
        <v>1514</v>
      </c>
      <c r="B400" s="47" t="s">
        <v>1515</v>
      </c>
      <c r="C400" s="47" t="s">
        <v>1516</v>
      </c>
      <c r="D400" s="47" t="s">
        <v>1517</v>
      </c>
      <c r="E400" s="64">
        <v>143811.10999999999</v>
      </c>
      <c r="F400" s="64">
        <v>5.16</v>
      </c>
    </row>
    <row r="401" spans="1:6" x14ac:dyDescent="0.25">
      <c r="A401" s="47" t="s">
        <v>1518</v>
      </c>
      <c r="B401" s="47" t="s">
        <v>1519</v>
      </c>
      <c r="C401" s="47" t="s">
        <v>1520</v>
      </c>
      <c r="D401" s="47" t="s">
        <v>1521</v>
      </c>
      <c r="E401" s="64">
        <v>21886.389999999996</v>
      </c>
      <c r="F401" s="64">
        <v>8.6999999999999993</v>
      </c>
    </row>
    <row r="402" spans="1:6" x14ac:dyDescent="0.25">
      <c r="A402" s="47" t="s">
        <v>1522</v>
      </c>
      <c r="B402" s="47" t="s">
        <v>1523</v>
      </c>
      <c r="C402" s="47" t="s">
        <v>1524</v>
      </c>
      <c r="D402" s="47" t="s">
        <v>1521</v>
      </c>
      <c r="E402" s="64">
        <v>21886.389999999996</v>
      </c>
      <c r="F402" s="64">
        <v>8.6999999999999993</v>
      </c>
    </row>
    <row r="403" spans="1:6" x14ac:dyDescent="0.25">
      <c r="A403" s="47" t="s">
        <v>1525</v>
      </c>
      <c r="B403" s="47" t="s">
        <v>1526</v>
      </c>
      <c r="C403" s="47" t="s">
        <v>1527</v>
      </c>
      <c r="D403" s="47" t="s">
        <v>1528</v>
      </c>
      <c r="E403" s="64">
        <v>24219.69</v>
      </c>
      <c r="F403" s="64">
        <v>32.4876</v>
      </c>
    </row>
    <row r="404" spans="1:6" x14ac:dyDescent="0.25">
      <c r="A404" s="47" t="s">
        <v>1529</v>
      </c>
      <c r="B404" s="47" t="s">
        <v>1530</v>
      </c>
      <c r="C404" s="47" t="s">
        <v>1531</v>
      </c>
      <c r="D404" s="47" t="s">
        <v>1532</v>
      </c>
      <c r="E404" s="64">
        <v>70378.985000000001</v>
      </c>
      <c r="F404" s="64">
        <v>48.1</v>
      </c>
    </row>
    <row r="405" spans="1:6" x14ac:dyDescent="0.25">
      <c r="A405" s="47" t="s">
        <v>1533</v>
      </c>
      <c r="B405" s="47" t="s">
        <v>1534</v>
      </c>
      <c r="C405" s="47" t="s">
        <v>1535</v>
      </c>
      <c r="D405" s="47" t="s">
        <v>1536</v>
      </c>
      <c r="E405" s="64">
        <v>29174.44</v>
      </c>
      <c r="F405" s="64">
        <v>14.45</v>
      </c>
    </row>
    <row r="406" spans="1:6" x14ac:dyDescent="0.25">
      <c r="A406" s="47" t="s">
        <v>1537</v>
      </c>
      <c r="B406" s="47" t="s">
        <v>1538</v>
      </c>
      <c r="C406" s="47" t="s">
        <v>1539</v>
      </c>
      <c r="D406" s="47" t="s">
        <v>1540</v>
      </c>
      <c r="E406" s="64">
        <v>22409.264999999999</v>
      </c>
      <c r="F406" s="64">
        <v>11.600000000000001</v>
      </c>
    </row>
    <row r="407" spans="1:6" x14ac:dyDescent="0.25">
      <c r="A407" s="47" t="s">
        <v>1541</v>
      </c>
      <c r="B407" s="47" t="s">
        <v>1542</v>
      </c>
      <c r="C407" s="47" t="s">
        <v>1543</v>
      </c>
      <c r="D407" s="47" t="s">
        <v>1544</v>
      </c>
      <c r="E407" s="64">
        <v>56072.39</v>
      </c>
      <c r="F407" s="64">
        <v>23.65</v>
      </c>
    </row>
    <row r="408" spans="1:6" x14ac:dyDescent="0.25">
      <c r="A408" s="47" t="s">
        <v>1545</v>
      </c>
      <c r="B408" s="47" t="s">
        <v>1546</v>
      </c>
      <c r="C408" s="47" t="s">
        <v>1547</v>
      </c>
      <c r="D408" s="47" t="s">
        <v>1548</v>
      </c>
      <c r="E408" s="64">
        <v>41137.859999999993</v>
      </c>
      <c r="F408" s="64">
        <v>9.5500000000000007</v>
      </c>
    </row>
    <row r="409" spans="1:6" x14ac:dyDescent="0.25">
      <c r="A409" s="47" t="s">
        <v>1549</v>
      </c>
      <c r="B409" s="47" t="s">
        <v>1550</v>
      </c>
      <c r="C409" s="47" t="s">
        <v>1551</v>
      </c>
      <c r="D409" s="47" t="s">
        <v>1552</v>
      </c>
      <c r="E409" s="64">
        <v>36360.57</v>
      </c>
      <c r="F409" s="64">
        <v>113.1567</v>
      </c>
    </row>
    <row r="410" spans="1:6" x14ac:dyDescent="0.25">
      <c r="A410" s="47" t="s">
        <v>1553</v>
      </c>
      <c r="B410" s="47" t="s">
        <v>1554</v>
      </c>
      <c r="C410" s="47" t="s">
        <v>1555</v>
      </c>
      <c r="D410" s="47" t="s">
        <v>1556</v>
      </c>
      <c r="E410" s="64">
        <v>50655.650000000009</v>
      </c>
      <c r="F410" s="64">
        <v>7.3875000000000002</v>
      </c>
    </row>
    <row r="411" spans="1:6" x14ac:dyDescent="0.25">
      <c r="A411" s="47" t="s">
        <v>1557</v>
      </c>
      <c r="B411" s="47" t="s">
        <v>1558</v>
      </c>
      <c r="C411" s="47" t="s">
        <v>1559</v>
      </c>
      <c r="D411" s="47" t="s">
        <v>1560</v>
      </c>
      <c r="E411" s="64">
        <v>64974.729999999996</v>
      </c>
      <c r="F411" s="64">
        <v>2.87E-2</v>
      </c>
    </row>
    <row r="412" spans="1:6" x14ac:dyDescent="0.25">
      <c r="A412" s="47" t="s">
        <v>1561</v>
      </c>
      <c r="B412" s="47" t="s">
        <v>1562</v>
      </c>
      <c r="C412" s="47" t="s">
        <v>1563</v>
      </c>
      <c r="D412" s="47" t="s">
        <v>1564</v>
      </c>
      <c r="E412" s="64">
        <v>52257.29</v>
      </c>
      <c r="F412" s="64">
        <v>14.804833333333335</v>
      </c>
    </row>
    <row r="413" spans="1:6" x14ac:dyDescent="0.25">
      <c r="A413" s="47" t="s">
        <v>1565</v>
      </c>
      <c r="B413" s="47" t="s">
        <v>1566</v>
      </c>
      <c r="C413" s="47" t="s">
        <v>1567</v>
      </c>
      <c r="D413" s="47" t="s">
        <v>1568</v>
      </c>
      <c r="E413" s="64">
        <v>23498.229999999996</v>
      </c>
      <c r="F413" s="64">
        <v>19</v>
      </c>
    </row>
    <row r="414" spans="1:6" x14ac:dyDescent="0.25">
      <c r="A414" s="47" t="s">
        <v>1569</v>
      </c>
      <c r="B414" s="47" t="s">
        <v>1570</v>
      </c>
      <c r="C414" s="47" t="s">
        <v>1571</v>
      </c>
      <c r="D414" s="47" t="s">
        <v>1572</v>
      </c>
      <c r="E414" s="64">
        <v>70720.05</v>
      </c>
      <c r="F414" s="64">
        <v>51.466666666666669</v>
      </c>
    </row>
    <row r="415" spans="1:6" x14ac:dyDescent="0.25">
      <c r="A415" s="47" t="s">
        <v>1573</v>
      </c>
      <c r="B415" s="47" t="s">
        <v>1574</v>
      </c>
      <c r="C415" s="47" t="s">
        <v>1575</v>
      </c>
      <c r="D415" s="47" t="s">
        <v>1576</v>
      </c>
      <c r="E415" s="64">
        <v>32941.32</v>
      </c>
      <c r="F415" s="64">
        <v>23.875999999999998</v>
      </c>
    </row>
    <row r="416" spans="1:6" x14ac:dyDescent="0.25">
      <c r="A416" s="47" t="s">
        <v>1577</v>
      </c>
      <c r="B416" s="47" t="s">
        <v>1578</v>
      </c>
      <c r="C416" s="47" t="s">
        <v>1579</v>
      </c>
      <c r="D416" s="47" t="s">
        <v>1580</v>
      </c>
      <c r="E416" s="64">
        <v>36037.509999999995</v>
      </c>
      <c r="F416" s="64">
        <v>23</v>
      </c>
    </row>
    <row r="417" spans="1:6" x14ac:dyDescent="0.25">
      <c r="A417" s="47" t="s">
        <v>1581</v>
      </c>
      <c r="B417" s="47" t="s">
        <v>1582</v>
      </c>
      <c r="C417" s="47" t="s">
        <v>1583</v>
      </c>
      <c r="D417" s="47" t="s">
        <v>1584</v>
      </c>
      <c r="E417" s="64">
        <v>53342.11</v>
      </c>
      <c r="F417" s="64">
        <v>1.3</v>
      </c>
    </row>
    <row r="418" spans="1:6" x14ac:dyDescent="0.25">
      <c r="A418" s="47" t="s">
        <v>1585</v>
      </c>
      <c r="B418" s="47" t="s">
        <v>1586</v>
      </c>
      <c r="C418" s="47" t="s">
        <v>1587</v>
      </c>
      <c r="D418" s="47" t="s">
        <v>1588</v>
      </c>
      <c r="E418" s="64">
        <v>53624.349999999991</v>
      </c>
      <c r="F418" s="64">
        <v>16.616666666666664</v>
      </c>
    </row>
    <row r="419" spans="1:6" x14ac:dyDescent="0.25">
      <c r="A419" s="47" t="s">
        <v>1589</v>
      </c>
      <c r="B419" s="47" t="s">
        <v>1590</v>
      </c>
      <c r="C419" s="47" t="s">
        <v>1591</v>
      </c>
      <c r="D419" s="47" t="s">
        <v>1592</v>
      </c>
      <c r="E419" s="64">
        <v>46972.29</v>
      </c>
      <c r="F419" s="64">
        <v>19.599999999999998</v>
      </c>
    </row>
    <row r="420" spans="1:6" x14ac:dyDescent="0.25">
      <c r="A420" s="47" t="s">
        <v>1593</v>
      </c>
      <c r="B420" s="47" t="s">
        <v>1594</v>
      </c>
      <c r="C420" s="47" t="s">
        <v>1595</v>
      </c>
      <c r="D420" s="47" t="s">
        <v>1596</v>
      </c>
      <c r="E420" s="64">
        <v>18169.03</v>
      </c>
      <c r="F420" s="64">
        <v>1.7999999999999999E-2</v>
      </c>
    </row>
    <row r="421" spans="1:6" x14ac:dyDescent="0.25">
      <c r="A421" s="47" t="s">
        <v>1597</v>
      </c>
      <c r="B421" s="47" t="s">
        <v>1598</v>
      </c>
      <c r="C421" s="47" t="s">
        <v>1599</v>
      </c>
      <c r="D421" s="47" t="s">
        <v>1600</v>
      </c>
      <c r="E421" s="64">
        <v>28889.059999999998</v>
      </c>
      <c r="F421" s="64">
        <v>60.5</v>
      </c>
    </row>
    <row r="422" spans="1:6" x14ac:dyDescent="0.25">
      <c r="A422" s="47" t="s">
        <v>1601</v>
      </c>
      <c r="B422" s="47" t="s">
        <v>1602</v>
      </c>
      <c r="C422" s="47" t="s">
        <v>1603</v>
      </c>
      <c r="D422" s="47" t="s">
        <v>1604</v>
      </c>
      <c r="E422" s="64">
        <v>36469.42</v>
      </c>
      <c r="F422" s="64">
        <v>5.6</v>
      </c>
    </row>
    <row r="423" spans="1:6" x14ac:dyDescent="0.25">
      <c r="A423" s="47" t="s">
        <v>1605</v>
      </c>
      <c r="B423" s="47" t="s">
        <v>1606</v>
      </c>
      <c r="C423" s="47" t="s">
        <v>1607</v>
      </c>
      <c r="D423" s="47" t="s">
        <v>1608</v>
      </c>
      <c r="E423" s="64">
        <v>62183.86</v>
      </c>
      <c r="F423" s="64">
        <v>117.0090215438596</v>
      </c>
    </row>
    <row r="424" spans="1:6" x14ac:dyDescent="0.25">
      <c r="A424" s="47" t="s">
        <v>1609</v>
      </c>
      <c r="B424" s="47" t="s">
        <v>1610</v>
      </c>
      <c r="C424" s="47" t="s">
        <v>1611</v>
      </c>
      <c r="D424" s="47" t="s">
        <v>867</v>
      </c>
      <c r="E424" s="64">
        <v>199719.43</v>
      </c>
      <c r="F424" s="64">
        <v>1.2</v>
      </c>
    </row>
    <row r="425" spans="1:6" x14ac:dyDescent="0.25">
      <c r="A425" s="47" t="s">
        <v>1612</v>
      </c>
      <c r="B425" s="47" t="s">
        <v>1613</v>
      </c>
      <c r="C425" s="47" t="s">
        <v>1614</v>
      </c>
      <c r="D425" s="47" t="s">
        <v>1015</v>
      </c>
      <c r="E425" s="64">
        <v>35368.444999999992</v>
      </c>
      <c r="F425" s="64">
        <v>29.733333333333334</v>
      </c>
    </row>
    <row r="426" spans="1:6" x14ac:dyDescent="0.25">
      <c r="A426" s="47" t="s">
        <v>1615</v>
      </c>
      <c r="B426" s="47" t="s">
        <v>1616</v>
      </c>
      <c r="C426" s="47" t="s">
        <v>1617</v>
      </c>
      <c r="D426" s="47" t="s">
        <v>1618</v>
      </c>
      <c r="E426" s="64">
        <v>38711.209999999992</v>
      </c>
      <c r="F426" s="64">
        <v>2.71</v>
      </c>
    </row>
    <row r="427" spans="1:6" x14ac:dyDescent="0.25">
      <c r="A427" s="47" t="s">
        <v>1619</v>
      </c>
      <c r="B427" s="47" t="s">
        <v>1620</v>
      </c>
      <c r="C427" s="47" t="s">
        <v>1621</v>
      </c>
      <c r="D427" s="47" t="s">
        <v>1622</v>
      </c>
      <c r="E427" s="64">
        <v>13833.34</v>
      </c>
      <c r="F427" s="64">
        <v>0.56999999999999995</v>
      </c>
    </row>
    <row r="428" spans="1:6" x14ac:dyDescent="0.25">
      <c r="A428" s="47" t="s">
        <v>1623</v>
      </c>
      <c r="B428" s="47" t="s">
        <v>1624</v>
      </c>
      <c r="C428" s="47" t="s">
        <v>1625</v>
      </c>
      <c r="D428" s="47" t="s">
        <v>1626</v>
      </c>
      <c r="E428" s="64">
        <v>47445.87</v>
      </c>
      <c r="F428" s="64">
        <v>19.599999999999998</v>
      </c>
    </row>
    <row r="429" spans="1:6" x14ac:dyDescent="0.25">
      <c r="A429" s="47" t="s">
        <v>1627</v>
      </c>
      <c r="B429" s="47" t="s">
        <v>1628</v>
      </c>
      <c r="C429" s="47" t="s">
        <v>1629</v>
      </c>
      <c r="D429" s="47" t="s">
        <v>1630</v>
      </c>
      <c r="E429" s="64">
        <v>33954.89</v>
      </c>
      <c r="F429" s="64">
        <v>1.5</v>
      </c>
    </row>
    <row r="430" spans="1:6" x14ac:dyDescent="0.25">
      <c r="A430" s="47" t="s">
        <v>1631</v>
      </c>
      <c r="B430" s="47" t="s">
        <v>1632</v>
      </c>
      <c r="C430" s="47" t="s">
        <v>1633</v>
      </c>
      <c r="D430" s="47" t="s">
        <v>1634</v>
      </c>
      <c r="E430" s="64">
        <v>36700.43</v>
      </c>
      <c r="F430" s="64">
        <v>9.1666666666666661</v>
      </c>
    </row>
    <row r="431" spans="1:6" x14ac:dyDescent="0.25">
      <c r="A431" s="47" t="s">
        <v>1635</v>
      </c>
      <c r="B431" s="47" t="s">
        <v>1636</v>
      </c>
      <c r="C431" s="47" t="s">
        <v>1637</v>
      </c>
      <c r="D431" s="47" t="s">
        <v>1638</v>
      </c>
      <c r="E431" s="64">
        <v>33365.74</v>
      </c>
      <c r="F431" s="64">
        <v>2.7</v>
      </c>
    </row>
    <row r="432" spans="1:6" x14ac:dyDescent="0.25">
      <c r="A432" s="47" t="s">
        <v>1639</v>
      </c>
      <c r="B432" s="47" t="s">
        <v>1640</v>
      </c>
      <c r="C432" s="47" t="s">
        <v>1641</v>
      </c>
      <c r="D432" s="47" t="s">
        <v>1642</v>
      </c>
      <c r="E432" s="64">
        <v>46108.960000000006</v>
      </c>
      <c r="F432" s="64">
        <v>1.1361666666666665</v>
      </c>
    </row>
    <row r="433" spans="1:6" x14ac:dyDescent="0.25">
      <c r="A433" s="47" t="s">
        <v>1643</v>
      </c>
      <c r="B433" s="47" t="s">
        <v>1644</v>
      </c>
      <c r="C433" s="47" t="s">
        <v>1645</v>
      </c>
      <c r="D433" s="47" t="s">
        <v>1646</v>
      </c>
      <c r="E433" s="64">
        <v>40276.699999999997</v>
      </c>
      <c r="F433" s="64">
        <v>1000</v>
      </c>
    </row>
    <row r="434" spans="1:6" x14ac:dyDescent="0.25">
      <c r="A434" s="47" t="s">
        <v>1647</v>
      </c>
      <c r="B434" s="47" t="s">
        <v>1648</v>
      </c>
      <c r="C434" s="47" t="s">
        <v>1649</v>
      </c>
      <c r="D434" s="47" t="s">
        <v>1650</v>
      </c>
      <c r="E434" s="64">
        <v>34217.19</v>
      </c>
      <c r="F434" s="64">
        <v>0.66</v>
      </c>
    </row>
    <row r="435" spans="1:6" x14ac:dyDescent="0.25">
      <c r="A435" s="47" t="s">
        <v>1651</v>
      </c>
      <c r="B435" s="47" t="s">
        <v>1652</v>
      </c>
      <c r="C435" s="47" t="s">
        <v>1653</v>
      </c>
      <c r="D435" s="47" t="s">
        <v>1654</v>
      </c>
      <c r="E435" s="64">
        <v>22755.14</v>
      </c>
      <c r="F435" s="64">
        <v>90.131772727272732</v>
      </c>
    </row>
    <row r="436" spans="1:6" x14ac:dyDescent="0.25">
      <c r="A436" s="47" t="s">
        <v>1655</v>
      </c>
      <c r="B436" s="47" t="s">
        <v>1656</v>
      </c>
      <c r="C436" s="47" t="s">
        <v>1657</v>
      </c>
      <c r="D436" s="47" t="s">
        <v>1658</v>
      </c>
      <c r="E436" s="64">
        <v>26031.899999999998</v>
      </c>
      <c r="F436" s="64">
        <v>14.3</v>
      </c>
    </row>
    <row r="437" spans="1:6" x14ac:dyDescent="0.25">
      <c r="A437" s="47" t="s">
        <v>1659</v>
      </c>
      <c r="B437" s="47" t="s">
        <v>1660</v>
      </c>
      <c r="C437" s="47" t="s">
        <v>1661</v>
      </c>
      <c r="D437" s="47" t="s">
        <v>1662</v>
      </c>
      <c r="E437" s="64">
        <v>29315.819999999996</v>
      </c>
      <c r="F437" s="64">
        <v>40.1</v>
      </c>
    </row>
    <row r="438" spans="1:6" x14ac:dyDescent="0.25">
      <c r="A438" s="47" t="s">
        <v>1663</v>
      </c>
      <c r="B438" s="47" t="s">
        <v>1664</v>
      </c>
      <c r="C438" s="47" t="s">
        <v>1665</v>
      </c>
      <c r="D438" s="47" t="s">
        <v>1666</v>
      </c>
      <c r="E438" s="64">
        <v>33575.895000000004</v>
      </c>
      <c r="F438" s="64">
        <v>24</v>
      </c>
    </row>
    <row r="439" spans="1:6" x14ac:dyDescent="0.25">
      <c r="A439" s="47" t="s">
        <v>1667</v>
      </c>
      <c r="B439" s="47" t="s">
        <v>1668</v>
      </c>
      <c r="C439" s="47" t="s">
        <v>1669</v>
      </c>
      <c r="D439" s="47" t="s">
        <v>1670</v>
      </c>
      <c r="E439" s="64">
        <v>27175.050000000003</v>
      </c>
      <c r="F439" s="64">
        <v>11.4</v>
      </c>
    </row>
    <row r="440" spans="1:6" x14ac:dyDescent="0.25">
      <c r="A440" s="47" t="s">
        <v>1671</v>
      </c>
      <c r="B440" s="47" t="s">
        <v>1672</v>
      </c>
      <c r="C440" s="47" t="s">
        <v>1673</v>
      </c>
      <c r="D440" s="47" t="s">
        <v>1674</v>
      </c>
      <c r="E440" s="64">
        <v>41637.274999999994</v>
      </c>
      <c r="F440" s="64">
        <v>3.5</v>
      </c>
    </row>
    <row r="441" spans="1:6" x14ac:dyDescent="0.25">
      <c r="A441" s="47" t="s">
        <v>1675</v>
      </c>
      <c r="B441" s="47" t="s">
        <v>1676</v>
      </c>
      <c r="C441" s="47" t="s">
        <v>1677</v>
      </c>
      <c r="D441" s="47" t="s">
        <v>1678</v>
      </c>
      <c r="E441" s="64">
        <v>75510.990000000005</v>
      </c>
      <c r="F441" s="64">
        <v>28.05</v>
      </c>
    </row>
    <row r="442" spans="1:6" x14ac:dyDescent="0.25">
      <c r="A442" s="47" t="s">
        <v>1679</v>
      </c>
      <c r="B442" s="47" t="s">
        <v>1680</v>
      </c>
      <c r="C442" s="47" t="s">
        <v>1681</v>
      </c>
      <c r="D442" s="47" t="s">
        <v>1682</v>
      </c>
      <c r="E442" s="64">
        <v>40016.67</v>
      </c>
      <c r="F442" s="64">
        <v>249.6225</v>
      </c>
    </row>
    <row r="443" spans="1:6" x14ac:dyDescent="0.25">
      <c r="A443" s="47" t="s">
        <v>1683</v>
      </c>
      <c r="B443" s="47" t="s">
        <v>1684</v>
      </c>
      <c r="C443" s="47" t="s">
        <v>1685</v>
      </c>
      <c r="D443" s="47" t="s">
        <v>1686</v>
      </c>
      <c r="E443" s="64">
        <v>46175.939999999995</v>
      </c>
      <c r="F443" s="64">
        <v>4.45</v>
      </c>
    </row>
    <row r="444" spans="1:6" x14ac:dyDescent="0.25">
      <c r="A444" s="47" t="s">
        <v>1687</v>
      </c>
      <c r="B444" s="47" t="s">
        <v>1688</v>
      </c>
      <c r="C444" s="47" t="s">
        <v>1689</v>
      </c>
      <c r="D444" s="47" t="s">
        <v>1690</v>
      </c>
      <c r="E444" s="64">
        <v>41950.33</v>
      </c>
      <c r="F444" s="64">
        <v>1.5</v>
      </c>
    </row>
    <row r="445" spans="1:6" x14ac:dyDescent="0.25">
      <c r="A445" s="47" t="s">
        <v>1691</v>
      </c>
      <c r="B445" s="47" t="s">
        <v>1692</v>
      </c>
      <c r="C445" s="47" t="s">
        <v>1693</v>
      </c>
      <c r="D445" s="47" t="s">
        <v>1694</v>
      </c>
      <c r="E445" s="64">
        <v>40059.410000000003</v>
      </c>
      <c r="F445" s="64">
        <v>6.04</v>
      </c>
    </row>
    <row r="446" spans="1:6" x14ac:dyDescent="0.25">
      <c r="A446" s="47" t="s">
        <v>1695</v>
      </c>
      <c r="B446" s="47" t="s">
        <v>1696</v>
      </c>
      <c r="C446" s="47" t="s">
        <v>1697</v>
      </c>
      <c r="D446" s="47" t="s">
        <v>1698</v>
      </c>
      <c r="E446" s="64">
        <v>20163.46</v>
      </c>
      <c r="F446" s="64">
        <v>5.8000000000000003E-2</v>
      </c>
    </row>
    <row r="447" spans="1:6" x14ac:dyDescent="0.25">
      <c r="A447" s="47" t="s">
        <v>1699</v>
      </c>
      <c r="B447" s="47" t="s">
        <v>1700</v>
      </c>
      <c r="C447" s="47" t="s">
        <v>1701</v>
      </c>
      <c r="D447" s="47" t="s">
        <v>1702</v>
      </c>
      <c r="E447" s="64">
        <v>26384.97</v>
      </c>
      <c r="F447" s="64">
        <v>0.67</v>
      </c>
    </row>
    <row r="448" spans="1:6" x14ac:dyDescent="0.25">
      <c r="A448" s="47" t="s">
        <v>1703</v>
      </c>
      <c r="B448" s="47" t="s">
        <v>1704</v>
      </c>
      <c r="C448" s="47" t="s">
        <v>1705</v>
      </c>
      <c r="D448" s="47" t="s">
        <v>1706</v>
      </c>
      <c r="E448" s="64">
        <v>20163.46</v>
      </c>
      <c r="F448" s="64">
        <v>0.191</v>
      </c>
    </row>
    <row r="449" spans="1:6" x14ac:dyDescent="0.25">
      <c r="A449" s="47" t="s">
        <v>1707</v>
      </c>
      <c r="B449" s="47" t="s">
        <v>1708</v>
      </c>
      <c r="C449" s="47" t="s">
        <v>1709</v>
      </c>
      <c r="D449" s="47" t="s">
        <v>1710</v>
      </c>
      <c r="E449" s="64">
        <v>35069.800000000003</v>
      </c>
      <c r="F449" s="64">
        <v>6.3E-2</v>
      </c>
    </row>
    <row r="450" spans="1:6" x14ac:dyDescent="0.25">
      <c r="A450" s="47" t="s">
        <v>1711</v>
      </c>
      <c r="B450" s="47" t="s">
        <v>1712</v>
      </c>
      <c r="C450" s="47" t="s">
        <v>1713</v>
      </c>
      <c r="D450" s="47" t="s">
        <v>1714</v>
      </c>
      <c r="E450" s="64">
        <v>34195.019999999997</v>
      </c>
      <c r="F450" s="64">
        <v>29</v>
      </c>
    </row>
    <row r="451" spans="1:6" x14ac:dyDescent="0.25">
      <c r="A451" s="47" t="s">
        <v>1715</v>
      </c>
      <c r="B451" s="47" t="s">
        <v>1716</v>
      </c>
      <c r="C451" s="47" t="s">
        <v>1717</v>
      </c>
      <c r="D451" s="47" t="s">
        <v>1714</v>
      </c>
      <c r="E451" s="64">
        <v>34195.019999999997</v>
      </c>
      <c r="F451" s="64">
        <v>29</v>
      </c>
    </row>
    <row r="452" spans="1:6" x14ac:dyDescent="0.25">
      <c r="A452" s="47" t="s">
        <v>1718</v>
      </c>
      <c r="B452" s="47" t="s">
        <v>1719</v>
      </c>
      <c r="C452" s="47" t="s">
        <v>1720</v>
      </c>
      <c r="D452" s="47" t="s">
        <v>1721</v>
      </c>
      <c r="E452" s="64">
        <v>31936.480000000003</v>
      </c>
      <c r="F452" s="64">
        <v>2</v>
      </c>
    </row>
    <row r="453" spans="1:6" x14ac:dyDescent="0.25">
      <c r="A453" s="47" t="s">
        <v>1722</v>
      </c>
      <c r="B453" s="47" t="s">
        <v>1723</v>
      </c>
      <c r="C453" s="47" t="s">
        <v>1724</v>
      </c>
      <c r="D453" s="47" t="s">
        <v>1721</v>
      </c>
      <c r="E453" s="64">
        <v>31936.480000000003</v>
      </c>
      <c r="F453" s="64">
        <v>2</v>
      </c>
    </row>
    <row r="454" spans="1:6" x14ac:dyDescent="0.25">
      <c r="A454" s="47" t="s">
        <v>1725</v>
      </c>
      <c r="B454" s="47" t="s">
        <v>1726</v>
      </c>
      <c r="C454" s="47" t="s">
        <v>1727</v>
      </c>
      <c r="D454" s="47" t="s">
        <v>1728</v>
      </c>
      <c r="E454" s="64">
        <v>39103.230000000003</v>
      </c>
      <c r="F454" s="64">
        <v>62.689857142857143</v>
      </c>
    </row>
    <row r="455" spans="1:6" x14ac:dyDescent="0.25">
      <c r="A455" s="47" t="s">
        <v>1729</v>
      </c>
      <c r="B455" s="47" t="s">
        <v>1730</v>
      </c>
      <c r="C455" s="47" t="s">
        <v>1731</v>
      </c>
      <c r="D455" s="47" t="s">
        <v>1732</v>
      </c>
      <c r="E455" s="64">
        <v>23257.96</v>
      </c>
      <c r="F455" s="64">
        <v>1</v>
      </c>
    </row>
    <row r="456" spans="1:6" x14ac:dyDescent="0.25">
      <c r="A456" s="47" t="s">
        <v>1733</v>
      </c>
      <c r="B456" s="47" t="s">
        <v>1734</v>
      </c>
      <c r="C456" s="47" t="s">
        <v>1735</v>
      </c>
      <c r="D456" s="47" t="s">
        <v>1343</v>
      </c>
      <c r="E456" s="64">
        <v>130245.97000000002</v>
      </c>
      <c r="F456" s="64">
        <v>189.36111111111111</v>
      </c>
    </row>
    <row r="457" spans="1:6" x14ac:dyDescent="0.25">
      <c r="A457" s="47" t="s">
        <v>1736</v>
      </c>
      <c r="B457" s="47" t="s">
        <v>1737</v>
      </c>
      <c r="C457" s="47" t="s">
        <v>1738</v>
      </c>
      <c r="D457" s="47" t="s">
        <v>1739</v>
      </c>
      <c r="E457" s="64">
        <v>100011.81</v>
      </c>
      <c r="F457" s="64">
        <v>72.261749999999992</v>
      </c>
    </row>
    <row r="458" spans="1:6" x14ac:dyDescent="0.25">
      <c r="A458" s="47" t="s">
        <v>1740</v>
      </c>
      <c r="B458" s="47" t="s">
        <v>1741</v>
      </c>
      <c r="C458" s="47" t="s">
        <v>1742</v>
      </c>
      <c r="D458" s="47" t="s">
        <v>1743</v>
      </c>
      <c r="E458" s="64">
        <v>37966.01</v>
      </c>
      <c r="F458" s="64">
        <v>59.725000000000001</v>
      </c>
    </row>
    <row r="459" spans="1:6" x14ac:dyDescent="0.25">
      <c r="A459" s="47" t="s">
        <v>1744</v>
      </c>
      <c r="B459" s="47" t="s">
        <v>1745</v>
      </c>
      <c r="C459" s="47" t="s">
        <v>1746</v>
      </c>
      <c r="D459" s="47" t="s">
        <v>1747</v>
      </c>
      <c r="E459" s="64">
        <v>31643.25</v>
      </c>
      <c r="F459" s="64">
        <v>319</v>
      </c>
    </row>
    <row r="460" spans="1:6" x14ac:dyDescent="0.25">
      <c r="A460" s="47" t="s">
        <v>1748</v>
      </c>
      <c r="B460" s="47" t="s">
        <v>1749</v>
      </c>
      <c r="C460" s="47" t="s">
        <v>1750</v>
      </c>
      <c r="D460" s="47" t="s">
        <v>1751</v>
      </c>
      <c r="E460" s="64">
        <v>24073.030000000006</v>
      </c>
      <c r="F460" s="64">
        <v>9201.8125</v>
      </c>
    </row>
    <row r="461" spans="1:6" x14ac:dyDescent="0.25">
      <c r="A461" s="47" t="s">
        <v>1752</v>
      </c>
      <c r="B461" s="47" t="s">
        <v>1753</v>
      </c>
      <c r="C461" s="47" t="s">
        <v>1754</v>
      </c>
      <c r="D461" s="47" t="s">
        <v>1755</v>
      </c>
      <c r="E461" s="64">
        <v>31219.06</v>
      </c>
      <c r="F461" s="64">
        <v>5.7</v>
      </c>
    </row>
    <row r="462" spans="1:6" x14ac:dyDescent="0.25">
      <c r="A462" s="47" t="s">
        <v>1756</v>
      </c>
      <c r="B462" s="47" t="s">
        <v>1757</v>
      </c>
      <c r="C462" s="47" t="s">
        <v>1758</v>
      </c>
      <c r="D462" s="47" t="s">
        <v>1759</v>
      </c>
      <c r="E462" s="64">
        <v>24527.25</v>
      </c>
      <c r="F462" s="64">
        <v>5.5</v>
      </c>
    </row>
    <row r="463" spans="1:6" x14ac:dyDescent="0.25">
      <c r="A463" s="47" t="s">
        <v>1760</v>
      </c>
      <c r="B463" s="47" t="s">
        <v>1761</v>
      </c>
      <c r="C463" s="47" t="s">
        <v>1762</v>
      </c>
      <c r="D463" s="47" t="s">
        <v>1763</v>
      </c>
      <c r="E463" s="64">
        <v>33376.280000000006</v>
      </c>
      <c r="F463" s="64">
        <v>11.6</v>
      </c>
    </row>
    <row r="464" spans="1:6" x14ac:dyDescent="0.25">
      <c r="A464" s="47" t="s">
        <v>1764</v>
      </c>
      <c r="B464" s="47" t="s">
        <v>1765</v>
      </c>
      <c r="C464" s="47" t="s">
        <v>1766</v>
      </c>
      <c r="D464" s="47" t="s">
        <v>600</v>
      </c>
      <c r="E464" s="64">
        <v>39782.089999999997</v>
      </c>
      <c r="F464" s="64">
        <v>1.54</v>
      </c>
    </row>
    <row r="465" spans="1:6" x14ac:dyDescent="0.25">
      <c r="A465" s="47" t="s">
        <v>1767</v>
      </c>
      <c r="B465" s="47" t="s">
        <v>1768</v>
      </c>
      <c r="C465" s="47" t="s">
        <v>1769</v>
      </c>
      <c r="D465" s="47" t="s">
        <v>1770</v>
      </c>
      <c r="E465" s="64">
        <v>39460.01</v>
      </c>
      <c r="F465" s="64">
        <v>5.9</v>
      </c>
    </row>
    <row r="466" spans="1:6" x14ac:dyDescent="0.25">
      <c r="A466" s="47" t="s">
        <v>1771</v>
      </c>
      <c r="B466" s="47" t="s">
        <v>1772</v>
      </c>
      <c r="C466" s="47" t="s">
        <v>1773</v>
      </c>
      <c r="D466" s="47" t="s">
        <v>1774</v>
      </c>
      <c r="E466" s="64">
        <v>35531.370000000003</v>
      </c>
      <c r="F466" s="64">
        <v>70</v>
      </c>
    </row>
    <row r="467" spans="1:6" x14ac:dyDescent="0.25">
      <c r="A467" s="47" t="s">
        <v>1775</v>
      </c>
      <c r="B467" s="47" t="s">
        <v>1776</v>
      </c>
      <c r="C467" s="47" t="s">
        <v>1777</v>
      </c>
      <c r="D467" s="47" t="s">
        <v>1778</v>
      </c>
      <c r="E467" s="64">
        <v>34722.109999999993</v>
      </c>
      <c r="F467" s="64">
        <v>110.075</v>
      </c>
    </row>
    <row r="468" spans="1:6" x14ac:dyDescent="0.25">
      <c r="A468" s="47" t="s">
        <v>1779</v>
      </c>
      <c r="B468" s="47" t="s">
        <v>1780</v>
      </c>
      <c r="C468" s="47" t="s">
        <v>1781</v>
      </c>
      <c r="D468" s="47" t="s">
        <v>1782</v>
      </c>
      <c r="E468" s="64">
        <v>51479.770000000004</v>
      </c>
      <c r="F468" s="64">
        <v>98</v>
      </c>
    </row>
    <row r="469" spans="1:6" x14ac:dyDescent="0.25">
      <c r="A469" s="47" t="s">
        <v>1783</v>
      </c>
      <c r="B469" s="47" t="s">
        <v>1784</v>
      </c>
      <c r="C469" s="47" t="s">
        <v>1785</v>
      </c>
      <c r="D469" s="47" t="s">
        <v>1786</v>
      </c>
      <c r="E469" s="64">
        <v>32408.509999999995</v>
      </c>
      <c r="F469" s="64">
        <v>3.3</v>
      </c>
    </row>
    <row r="470" spans="1:6" x14ac:dyDescent="0.25">
      <c r="A470" s="47" t="s">
        <v>1787</v>
      </c>
      <c r="B470" s="47" t="s">
        <v>1788</v>
      </c>
      <c r="C470" s="47" t="s">
        <v>1789</v>
      </c>
      <c r="D470" s="47" t="s">
        <v>1790</v>
      </c>
      <c r="E470" s="64">
        <v>82414.949999999983</v>
      </c>
      <c r="F470" s="64">
        <v>66.599999999999994</v>
      </c>
    </row>
    <row r="471" spans="1:6" x14ac:dyDescent="0.25">
      <c r="A471" s="47" t="s">
        <v>1791</v>
      </c>
      <c r="B471" s="47" t="s">
        <v>1792</v>
      </c>
      <c r="C471" s="47" t="s">
        <v>1793</v>
      </c>
      <c r="D471" s="47" t="s">
        <v>1794</v>
      </c>
      <c r="E471" s="64">
        <v>50316.819999999992</v>
      </c>
      <c r="F471" s="64">
        <v>1359.5450000000001</v>
      </c>
    </row>
    <row r="472" spans="1:6" x14ac:dyDescent="0.25">
      <c r="A472" s="47" t="s">
        <v>1795</v>
      </c>
      <c r="B472" s="47" t="s">
        <v>1796</v>
      </c>
      <c r="C472" s="47" t="s">
        <v>1797</v>
      </c>
      <c r="D472" s="47" t="s">
        <v>1798</v>
      </c>
      <c r="E472" s="64">
        <v>159249.86000000002</v>
      </c>
      <c r="F472" s="64">
        <v>3.6533333333333338</v>
      </c>
    </row>
    <row r="473" spans="1:6" x14ac:dyDescent="0.25">
      <c r="A473" s="47" t="s">
        <v>1799</v>
      </c>
      <c r="B473" s="47" t="s">
        <v>1800</v>
      </c>
      <c r="C473" s="47" t="s">
        <v>1801</v>
      </c>
      <c r="D473" s="47" t="s">
        <v>1802</v>
      </c>
      <c r="E473" s="64">
        <v>39055.43</v>
      </c>
      <c r="F473" s="64">
        <v>908</v>
      </c>
    </row>
    <row r="474" spans="1:6" x14ac:dyDescent="0.25">
      <c r="A474" s="47" t="s">
        <v>1803</v>
      </c>
      <c r="B474" s="47" t="s">
        <v>1804</v>
      </c>
      <c r="C474" s="47" t="s">
        <v>1805</v>
      </c>
      <c r="D474" s="47" t="s">
        <v>1806</v>
      </c>
      <c r="E474" s="64">
        <v>57296.25</v>
      </c>
      <c r="F474" s="64">
        <v>330</v>
      </c>
    </row>
    <row r="475" spans="1:6" x14ac:dyDescent="0.25">
      <c r="A475" s="47" t="s">
        <v>1807</v>
      </c>
      <c r="B475" s="47" t="s">
        <v>1808</v>
      </c>
      <c r="C475" s="47" t="s">
        <v>1809</v>
      </c>
      <c r="D475" s="47" t="s">
        <v>1810</v>
      </c>
      <c r="E475" s="64">
        <v>42135.390000000007</v>
      </c>
      <c r="F475" s="64">
        <v>3.7650000000000001</v>
      </c>
    </row>
    <row r="476" spans="1:6" x14ac:dyDescent="0.25">
      <c r="A476" s="47" t="s">
        <v>1811</v>
      </c>
      <c r="B476" s="47" t="s">
        <v>1812</v>
      </c>
      <c r="C476" s="47" t="s">
        <v>1813</v>
      </c>
      <c r="D476" s="47" t="s">
        <v>1331</v>
      </c>
      <c r="E476" s="64">
        <v>69038.91</v>
      </c>
      <c r="F476" s="64">
        <v>845</v>
      </c>
    </row>
    <row r="477" spans="1:6" x14ac:dyDescent="0.25">
      <c r="A477" s="47" t="s">
        <v>1814</v>
      </c>
      <c r="B477" s="47" t="s">
        <v>1815</v>
      </c>
      <c r="C477" s="47" t="s">
        <v>1816</v>
      </c>
      <c r="D477" s="47" t="s">
        <v>1331</v>
      </c>
      <c r="E477" s="64">
        <v>69038.91</v>
      </c>
      <c r="F477" s="64">
        <v>26.6</v>
      </c>
    </row>
    <row r="478" spans="1:6" x14ac:dyDescent="0.25">
      <c r="A478" s="47" t="s">
        <v>1817</v>
      </c>
      <c r="B478" s="47" t="s">
        <v>1818</v>
      </c>
      <c r="C478" s="47" t="s">
        <v>1819</v>
      </c>
      <c r="D478" s="47" t="s">
        <v>1083</v>
      </c>
      <c r="E478" s="64">
        <v>78501.150000000009</v>
      </c>
      <c r="F478" s="64">
        <v>1.3</v>
      </c>
    </row>
    <row r="479" spans="1:6" x14ac:dyDescent="0.25">
      <c r="A479" s="47" t="s">
        <v>1820</v>
      </c>
      <c r="B479" s="47" t="s">
        <v>1821</v>
      </c>
      <c r="C479" s="47" t="s">
        <v>1822</v>
      </c>
      <c r="D479" s="47" t="s">
        <v>612</v>
      </c>
      <c r="E479" s="64">
        <v>90519.87999999999</v>
      </c>
      <c r="F479" s="64">
        <v>47</v>
      </c>
    </row>
    <row r="480" spans="1:6" x14ac:dyDescent="0.25">
      <c r="A480" s="47" t="s">
        <v>1823</v>
      </c>
      <c r="B480" s="47" t="s">
        <v>1824</v>
      </c>
      <c r="C480" s="47" t="s">
        <v>1825</v>
      </c>
      <c r="D480" s="47" t="s">
        <v>1826</v>
      </c>
      <c r="E480" s="64">
        <v>22180.784999999996</v>
      </c>
      <c r="F480" s="64">
        <v>22300</v>
      </c>
    </row>
    <row r="481" spans="1:6" x14ac:dyDescent="0.25">
      <c r="A481" s="47" t="s">
        <v>1827</v>
      </c>
      <c r="B481" s="47" t="s">
        <v>1828</v>
      </c>
      <c r="C481" s="47" t="s">
        <v>1829</v>
      </c>
      <c r="D481" s="47" t="s">
        <v>1830</v>
      </c>
      <c r="E481" s="64">
        <v>24353.350000000002</v>
      </c>
      <c r="F481" s="64">
        <v>2.1</v>
      </c>
    </row>
    <row r="482" spans="1:6" x14ac:dyDescent="0.25">
      <c r="A482" s="47" t="s">
        <v>1831</v>
      </c>
      <c r="B482" s="47" t="s">
        <v>1832</v>
      </c>
      <c r="C482" s="47" t="s">
        <v>1833</v>
      </c>
      <c r="D482" s="47" t="s">
        <v>1834</v>
      </c>
      <c r="E482" s="64">
        <v>32396.36</v>
      </c>
      <c r="F482" s="64">
        <v>14.804833333333335</v>
      </c>
    </row>
    <row r="483" spans="1:6" x14ac:dyDescent="0.25">
      <c r="A483" s="47" t="s">
        <v>1835</v>
      </c>
      <c r="B483" s="47" t="s">
        <v>1836</v>
      </c>
      <c r="C483" s="47" t="s">
        <v>1837</v>
      </c>
      <c r="D483" s="47" t="s">
        <v>1838</v>
      </c>
      <c r="E483" s="64">
        <v>22728.565000000002</v>
      </c>
      <c r="F483" s="64">
        <v>25.8</v>
      </c>
    </row>
    <row r="484" spans="1:6" x14ac:dyDescent="0.25">
      <c r="A484" s="47" t="s">
        <v>1839</v>
      </c>
      <c r="B484" s="47" t="s">
        <v>1840</v>
      </c>
      <c r="C484" s="47" t="s">
        <v>1841</v>
      </c>
      <c r="D484" s="47" t="s">
        <v>1838</v>
      </c>
      <c r="E484" s="64">
        <v>20609.120000000003</v>
      </c>
      <c r="F484" s="64">
        <v>14.3</v>
      </c>
    </row>
    <row r="485" spans="1:6" x14ac:dyDescent="0.25">
      <c r="A485" s="47" t="s">
        <v>1842</v>
      </c>
      <c r="B485" s="47" t="s">
        <v>1843</v>
      </c>
      <c r="C485" s="47" t="s">
        <v>1844</v>
      </c>
      <c r="D485" s="47" t="s">
        <v>1845</v>
      </c>
      <c r="E485" s="64">
        <v>48030.455000000002</v>
      </c>
      <c r="F485" s="64">
        <v>8.6094999999999988</v>
      </c>
    </row>
    <row r="486" spans="1:6" x14ac:dyDescent="0.25">
      <c r="A486" s="47" t="s">
        <v>1846</v>
      </c>
      <c r="B486" s="47" t="s">
        <v>1847</v>
      </c>
      <c r="C486" s="47" t="s">
        <v>1848</v>
      </c>
      <c r="D486" s="47" t="s">
        <v>1849</v>
      </c>
      <c r="E486" s="64">
        <v>22765.48333333333</v>
      </c>
      <c r="F486" s="64">
        <v>90.131772727272732</v>
      </c>
    </row>
    <row r="487" spans="1:6" x14ac:dyDescent="0.25">
      <c r="A487" s="47" t="s">
        <v>1850</v>
      </c>
      <c r="B487" s="47" t="s">
        <v>1851</v>
      </c>
      <c r="C487" s="47" t="s">
        <v>1852</v>
      </c>
      <c r="D487" s="47" t="s">
        <v>1845</v>
      </c>
      <c r="E487" s="64">
        <v>25963.11</v>
      </c>
      <c r="F487" s="64">
        <v>95</v>
      </c>
    </row>
    <row r="488" spans="1:6" x14ac:dyDescent="0.25">
      <c r="A488" s="47" t="s">
        <v>1853</v>
      </c>
      <c r="B488" s="47" t="s">
        <v>1854</v>
      </c>
      <c r="C488" s="47" t="s">
        <v>1855</v>
      </c>
      <c r="D488" s="47" t="s">
        <v>1856</v>
      </c>
      <c r="E488" s="64">
        <v>28144.1</v>
      </c>
      <c r="F488" s="64">
        <v>148.33333333333334</v>
      </c>
    </row>
    <row r="489" spans="1:6" x14ac:dyDescent="0.25">
      <c r="A489" s="47" t="s">
        <v>1857</v>
      </c>
      <c r="B489" s="47" t="s">
        <v>1858</v>
      </c>
      <c r="C489" s="47" t="s">
        <v>1859</v>
      </c>
      <c r="D489" s="47" t="s">
        <v>1860</v>
      </c>
      <c r="E489" s="64">
        <v>20510.426666666666</v>
      </c>
      <c r="F489" s="64">
        <v>230</v>
      </c>
    </row>
    <row r="490" spans="1:6" x14ac:dyDescent="0.25">
      <c r="A490" s="47" t="s">
        <v>1861</v>
      </c>
      <c r="B490" s="47" t="s">
        <v>1862</v>
      </c>
      <c r="C490" s="47" t="s">
        <v>1863</v>
      </c>
      <c r="D490" s="47" t="s">
        <v>1864</v>
      </c>
      <c r="E490" s="64">
        <v>40337.21</v>
      </c>
      <c r="F490" s="64">
        <v>38.697249999999997</v>
      </c>
    </row>
    <row r="491" spans="1:6" x14ac:dyDescent="0.25">
      <c r="A491" s="47" t="s">
        <v>1865</v>
      </c>
      <c r="B491" s="47" t="s">
        <v>1866</v>
      </c>
      <c r="C491" s="47" t="s">
        <v>1867</v>
      </c>
      <c r="D491" s="47" t="s">
        <v>1868</v>
      </c>
      <c r="E491" s="64">
        <v>42045.509999999995</v>
      </c>
      <c r="F491" s="64">
        <v>5</v>
      </c>
    </row>
    <row r="492" spans="1:6" x14ac:dyDescent="0.25">
      <c r="A492" s="47" t="s">
        <v>1869</v>
      </c>
      <c r="B492" s="47" t="s">
        <v>1870</v>
      </c>
      <c r="C492" s="47" t="s">
        <v>1871</v>
      </c>
      <c r="D492" s="47" t="s">
        <v>1872</v>
      </c>
      <c r="E492" s="64">
        <v>53822.83</v>
      </c>
      <c r="F492" s="64">
        <v>70.900000000000006</v>
      </c>
    </row>
    <row r="493" spans="1:6" x14ac:dyDescent="0.25">
      <c r="A493" s="47" t="s">
        <v>1873</v>
      </c>
      <c r="B493" s="47" t="s">
        <v>1874</v>
      </c>
      <c r="C493" s="47" t="s">
        <v>1875</v>
      </c>
      <c r="D493" s="47" t="s">
        <v>1876</v>
      </c>
      <c r="E493" s="64">
        <v>31539.019999999997</v>
      </c>
      <c r="F493" s="64">
        <v>4.8</v>
      </c>
    </row>
    <row r="494" spans="1:6" x14ac:dyDescent="0.25">
      <c r="A494" s="47" t="s">
        <v>1877</v>
      </c>
      <c r="B494" s="47" t="s">
        <v>1878</v>
      </c>
      <c r="C494" s="47" t="s">
        <v>1879</v>
      </c>
      <c r="D494" s="47" t="s">
        <v>1876</v>
      </c>
      <c r="E494" s="64">
        <v>31539.019999999997</v>
      </c>
      <c r="F494" s="64">
        <v>3.5</v>
      </c>
    </row>
    <row r="495" spans="1:6" x14ac:dyDescent="0.25">
      <c r="A495" s="47" t="s">
        <v>1880</v>
      </c>
      <c r="B495" s="47" t="s">
        <v>1881</v>
      </c>
      <c r="C495" s="47" t="s">
        <v>1882</v>
      </c>
      <c r="D495" s="47" t="s">
        <v>1883</v>
      </c>
      <c r="E495" s="64">
        <v>24138.91</v>
      </c>
      <c r="F495" s="64">
        <v>0.64</v>
      </c>
    </row>
    <row r="496" spans="1:6" x14ac:dyDescent="0.25">
      <c r="A496" s="47" t="s">
        <v>1884</v>
      </c>
      <c r="B496" s="47" t="s">
        <v>1885</v>
      </c>
      <c r="C496" s="47" t="s">
        <v>1886</v>
      </c>
      <c r="D496" s="47" t="s">
        <v>1887</v>
      </c>
      <c r="E496" s="64">
        <v>21248.570000000003</v>
      </c>
      <c r="F496" s="64">
        <v>1.24</v>
      </c>
    </row>
    <row r="497" spans="1:6" x14ac:dyDescent="0.25">
      <c r="A497" s="47" t="s">
        <v>1888</v>
      </c>
      <c r="B497" s="47" t="s">
        <v>1889</v>
      </c>
      <c r="C497" s="47" t="s">
        <v>1890</v>
      </c>
      <c r="D497" s="47" t="s">
        <v>1891</v>
      </c>
      <c r="E497" s="64">
        <v>31269.07</v>
      </c>
      <c r="F497" s="64">
        <v>36.200000000000003</v>
      </c>
    </row>
    <row r="498" spans="1:6" x14ac:dyDescent="0.25">
      <c r="A498" s="47" t="s">
        <v>1892</v>
      </c>
      <c r="B498" s="47" t="s">
        <v>1893</v>
      </c>
      <c r="C498" s="47" t="s">
        <v>1894</v>
      </c>
      <c r="D498" s="47" t="s">
        <v>1895</v>
      </c>
      <c r="E498" s="64">
        <v>49188.729999999996</v>
      </c>
      <c r="F498" s="64">
        <v>840.5</v>
      </c>
    </row>
    <row r="499" spans="1:6" x14ac:dyDescent="0.25">
      <c r="A499" s="47" t="s">
        <v>1896</v>
      </c>
      <c r="B499" s="47" t="s">
        <v>1897</v>
      </c>
      <c r="C499" s="47" t="s">
        <v>1898</v>
      </c>
      <c r="D499" s="47" t="s">
        <v>1899</v>
      </c>
      <c r="E499" s="64">
        <v>42432.469999999994</v>
      </c>
      <c r="F499" s="64">
        <v>16.785476190476192</v>
      </c>
    </row>
    <row r="500" spans="1:6" x14ac:dyDescent="0.25">
      <c r="A500" s="47" t="s">
        <v>1900</v>
      </c>
      <c r="B500" s="47" t="s">
        <v>1901</v>
      </c>
      <c r="C500" s="47" t="s">
        <v>1902</v>
      </c>
      <c r="D500" s="47" t="s">
        <v>1903</v>
      </c>
      <c r="E500" s="64">
        <v>47589.66</v>
      </c>
      <c r="F500" s="64">
        <v>165</v>
      </c>
    </row>
    <row r="501" spans="1:6" x14ac:dyDescent="0.25">
      <c r="A501" s="47" t="s">
        <v>1904</v>
      </c>
      <c r="B501" s="47" t="s">
        <v>1905</v>
      </c>
      <c r="C501" s="47" t="s">
        <v>1906</v>
      </c>
      <c r="D501" s="47" t="s">
        <v>1907</v>
      </c>
      <c r="E501" s="64">
        <v>66892.429999999993</v>
      </c>
      <c r="F501" s="64">
        <v>15.809999999999999</v>
      </c>
    </row>
    <row r="502" spans="1:6" x14ac:dyDescent="0.25">
      <c r="A502" s="47" t="s">
        <v>1908</v>
      </c>
      <c r="B502" s="47" t="s">
        <v>1909</v>
      </c>
      <c r="C502" s="47" t="s">
        <v>1910</v>
      </c>
      <c r="D502" s="47" t="s">
        <v>1911</v>
      </c>
      <c r="E502" s="64">
        <v>58267.48000000001</v>
      </c>
      <c r="F502" s="64">
        <v>33.31666666666667</v>
      </c>
    </row>
    <row r="503" spans="1:6" x14ac:dyDescent="0.25">
      <c r="A503" s="47" t="s">
        <v>1912</v>
      </c>
      <c r="B503" s="47" t="s">
        <v>1913</v>
      </c>
      <c r="C503" s="47" t="s">
        <v>1914</v>
      </c>
      <c r="D503" s="47" t="s">
        <v>1915</v>
      </c>
      <c r="E503" s="64">
        <v>33208.544999999998</v>
      </c>
      <c r="F503" s="64">
        <v>487.4666666666667</v>
      </c>
    </row>
    <row r="504" spans="1:6" x14ac:dyDescent="0.25">
      <c r="A504" s="47" t="s">
        <v>1916</v>
      </c>
      <c r="B504" s="47" t="s">
        <v>1917</v>
      </c>
      <c r="C504" s="47" t="s">
        <v>1918</v>
      </c>
      <c r="D504" s="47" t="s">
        <v>1919</v>
      </c>
      <c r="E504" s="64">
        <v>56486.31</v>
      </c>
      <c r="F504" s="64">
        <v>58.2</v>
      </c>
    </row>
    <row r="505" spans="1:6" x14ac:dyDescent="0.25">
      <c r="A505" s="47" t="s">
        <v>1920</v>
      </c>
      <c r="B505" s="47" t="s">
        <v>1921</v>
      </c>
      <c r="C505" s="47" t="s">
        <v>1922</v>
      </c>
      <c r="D505" s="47" t="s">
        <v>1923</v>
      </c>
      <c r="E505" s="64">
        <v>37382.490000000005</v>
      </c>
      <c r="F505" s="64">
        <v>0.28000000000000003</v>
      </c>
    </row>
    <row r="506" spans="1:6" x14ac:dyDescent="0.25">
      <c r="A506" s="47" t="s">
        <v>1924</v>
      </c>
      <c r="B506" s="47" t="s">
        <v>1925</v>
      </c>
      <c r="C506" s="47" t="s">
        <v>1926</v>
      </c>
      <c r="D506" s="47" t="s">
        <v>1927</v>
      </c>
      <c r="E506" s="64">
        <v>30635.929999999997</v>
      </c>
      <c r="F506" s="64">
        <v>0.2</v>
      </c>
    </row>
    <row r="507" spans="1:6" x14ac:dyDescent="0.25">
      <c r="A507" s="47" t="s">
        <v>1928</v>
      </c>
      <c r="B507" s="47" t="s">
        <v>1929</v>
      </c>
      <c r="C507" s="47" t="s">
        <v>1930</v>
      </c>
      <c r="D507" s="47" t="s">
        <v>1931</v>
      </c>
      <c r="E507" s="64">
        <v>105384.12000000001</v>
      </c>
      <c r="F507" s="64">
        <v>845</v>
      </c>
    </row>
    <row r="508" spans="1:6" x14ac:dyDescent="0.25">
      <c r="A508" s="47" t="s">
        <v>1932</v>
      </c>
      <c r="B508" s="47" t="s">
        <v>1933</v>
      </c>
      <c r="C508" s="47" t="s">
        <v>1934</v>
      </c>
      <c r="D508" s="47" t="s">
        <v>1935</v>
      </c>
      <c r="E508" s="64">
        <v>36866.084999999992</v>
      </c>
      <c r="F508" s="64">
        <v>88.1</v>
      </c>
    </row>
    <row r="509" spans="1:6" x14ac:dyDescent="0.25">
      <c r="A509" s="47" t="s">
        <v>1936</v>
      </c>
      <c r="B509" s="47" t="s">
        <v>1937</v>
      </c>
      <c r="C509" s="47" t="s">
        <v>1938</v>
      </c>
      <c r="D509" s="47" t="s">
        <v>1939</v>
      </c>
      <c r="E509" s="64">
        <v>23237.609999999997</v>
      </c>
      <c r="F509" s="64">
        <v>13.5</v>
      </c>
    </row>
    <row r="510" spans="1:6" x14ac:dyDescent="0.25">
      <c r="A510" s="47" t="s">
        <v>1940</v>
      </c>
      <c r="B510" s="47" t="s">
        <v>1941</v>
      </c>
      <c r="C510" s="47" t="s">
        <v>1942</v>
      </c>
      <c r="D510" s="47" t="s">
        <v>1943</v>
      </c>
      <c r="E510" s="64">
        <v>27408.809999999998</v>
      </c>
      <c r="F510" s="64">
        <v>3.2</v>
      </c>
    </row>
    <row r="511" spans="1:6" x14ac:dyDescent="0.25">
      <c r="A511" s="47" t="s">
        <v>1944</v>
      </c>
      <c r="B511" s="47" t="s">
        <v>1945</v>
      </c>
      <c r="C511" s="47" t="s">
        <v>1946</v>
      </c>
      <c r="D511" s="47" t="s">
        <v>1943</v>
      </c>
      <c r="E511" s="64">
        <v>27408.809999999998</v>
      </c>
      <c r="F511" s="64">
        <v>1.1000000000000001</v>
      </c>
    </row>
    <row r="512" spans="1:6" x14ac:dyDescent="0.25">
      <c r="A512" s="47" t="s">
        <v>1947</v>
      </c>
      <c r="B512" s="47" t="s">
        <v>1948</v>
      </c>
      <c r="C512" s="47" t="s">
        <v>1949</v>
      </c>
      <c r="D512" s="47" t="s">
        <v>1950</v>
      </c>
      <c r="E512" s="64">
        <v>40400.393333333333</v>
      </c>
      <c r="F512" s="64">
        <v>109.55500000000001</v>
      </c>
    </row>
    <row r="513" spans="1:6" x14ac:dyDescent="0.25">
      <c r="A513" s="47" t="s">
        <v>1951</v>
      </c>
      <c r="B513" s="47" t="s">
        <v>1952</v>
      </c>
      <c r="C513" s="47" t="s">
        <v>1953</v>
      </c>
      <c r="D513" s="47" t="s">
        <v>1954</v>
      </c>
      <c r="E513" s="64">
        <v>42041.32</v>
      </c>
      <c r="F513" s="64">
        <v>27.360000000000003</v>
      </c>
    </row>
    <row r="514" spans="1:6" x14ac:dyDescent="0.25">
      <c r="A514" s="47" t="s">
        <v>1955</v>
      </c>
      <c r="B514" s="47" t="s">
        <v>1197</v>
      </c>
      <c r="C514" s="47" t="s">
        <v>1956</v>
      </c>
      <c r="D514" s="47" t="s">
        <v>74</v>
      </c>
      <c r="E514" s="64">
        <v>71687.149999999994</v>
      </c>
      <c r="F514" s="64">
        <v>2.1924999999999999</v>
      </c>
    </row>
    <row r="515" spans="1:6" x14ac:dyDescent="0.25">
      <c r="A515" s="47" t="s">
        <v>1957</v>
      </c>
      <c r="B515" s="47" t="s">
        <v>1958</v>
      </c>
      <c r="C515" s="47" t="s">
        <v>1959</v>
      </c>
      <c r="D515" s="47" t="s">
        <v>1960</v>
      </c>
      <c r="E515" s="64">
        <v>22755.14</v>
      </c>
      <c r="F515" s="64">
        <v>3.3450000000000002</v>
      </c>
    </row>
    <row r="516" spans="1:6" x14ac:dyDescent="0.25">
      <c r="A516" s="47" t="s">
        <v>1961</v>
      </c>
      <c r="B516" s="47" t="s">
        <v>1962</v>
      </c>
      <c r="C516" s="47" t="s">
        <v>1963</v>
      </c>
      <c r="D516" s="47" t="s">
        <v>1964</v>
      </c>
      <c r="E516" s="64">
        <v>32133.749999999993</v>
      </c>
      <c r="F516" s="64">
        <v>19</v>
      </c>
    </row>
    <row r="517" spans="1:6" x14ac:dyDescent="0.25">
      <c r="A517" s="47" t="s">
        <v>1965</v>
      </c>
      <c r="B517" s="47" t="s">
        <v>1966</v>
      </c>
      <c r="C517" s="47" t="s">
        <v>1967</v>
      </c>
      <c r="D517" s="47" t="s">
        <v>1968</v>
      </c>
      <c r="E517" s="64">
        <v>52616.789999999994</v>
      </c>
      <c r="F517" s="64">
        <v>0.5</v>
      </c>
    </row>
    <row r="518" spans="1:6" x14ac:dyDescent="0.25">
      <c r="A518" s="47" t="s">
        <v>1969</v>
      </c>
      <c r="B518" s="47" t="s">
        <v>1970</v>
      </c>
      <c r="C518" s="47" t="s">
        <v>1971</v>
      </c>
      <c r="D518" s="47" t="s">
        <v>1972</v>
      </c>
      <c r="E518" s="64">
        <v>60227.759999999995</v>
      </c>
      <c r="F518" s="64">
        <v>138.5</v>
      </c>
    </row>
    <row r="519" spans="1:6" x14ac:dyDescent="0.25">
      <c r="A519" s="47" t="s">
        <v>1973</v>
      </c>
      <c r="B519" s="47" t="s">
        <v>1974</v>
      </c>
      <c r="C519" s="47" t="s">
        <v>1975</v>
      </c>
      <c r="D519" s="47" t="s">
        <v>1976</v>
      </c>
      <c r="E519" s="64">
        <v>43664.12</v>
      </c>
      <c r="F519" s="64">
        <v>3</v>
      </c>
    </row>
    <row r="520" spans="1:6" x14ac:dyDescent="0.25">
      <c r="A520" s="47" t="s">
        <v>1977</v>
      </c>
      <c r="B520" s="47" t="s">
        <v>1978</v>
      </c>
      <c r="C520" s="47" t="s">
        <v>1979</v>
      </c>
      <c r="D520" s="47" t="s">
        <v>1980</v>
      </c>
      <c r="E520" s="64">
        <v>53024.82</v>
      </c>
      <c r="F520" s="64">
        <v>69</v>
      </c>
    </row>
    <row r="521" spans="1:6" x14ac:dyDescent="0.25">
      <c r="A521" s="47" t="s">
        <v>1981</v>
      </c>
      <c r="B521" s="47" t="s">
        <v>1982</v>
      </c>
      <c r="C521" s="47" t="s">
        <v>1983</v>
      </c>
      <c r="D521" s="47" t="s">
        <v>458</v>
      </c>
      <c r="E521" s="64">
        <v>77169.66</v>
      </c>
      <c r="F521" s="64">
        <v>1500</v>
      </c>
    </row>
    <row r="522" spans="1:6" x14ac:dyDescent="0.25">
      <c r="A522" s="47" t="s">
        <v>1984</v>
      </c>
      <c r="B522" s="47" t="s">
        <v>1985</v>
      </c>
      <c r="C522" s="47" t="s">
        <v>1986</v>
      </c>
      <c r="D522" s="47" t="s">
        <v>1972</v>
      </c>
      <c r="E522" s="64">
        <v>60227.759999999995</v>
      </c>
      <c r="F522" s="64">
        <v>138.5</v>
      </c>
    </row>
    <row r="523" spans="1:6" x14ac:dyDescent="0.25">
      <c r="A523" s="47" t="s">
        <v>1987</v>
      </c>
      <c r="B523" s="47" t="s">
        <v>1988</v>
      </c>
      <c r="C523" s="47" t="s">
        <v>1989</v>
      </c>
      <c r="D523" s="47" t="s">
        <v>1976</v>
      </c>
      <c r="E523" s="64">
        <v>44482.77</v>
      </c>
      <c r="F523" s="64">
        <v>4.7</v>
      </c>
    </row>
    <row r="524" spans="1:6" x14ac:dyDescent="0.25">
      <c r="A524" s="47" t="s">
        <v>1990</v>
      </c>
      <c r="B524" s="47" t="s">
        <v>1991</v>
      </c>
      <c r="C524" s="47" t="s">
        <v>1992</v>
      </c>
      <c r="D524" s="47" t="s">
        <v>1943</v>
      </c>
      <c r="E524" s="64">
        <v>27408.809999999998</v>
      </c>
      <c r="F524" s="64">
        <v>3.2</v>
      </c>
    </row>
    <row r="525" spans="1:6" x14ac:dyDescent="0.25">
      <c r="A525" s="47" t="s">
        <v>1993</v>
      </c>
      <c r="B525" s="47" t="s">
        <v>1994</v>
      </c>
      <c r="C525" s="47" t="s">
        <v>1995</v>
      </c>
      <c r="D525" s="47" t="s">
        <v>1996</v>
      </c>
      <c r="E525" s="64">
        <v>61478.47</v>
      </c>
      <c r="F525" s="64">
        <v>1.4</v>
      </c>
    </row>
    <row r="526" spans="1:6" x14ac:dyDescent="0.25">
      <c r="A526" s="47" t="s">
        <v>1997</v>
      </c>
      <c r="B526" s="47" t="s">
        <v>1998</v>
      </c>
      <c r="C526" s="47" t="s">
        <v>1999</v>
      </c>
      <c r="D526" s="47" t="s">
        <v>2000</v>
      </c>
      <c r="E526" s="64">
        <v>35623.72</v>
      </c>
      <c r="F526" s="64">
        <v>16.100000000000001</v>
      </c>
    </row>
    <row r="527" spans="1:6" x14ac:dyDescent="0.25">
      <c r="A527" s="47" t="s">
        <v>2001</v>
      </c>
      <c r="B527" s="47" t="s">
        <v>2002</v>
      </c>
      <c r="C527" s="47" t="s">
        <v>2003</v>
      </c>
      <c r="D527" s="47" t="s">
        <v>2004</v>
      </c>
      <c r="E527" s="64">
        <v>43436.909999999996</v>
      </c>
      <c r="F527" s="64">
        <v>0.88</v>
      </c>
    </row>
    <row r="528" spans="1:6" x14ac:dyDescent="0.25">
      <c r="A528" s="47" t="s">
        <v>2005</v>
      </c>
      <c r="B528" s="47" t="s">
        <v>2006</v>
      </c>
      <c r="C528" s="47" t="s">
        <v>2007</v>
      </c>
      <c r="D528" s="47" t="s">
        <v>2008</v>
      </c>
      <c r="E528" s="64">
        <v>45939.040000000001</v>
      </c>
      <c r="F528" s="64">
        <v>7</v>
      </c>
    </row>
    <row r="529" spans="1:6" x14ac:dyDescent="0.25">
      <c r="A529" s="47" t="s">
        <v>2009</v>
      </c>
      <c r="B529" s="47" t="s">
        <v>2010</v>
      </c>
      <c r="C529" s="47" t="s">
        <v>2011</v>
      </c>
      <c r="D529" s="47" t="s">
        <v>2012</v>
      </c>
      <c r="E529" s="64">
        <v>141398.47999999998</v>
      </c>
      <c r="F529" s="64">
        <v>2.5</v>
      </c>
    </row>
    <row r="530" spans="1:6" x14ac:dyDescent="0.25">
      <c r="A530" s="47" t="s">
        <v>2013</v>
      </c>
      <c r="B530" s="47" t="s">
        <v>2014</v>
      </c>
      <c r="C530" s="47" t="s">
        <v>2015</v>
      </c>
      <c r="D530" s="47" t="s">
        <v>2016</v>
      </c>
      <c r="E530" s="64">
        <v>81164.179999999993</v>
      </c>
      <c r="F530" s="64">
        <v>605</v>
      </c>
    </row>
    <row r="531" spans="1:6" x14ac:dyDescent="0.25">
      <c r="A531" s="47" t="s">
        <v>2017</v>
      </c>
      <c r="B531" s="47" t="s">
        <v>2018</v>
      </c>
      <c r="C531" s="47" t="s">
        <v>2019</v>
      </c>
      <c r="D531" s="47" t="s">
        <v>2020</v>
      </c>
      <c r="E531" s="64">
        <v>53014.67</v>
      </c>
      <c r="F531" s="64">
        <v>22.1</v>
      </c>
    </row>
    <row r="532" spans="1:6" x14ac:dyDescent="0.25">
      <c r="A532" s="47" t="s">
        <v>2021</v>
      </c>
      <c r="B532" s="47" t="s">
        <v>2022</v>
      </c>
      <c r="C532" s="47" t="s">
        <v>2023</v>
      </c>
      <c r="D532" s="47" t="s">
        <v>1094</v>
      </c>
      <c r="E532" s="64">
        <v>31295.75</v>
      </c>
      <c r="F532" s="64">
        <v>250</v>
      </c>
    </row>
    <row r="533" spans="1:6" x14ac:dyDescent="0.25">
      <c r="A533" s="47" t="s">
        <v>2024</v>
      </c>
      <c r="B533" s="47" t="s">
        <v>2025</v>
      </c>
      <c r="C533" s="47" t="s">
        <v>2026</v>
      </c>
      <c r="D533" s="47" t="s">
        <v>1094</v>
      </c>
      <c r="E533" s="64">
        <v>31295.75</v>
      </c>
      <c r="F533" s="64">
        <v>250</v>
      </c>
    </row>
    <row r="534" spans="1:6" x14ac:dyDescent="0.25">
      <c r="A534" s="47" t="s">
        <v>2027</v>
      </c>
      <c r="B534" s="47" t="s">
        <v>2028</v>
      </c>
      <c r="C534" s="47" t="s">
        <v>2029</v>
      </c>
      <c r="D534" s="47" t="s">
        <v>2030</v>
      </c>
      <c r="E534" s="64">
        <v>97582.959999999992</v>
      </c>
      <c r="F534" s="64">
        <v>1.67</v>
      </c>
    </row>
    <row r="535" spans="1:6" x14ac:dyDescent="0.25">
      <c r="A535" s="47" t="s">
        <v>2031</v>
      </c>
      <c r="B535" s="47" t="s">
        <v>2032</v>
      </c>
      <c r="C535" s="47" t="s">
        <v>2033</v>
      </c>
      <c r="D535" s="47" t="s">
        <v>2034</v>
      </c>
      <c r="E535" s="64">
        <v>29171.230000000003</v>
      </c>
      <c r="F535" s="64">
        <v>2.4450000000000003</v>
      </c>
    </row>
    <row r="536" spans="1:6" x14ac:dyDescent="0.25">
      <c r="A536" s="47" t="s">
        <v>2035</v>
      </c>
      <c r="B536" s="47" t="s">
        <v>2036</v>
      </c>
      <c r="C536" s="47" t="s">
        <v>2037</v>
      </c>
      <c r="D536" s="47" t="s">
        <v>2038</v>
      </c>
      <c r="E536" s="64">
        <v>43100.859999999993</v>
      </c>
      <c r="F536" s="64">
        <v>8.25</v>
      </c>
    </row>
    <row r="537" spans="1:6" x14ac:dyDescent="0.25">
      <c r="A537" s="47" t="s">
        <v>2039</v>
      </c>
      <c r="B537" s="47" t="s">
        <v>2040</v>
      </c>
      <c r="C537" s="47" t="s">
        <v>2041</v>
      </c>
      <c r="D537" s="47" t="s">
        <v>2042</v>
      </c>
      <c r="E537" s="64">
        <v>43382.82</v>
      </c>
      <c r="F537" s="64">
        <v>120</v>
      </c>
    </row>
    <row r="538" spans="1:6" x14ac:dyDescent="0.25">
      <c r="A538" s="47" t="s">
        <v>2043</v>
      </c>
      <c r="B538" s="47" t="s">
        <v>2044</v>
      </c>
      <c r="C538" s="47" t="s">
        <v>2045</v>
      </c>
      <c r="D538" s="47" t="s">
        <v>2046</v>
      </c>
      <c r="E538" s="64">
        <v>42345.875714285707</v>
      </c>
      <c r="F538" s="64">
        <v>1.1515</v>
      </c>
    </row>
    <row r="539" spans="1:6" x14ac:dyDescent="0.25">
      <c r="A539" s="47" t="s">
        <v>2047</v>
      </c>
      <c r="B539" s="47" t="s">
        <v>2048</v>
      </c>
      <c r="C539" s="47" t="s">
        <v>2049</v>
      </c>
      <c r="D539" s="47" t="s">
        <v>244</v>
      </c>
      <c r="E539" s="64">
        <v>44368.57</v>
      </c>
      <c r="F539" s="64">
        <v>173</v>
      </c>
    </row>
    <row r="540" spans="1:6" x14ac:dyDescent="0.25">
      <c r="A540" s="47" t="s">
        <v>2050</v>
      </c>
      <c r="B540" s="47" t="s">
        <v>464</v>
      </c>
      <c r="C540" s="47" t="s">
        <v>2051</v>
      </c>
      <c r="D540" s="47" t="s">
        <v>2052</v>
      </c>
      <c r="E540" s="64">
        <v>47289.760000000009</v>
      </c>
      <c r="F540" s="64">
        <v>2.8666666666666667</v>
      </c>
    </row>
    <row r="541" spans="1:6" x14ac:dyDescent="0.25">
      <c r="A541" s="47" t="s">
        <v>2053</v>
      </c>
      <c r="B541" s="47" t="s">
        <v>2054</v>
      </c>
      <c r="C541" s="47" t="s">
        <v>2055</v>
      </c>
      <c r="D541" s="47" t="s">
        <v>2056</v>
      </c>
      <c r="E541" s="64">
        <v>55702.720000000001</v>
      </c>
      <c r="F541" s="64">
        <v>174</v>
      </c>
    </row>
    <row r="542" spans="1:6" x14ac:dyDescent="0.25">
      <c r="A542" s="47" t="s">
        <v>2057</v>
      </c>
      <c r="B542" s="47" t="s">
        <v>2058</v>
      </c>
      <c r="C542" s="47" t="s">
        <v>2059</v>
      </c>
      <c r="D542" s="47" t="s">
        <v>577</v>
      </c>
      <c r="E542" s="64">
        <v>27186.6875</v>
      </c>
      <c r="F542" s="64">
        <v>8.9</v>
      </c>
    </row>
    <row r="543" spans="1:6" x14ac:dyDescent="0.25">
      <c r="A543" s="47" t="s">
        <v>2060</v>
      </c>
      <c r="B543" s="47" t="s">
        <v>2061</v>
      </c>
      <c r="C543" s="47" t="s">
        <v>2062</v>
      </c>
      <c r="D543" s="47" t="s">
        <v>2063</v>
      </c>
      <c r="E543" s="64">
        <v>28236.68</v>
      </c>
      <c r="F543" s="64">
        <v>0.78100000000000003</v>
      </c>
    </row>
    <row r="544" spans="1:6" x14ac:dyDescent="0.25">
      <c r="A544" s="47" t="s">
        <v>2064</v>
      </c>
      <c r="B544" s="47" t="s">
        <v>1349</v>
      </c>
      <c r="C544" s="47" t="s">
        <v>2065</v>
      </c>
      <c r="D544" s="47" t="s">
        <v>1351</v>
      </c>
      <c r="E544" s="64">
        <v>58677.400000000009</v>
      </c>
      <c r="F544" s="64">
        <v>6.9</v>
      </c>
    </row>
    <row r="545" spans="1:6" x14ac:dyDescent="0.25">
      <c r="A545" s="47" t="s">
        <v>2066</v>
      </c>
      <c r="B545" s="47" t="s">
        <v>2067</v>
      </c>
      <c r="C545" s="47" t="s">
        <v>2068</v>
      </c>
      <c r="D545" s="47" t="s">
        <v>2069</v>
      </c>
      <c r="E545" s="64">
        <v>43655.479999999996</v>
      </c>
      <c r="F545" s="64">
        <v>21.933333333333337</v>
      </c>
    </row>
    <row r="546" spans="1:6" x14ac:dyDescent="0.25">
      <c r="A546" s="47" t="s">
        <v>2070</v>
      </c>
      <c r="B546" s="47" t="s">
        <v>2071</v>
      </c>
      <c r="C546" s="47" t="s">
        <v>2072</v>
      </c>
      <c r="D546" s="47" t="s">
        <v>2073</v>
      </c>
      <c r="E546" s="64">
        <v>48993.864999999998</v>
      </c>
      <c r="F546" s="64">
        <v>35</v>
      </c>
    </row>
    <row r="547" spans="1:6" x14ac:dyDescent="0.25">
      <c r="A547" s="47" t="s">
        <v>2074</v>
      </c>
      <c r="B547" s="47" t="s">
        <v>2075</v>
      </c>
      <c r="C547" s="47" t="s">
        <v>2076</v>
      </c>
      <c r="D547" s="47" t="s">
        <v>896</v>
      </c>
      <c r="E547" s="64">
        <v>126937.60000000001</v>
      </c>
      <c r="F547" s="64">
        <v>4.5</v>
      </c>
    </row>
    <row r="548" spans="1:6" x14ac:dyDescent="0.25">
      <c r="A548" s="47" t="s">
        <v>2077</v>
      </c>
      <c r="B548" s="47" t="s">
        <v>2078</v>
      </c>
      <c r="C548" s="47" t="s">
        <v>2079</v>
      </c>
      <c r="D548" s="47" t="s">
        <v>1366</v>
      </c>
      <c r="E548" s="64">
        <v>24245.285</v>
      </c>
      <c r="F548" s="64">
        <v>0.82</v>
      </c>
    </row>
    <row r="549" spans="1:6" x14ac:dyDescent="0.25">
      <c r="A549" s="47" t="s">
        <v>2080</v>
      </c>
      <c r="B549" s="47" t="s">
        <v>2081</v>
      </c>
      <c r="C549" s="47" t="s">
        <v>2082</v>
      </c>
      <c r="D549" s="47" t="s">
        <v>2083</v>
      </c>
      <c r="E549" s="64">
        <v>41899.81</v>
      </c>
      <c r="F549" s="64">
        <v>0.38</v>
      </c>
    </row>
    <row r="550" spans="1:6" x14ac:dyDescent="0.25">
      <c r="A550" s="47" t="s">
        <v>2084</v>
      </c>
      <c r="B550" s="47" t="s">
        <v>2085</v>
      </c>
      <c r="C550" s="47" t="s">
        <v>2086</v>
      </c>
      <c r="D550" s="47" t="s">
        <v>2087</v>
      </c>
      <c r="E550" s="64">
        <v>45837.450000000004</v>
      </c>
      <c r="F550" s="64">
        <v>0.4</v>
      </c>
    </row>
    <row r="551" spans="1:6" x14ac:dyDescent="0.25">
      <c r="A551" s="47" t="s">
        <v>2088</v>
      </c>
      <c r="B551" s="47" t="s">
        <v>2089</v>
      </c>
      <c r="C551" s="47" t="s">
        <v>2090</v>
      </c>
      <c r="D551" s="47" t="s">
        <v>310</v>
      </c>
      <c r="E551" s="64">
        <v>39146.070000000007</v>
      </c>
      <c r="F551" s="64">
        <v>3.0000000000000001E-3</v>
      </c>
    </row>
    <row r="552" spans="1:6" x14ac:dyDescent="0.25">
      <c r="A552" s="47" t="s">
        <v>2091</v>
      </c>
      <c r="B552" s="47" t="s">
        <v>2092</v>
      </c>
      <c r="C552" s="47" t="s">
        <v>2093</v>
      </c>
      <c r="D552" s="47" t="s">
        <v>2094</v>
      </c>
      <c r="E552" s="64">
        <v>28632.799999999999</v>
      </c>
      <c r="F552" s="64">
        <v>7.0000000000000007E-2</v>
      </c>
    </row>
    <row r="553" spans="1:6" x14ac:dyDescent="0.25">
      <c r="A553" s="47" t="s">
        <v>2095</v>
      </c>
      <c r="B553" s="47" t="s">
        <v>2096</v>
      </c>
      <c r="C553" s="47" t="s">
        <v>2097</v>
      </c>
      <c r="D553" s="47" t="s">
        <v>2098</v>
      </c>
      <c r="E553" s="64">
        <v>52271.290000000008</v>
      </c>
      <c r="F553" s="64">
        <v>761.5</v>
      </c>
    </row>
    <row r="554" spans="1:6" x14ac:dyDescent="0.25">
      <c r="A554" s="47" t="s">
        <v>2099</v>
      </c>
      <c r="B554" s="47" t="s">
        <v>2100</v>
      </c>
      <c r="C554" s="47" t="s">
        <v>2101</v>
      </c>
      <c r="D554" s="47" t="s">
        <v>734</v>
      </c>
      <c r="E554" s="64">
        <v>23585.280000000002</v>
      </c>
      <c r="F554" s="64">
        <v>842</v>
      </c>
    </row>
    <row r="555" spans="1:6" x14ac:dyDescent="0.25">
      <c r="A555" s="47" t="s">
        <v>2102</v>
      </c>
      <c r="B555" s="47" t="s">
        <v>2103</v>
      </c>
      <c r="C555" s="47" t="s">
        <v>2104</v>
      </c>
      <c r="D555" s="47" t="s">
        <v>2105</v>
      </c>
      <c r="E555" s="64">
        <v>52675.03</v>
      </c>
      <c r="F555" s="64">
        <v>42.055</v>
      </c>
    </row>
    <row r="556" spans="1:6" x14ac:dyDescent="0.25">
      <c r="A556" s="47" t="s">
        <v>2106</v>
      </c>
      <c r="B556" s="47" t="s">
        <v>2107</v>
      </c>
      <c r="C556" s="47" t="s">
        <v>2108</v>
      </c>
      <c r="D556" s="47" t="s">
        <v>2109</v>
      </c>
      <c r="E556" s="64">
        <v>85848.069999999992</v>
      </c>
      <c r="F556" s="64">
        <v>25.34181818181818</v>
      </c>
    </row>
    <row r="557" spans="1:6" x14ac:dyDescent="0.25">
      <c r="A557" s="47" t="s">
        <v>2110</v>
      </c>
      <c r="B557" s="47" t="s">
        <v>2111</v>
      </c>
      <c r="C557" s="47" t="s">
        <v>2112</v>
      </c>
      <c r="D557" s="47" t="s">
        <v>2113</v>
      </c>
      <c r="E557" s="64">
        <v>22320.65</v>
      </c>
      <c r="F557" s="64">
        <v>50</v>
      </c>
    </row>
    <row r="558" spans="1:6" x14ac:dyDescent="0.25">
      <c r="A558" s="47" t="s">
        <v>2114</v>
      </c>
      <c r="B558" s="47" t="s">
        <v>2115</v>
      </c>
      <c r="C558" s="47" t="s">
        <v>2116</v>
      </c>
      <c r="D558" s="47" t="s">
        <v>2117</v>
      </c>
      <c r="E558" s="64">
        <v>89001.335000000021</v>
      </c>
      <c r="F558" s="64">
        <v>7.0125000000000002</v>
      </c>
    </row>
    <row r="559" spans="1:6" x14ac:dyDescent="0.25">
      <c r="A559" s="47" t="s">
        <v>2118</v>
      </c>
      <c r="B559" s="47" t="s">
        <v>2119</v>
      </c>
      <c r="C559" s="47" t="s">
        <v>2120</v>
      </c>
      <c r="D559" s="47" t="s">
        <v>2121</v>
      </c>
      <c r="E559" s="64">
        <v>43425.854999999996</v>
      </c>
      <c r="F559" s="64">
        <v>45.3</v>
      </c>
    </row>
    <row r="560" spans="1:6" x14ac:dyDescent="0.25">
      <c r="A560" s="47" t="s">
        <v>2122</v>
      </c>
      <c r="B560" s="47" t="s">
        <v>2123</v>
      </c>
      <c r="C560" s="47" t="s">
        <v>2124</v>
      </c>
      <c r="D560" s="47" t="s">
        <v>2125</v>
      </c>
      <c r="E560" s="64">
        <v>41549.19</v>
      </c>
      <c r="F560" s="64">
        <v>84.51428571428572</v>
      </c>
    </row>
    <row r="561" spans="1:6" x14ac:dyDescent="0.25">
      <c r="A561" s="47" t="s">
        <v>2126</v>
      </c>
      <c r="B561" s="47" t="s">
        <v>2127</v>
      </c>
      <c r="C561" s="47" t="s">
        <v>2128</v>
      </c>
      <c r="D561" s="47" t="s">
        <v>746</v>
      </c>
      <c r="E561" s="64">
        <v>50717.574999999997</v>
      </c>
      <c r="F561" s="64">
        <v>22.6</v>
      </c>
    </row>
    <row r="562" spans="1:6" x14ac:dyDescent="0.25">
      <c r="A562" s="47" t="s">
        <v>2129</v>
      </c>
      <c r="B562" s="47" t="s">
        <v>2130</v>
      </c>
      <c r="C562" s="47" t="s">
        <v>2131</v>
      </c>
      <c r="D562" s="47" t="s">
        <v>1608</v>
      </c>
      <c r="E562" s="64">
        <v>62183.86</v>
      </c>
      <c r="F562" s="64">
        <v>117.0090215438596</v>
      </c>
    </row>
    <row r="563" spans="1:6" x14ac:dyDescent="0.25">
      <c r="A563" s="47" t="s">
        <v>2132</v>
      </c>
      <c r="B563" s="47" t="s">
        <v>2107</v>
      </c>
      <c r="C563" s="47" t="s">
        <v>2133</v>
      </c>
      <c r="D563" s="47" t="s">
        <v>2109</v>
      </c>
      <c r="E563" s="64">
        <v>85848.069999999992</v>
      </c>
      <c r="F563" s="64">
        <v>93.556478749999997</v>
      </c>
    </row>
    <row r="564" spans="1:6" x14ac:dyDescent="0.25">
      <c r="A564" s="47" t="s">
        <v>2134</v>
      </c>
      <c r="B564" s="47" t="s">
        <v>2135</v>
      </c>
      <c r="C564" s="47" t="s">
        <v>2136</v>
      </c>
      <c r="D564" s="47"/>
      <c r="E564" s="64">
        <v>39959.482499999998</v>
      </c>
      <c r="F564" s="64">
        <v>100000000</v>
      </c>
    </row>
    <row r="565" spans="1:6" x14ac:dyDescent="0.25">
      <c r="A565" s="47" t="s">
        <v>2137</v>
      </c>
      <c r="B565" s="47" t="s">
        <v>2138</v>
      </c>
      <c r="C565" s="47" t="s">
        <v>2139</v>
      </c>
      <c r="D565" s="47"/>
      <c r="E565" s="64">
        <v>39959.482499999998</v>
      </c>
      <c r="F565" s="64">
        <v>100000000</v>
      </c>
    </row>
    <row r="566" spans="1:6" x14ac:dyDescent="0.25">
      <c r="A566" s="47" t="s">
        <v>2140</v>
      </c>
      <c r="B566" s="47" t="s">
        <v>2141</v>
      </c>
      <c r="C566" s="47" t="s">
        <v>2142</v>
      </c>
      <c r="D566" s="47"/>
      <c r="E566" s="64">
        <v>39959.482499999998</v>
      </c>
      <c r="F566" s="64">
        <v>100000000</v>
      </c>
    </row>
    <row r="567" spans="1:6" x14ac:dyDescent="0.25">
      <c r="A567" s="47" t="s">
        <v>2143</v>
      </c>
      <c r="B567" s="47" t="s">
        <v>2144</v>
      </c>
      <c r="C567" s="47" t="s">
        <v>2145</v>
      </c>
      <c r="D567" s="47"/>
      <c r="E567" s="64">
        <v>39959.482499999998</v>
      </c>
      <c r="F567" s="64">
        <v>100000000</v>
      </c>
    </row>
    <row r="568" spans="1:6" x14ac:dyDescent="0.25">
      <c r="A568" s="47" t="s">
        <v>2146</v>
      </c>
      <c r="B568" s="47" t="s">
        <v>2147</v>
      </c>
      <c r="C568" s="47" t="s">
        <v>2148</v>
      </c>
      <c r="D568" s="47"/>
      <c r="E568" s="64">
        <v>39959.482499999998</v>
      </c>
      <c r="F568" s="64">
        <v>100000000</v>
      </c>
    </row>
    <row r="569" spans="1:6" x14ac:dyDescent="0.25">
      <c r="A569" s="47" t="s">
        <v>2149</v>
      </c>
      <c r="B569" s="47" t="s">
        <v>2150</v>
      </c>
      <c r="C569" s="47" t="s">
        <v>2151</v>
      </c>
      <c r="D569" s="47"/>
      <c r="E569" s="64">
        <v>39959.482499999998</v>
      </c>
      <c r="F569" s="64">
        <v>100000000</v>
      </c>
    </row>
    <row r="570" spans="1:6" x14ac:dyDescent="0.25">
      <c r="A570" s="47" t="s">
        <v>2152</v>
      </c>
      <c r="B570" s="47" t="s">
        <v>2153</v>
      </c>
      <c r="C570" s="47" t="s">
        <v>2154</v>
      </c>
      <c r="D570" s="47"/>
      <c r="E570" s="64">
        <v>39959.482499999998</v>
      </c>
      <c r="F570" s="64">
        <v>100000000</v>
      </c>
    </row>
    <row r="571" spans="1:6" x14ac:dyDescent="0.25">
      <c r="A571" s="47" t="s">
        <v>2155</v>
      </c>
      <c r="B571" s="47" t="s">
        <v>2156</v>
      </c>
      <c r="C571" s="47" t="s">
        <v>2157</v>
      </c>
      <c r="D571" s="47"/>
      <c r="E571" s="64">
        <v>39959.482499999998</v>
      </c>
      <c r="F571" s="64">
        <v>100000000</v>
      </c>
    </row>
    <row r="572" spans="1:6" x14ac:dyDescent="0.25">
      <c r="A572" s="47" t="s">
        <v>2158</v>
      </c>
      <c r="B572" s="47" t="s">
        <v>2159</v>
      </c>
      <c r="C572" s="47" t="s">
        <v>2160</v>
      </c>
      <c r="D572" s="47"/>
      <c r="E572" s="64">
        <v>33587.89</v>
      </c>
      <c r="F572" s="64">
        <v>100000000</v>
      </c>
    </row>
    <row r="573" spans="1:6" x14ac:dyDescent="0.25">
      <c r="A573" s="47" t="s">
        <v>2161</v>
      </c>
      <c r="B573" s="47" t="s">
        <v>2162</v>
      </c>
      <c r="C573" s="47" t="s">
        <v>2163</v>
      </c>
      <c r="D573" s="47"/>
      <c r="E573" s="64">
        <v>39959.482499999998</v>
      </c>
      <c r="F573" s="64">
        <v>100000000</v>
      </c>
    </row>
    <row r="574" spans="1:6" x14ac:dyDescent="0.25">
      <c r="A574" s="47" t="s">
        <v>2164</v>
      </c>
      <c r="B574" s="47" t="s">
        <v>2165</v>
      </c>
      <c r="C574" s="47" t="s">
        <v>2166</v>
      </c>
      <c r="D574" s="47"/>
      <c r="E574" s="64">
        <v>39959.482499999998</v>
      </c>
      <c r="F574" s="64">
        <v>100000000</v>
      </c>
    </row>
    <row r="575" spans="1:6" x14ac:dyDescent="0.25">
      <c r="A575" s="47" t="s">
        <v>2167</v>
      </c>
      <c r="B575" s="47" t="s">
        <v>2168</v>
      </c>
      <c r="C575" s="47" t="s">
        <v>2169</v>
      </c>
      <c r="D575" s="47"/>
      <c r="E575" s="64">
        <v>37021.279999999999</v>
      </c>
      <c r="F575" s="64">
        <v>100000000</v>
      </c>
    </row>
    <row r="576" spans="1:6" x14ac:dyDescent="0.25">
      <c r="A576" s="47" t="s">
        <v>2170</v>
      </c>
      <c r="B576" s="47" t="s">
        <v>2171</v>
      </c>
      <c r="C576" s="47" t="s">
        <v>2172</v>
      </c>
      <c r="D576" s="47" t="s">
        <v>2173</v>
      </c>
      <c r="E576" s="64">
        <v>61550.724999999984</v>
      </c>
      <c r="F576" s="64">
        <v>2.9000000000000001E-2</v>
      </c>
    </row>
    <row r="577" spans="1:6" x14ac:dyDescent="0.25">
      <c r="A577" s="47" t="s">
        <v>2174</v>
      </c>
      <c r="B577" s="47" t="s">
        <v>2175</v>
      </c>
      <c r="C577" s="47" t="s">
        <v>2176</v>
      </c>
      <c r="D577" s="47" t="s">
        <v>2173</v>
      </c>
      <c r="E577" s="64">
        <v>61550.724999999984</v>
      </c>
      <c r="F577" s="64">
        <v>2.9000000000000001E-2</v>
      </c>
    </row>
    <row r="578" spans="1:6" x14ac:dyDescent="0.25">
      <c r="A578" s="47" t="s">
        <v>2177</v>
      </c>
      <c r="B578" s="47" t="s">
        <v>1824</v>
      </c>
      <c r="C578" s="47" t="s">
        <v>2178</v>
      </c>
      <c r="D578" s="47" t="s">
        <v>1826</v>
      </c>
      <c r="E578" s="64">
        <v>17680.45</v>
      </c>
      <c r="F578" s="64">
        <v>22300</v>
      </c>
    </row>
    <row r="579" spans="1:6" x14ac:dyDescent="0.25">
      <c r="A579" s="47" t="s">
        <v>2179</v>
      </c>
      <c r="B579" s="47" t="s">
        <v>2180</v>
      </c>
      <c r="C579" s="47" t="s">
        <v>2181</v>
      </c>
      <c r="D579" s="47" t="s">
        <v>2182</v>
      </c>
      <c r="E579" s="64">
        <v>189159.49</v>
      </c>
      <c r="F579" s="64">
        <v>94.286000000000001</v>
      </c>
    </row>
    <row r="580" spans="1:6" x14ac:dyDescent="0.25">
      <c r="A580" s="47" t="s">
        <v>2183</v>
      </c>
      <c r="B580" s="47" t="s">
        <v>2184</v>
      </c>
      <c r="C580" s="47" t="s">
        <v>2185</v>
      </c>
      <c r="D580" s="47" t="s">
        <v>2186</v>
      </c>
      <c r="E580" s="64">
        <v>47055.46</v>
      </c>
      <c r="F580" s="64">
        <v>6931</v>
      </c>
    </row>
    <row r="581" spans="1:6" x14ac:dyDescent="0.25">
      <c r="A581" s="47" t="s">
        <v>2187</v>
      </c>
      <c r="B581" s="47" t="s">
        <v>2188</v>
      </c>
      <c r="C581" s="47" t="s">
        <v>2189</v>
      </c>
      <c r="D581" s="47" t="s">
        <v>2190</v>
      </c>
      <c r="E581" s="64">
        <v>49437.139999999992</v>
      </c>
      <c r="F581" s="64">
        <v>33</v>
      </c>
    </row>
    <row r="582" spans="1:6" x14ac:dyDescent="0.25">
      <c r="A582" s="47" t="s">
        <v>2191</v>
      </c>
      <c r="B582" s="47" t="s">
        <v>2192</v>
      </c>
      <c r="C582" s="47" t="s">
        <v>2193</v>
      </c>
      <c r="D582" s="47" t="s">
        <v>2194</v>
      </c>
      <c r="E582" s="64">
        <v>250670.715</v>
      </c>
      <c r="F582" s="64">
        <v>68</v>
      </c>
    </row>
    <row r="583" spans="1:6" x14ac:dyDescent="0.25">
      <c r="A583" s="47" t="s">
        <v>2195</v>
      </c>
      <c r="B583" s="47" t="s">
        <v>2196</v>
      </c>
      <c r="C583" s="47" t="s">
        <v>2197</v>
      </c>
      <c r="D583" s="47" t="s">
        <v>2198</v>
      </c>
      <c r="E583" s="64">
        <v>47055.46</v>
      </c>
      <c r="F583" s="64">
        <v>250.5</v>
      </c>
    </row>
    <row r="584" spans="1:6" x14ac:dyDescent="0.25">
      <c r="A584" s="47" t="s">
        <v>2199</v>
      </c>
      <c r="B584" s="47" t="s">
        <v>2192</v>
      </c>
      <c r="C584" s="47" t="s">
        <v>2200</v>
      </c>
      <c r="D584" s="47" t="s">
        <v>2182</v>
      </c>
      <c r="E584" s="64">
        <v>132398.9</v>
      </c>
      <c r="F584" s="64">
        <v>94.286000000000001</v>
      </c>
    </row>
    <row r="585" spans="1:6" x14ac:dyDescent="0.25">
      <c r="A585" s="47" t="s">
        <v>2201</v>
      </c>
      <c r="B585" s="47" t="s">
        <v>2202</v>
      </c>
      <c r="C585" s="47" t="s">
        <v>2203</v>
      </c>
      <c r="D585" s="47" t="s">
        <v>2204</v>
      </c>
      <c r="E585" s="64">
        <v>103325.62000000001</v>
      </c>
      <c r="F585" s="64">
        <v>40.88335</v>
      </c>
    </row>
    <row r="586" spans="1:6" x14ac:dyDescent="0.25">
      <c r="A586" s="47" t="s">
        <v>2205</v>
      </c>
      <c r="B586" s="47" t="s">
        <v>2206</v>
      </c>
      <c r="C586" s="47" t="s">
        <v>2207</v>
      </c>
      <c r="D586" s="47" t="s">
        <v>2208</v>
      </c>
      <c r="E586" s="64">
        <v>133634.495</v>
      </c>
      <c r="F586" s="64">
        <v>145.25</v>
      </c>
    </row>
    <row r="587" spans="1:6" x14ac:dyDescent="0.25">
      <c r="A587" s="47" t="s">
        <v>2209</v>
      </c>
      <c r="B587" s="47" t="s">
        <v>2210</v>
      </c>
      <c r="C587" s="47" t="s">
        <v>2211</v>
      </c>
      <c r="D587" s="47" t="s">
        <v>2208</v>
      </c>
      <c r="E587" s="64">
        <v>133634.495</v>
      </c>
      <c r="F587" s="64">
        <v>145.25</v>
      </c>
    </row>
    <row r="588" spans="1:6" x14ac:dyDescent="0.25">
      <c r="A588" s="47" t="s">
        <v>2212</v>
      </c>
      <c r="B588" s="47" t="s">
        <v>2213</v>
      </c>
      <c r="C588" s="47" t="s">
        <v>2214</v>
      </c>
      <c r="D588" s="47"/>
      <c r="E588" s="64">
        <v>39959.482499999998</v>
      </c>
      <c r="F588" s="64">
        <v>100000000</v>
      </c>
    </row>
    <row r="589" spans="1:6" x14ac:dyDescent="0.25">
      <c r="A589" s="47" t="s">
        <v>2215</v>
      </c>
      <c r="B589" s="47" t="s">
        <v>2216</v>
      </c>
      <c r="C589" s="47" t="s">
        <v>2217</v>
      </c>
      <c r="D589" s="47"/>
      <c r="E589" s="64">
        <v>39959.482499999998</v>
      </c>
      <c r="F589" s="64">
        <v>100000000</v>
      </c>
    </row>
    <row r="590" spans="1:6" x14ac:dyDescent="0.25">
      <c r="A590" s="47" t="s">
        <v>2218</v>
      </c>
      <c r="B590" s="47" t="s">
        <v>2219</v>
      </c>
      <c r="C590" s="47" t="s">
        <v>2220</v>
      </c>
      <c r="D590" s="47"/>
      <c r="E590" s="64">
        <v>39959.482499999998</v>
      </c>
      <c r="F590" s="64">
        <v>100000000</v>
      </c>
    </row>
    <row r="591" spans="1:6" x14ac:dyDescent="0.25">
      <c r="A591" s="47" t="s">
        <v>2221</v>
      </c>
      <c r="B591" s="47" t="s">
        <v>2222</v>
      </c>
      <c r="C591" s="47" t="s">
        <v>2223</v>
      </c>
      <c r="D591" s="47"/>
      <c r="E591" s="64">
        <v>39959.482499999998</v>
      </c>
      <c r="F591" s="64">
        <v>100000000</v>
      </c>
    </row>
    <row r="592" spans="1:6" x14ac:dyDescent="0.25">
      <c r="A592" s="47" t="s">
        <v>2224</v>
      </c>
      <c r="B592" s="47" t="s">
        <v>2225</v>
      </c>
      <c r="C592" s="47" t="s">
        <v>2226</v>
      </c>
      <c r="D592" s="47"/>
      <c r="E592" s="64">
        <v>39959.482499999998</v>
      </c>
      <c r="F592" s="64">
        <v>100000000</v>
      </c>
    </row>
    <row r="593" spans="1:6" x14ac:dyDescent="0.25">
      <c r="A593" s="47" t="s">
        <v>2227</v>
      </c>
      <c r="B593" s="47" t="s">
        <v>2228</v>
      </c>
      <c r="C593" s="47" t="s">
        <v>2229</v>
      </c>
      <c r="D593" s="47"/>
      <c r="E593" s="64">
        <v>39959.482499999998</v>
      </c>
      <c r="F593" s="64">
        <v>100000000</v>
      </c>
    </row>
    <row r="594" spans="1:6" x14ac:dyDescent="0.25">
      <c r="A594" s="47" t="s">
        <v>2230</v>
      </c>
      <c r="B594" s="47" t="s">
        <v>2231</v>
      </c>
      <c r="C594" s="47" t="s">
        <v>2232</v>
      </c>
      <c r="D594" s="47"/>
      <c r="E594" s="64">
        <v>39959.482499999998</v>
      </c>
      <c r="F594" s="64">
        <v>100000000</v>
      </c>
    </row>
    <row r="595" spans="1:6" x14ac:dyDescent="0.25">
      <c r="A595" s="47" t="s">
        <v>2233</v>
      </c>
      <c r="B595" s="47" t="s">
        <v>2234</v>
      </c>
      <c r="C595" s="47" t="s">
        <v>2235</v>
      </c>
      <c r="D595" s="47"/>
      <c r="E595" s="64">
        <v>39959.482499999998</v>
      </c>
      <c r="F595" s="64">
        <v>100000000</v>
      </c>
    </row>
    <row r="596" spans="1:6" x14ac:dyDescent="0.25">
      <c r="A596" s="47" t="s">
        <v>2236</v>
      </c>
      <c r="B596" s="47" t="s">
        <v>2237</v>
      </c>
      <c r="C596" s="47" t="s">
        <v>2238</v>
      </c>
      <c r="D596" s="47"/>
      <c r="E596" s="64">
        <v>39959.482499999998</v>
      </c>
      <c r="F596" s="64">
        <v>100000000</v>
      </c>
    </row>
    <row r="597" spans="1:6" x14ac:dyDescent="0.25">
      <c r="A597" s="47" t="s">
        <v>2239</v>
      </c>
      <c r="B597" s="47" t="s">
        <v>2240</v>
      </c>
      <c r="C597" s="47" t="s">
        <v>2241</v>
      </c>
      <c r="D597" s="47"/>
      <c r="E597" s="64">
        <v>39959.482499999998</v>
      </c>
      <c r="F597" s="64">
        <v>100000000</v>
      </c>
    </row>
    <row r="598" spans="1:6" x14ac:dyDescent="0.25">
      <c r="A598" s="47" t="s">
        <v>2242</v>
      </c>
      <c r="B598" s="47" t="s">
        <v>2243</v>
      </c>
      <c r="C598" s="47" t="s">
        <v>2244</v>
      </c>
      <c r="D598" s="47" t="s">
        <v>2245</v>
      </c>
      <c r="E598" s="64">
        <v>43702.130000000005</v>
      </c>
      <c r="F598" s="64">
        <v>1.4</v>
      </c>
    </row>
    <row r="599" spans="1:6" x14ac:dyDescent="0.25">
      <c r="A599" s="47" t="s">
        <v>2246</v>
      </c>
      <c r="B599" s="47" t="s">
        <v>2247</v>
      </c>
      <c r="C599" s="47" t="s">
        <v>2248</v>
      </c>
      <c r="D599" s="47" t="s">
        <v>2249</v>
      </c>
      <c r="E599" s="64">
        <v>35041.760000000002</v>
      </c>
      <c r="F599" s="64">
        <v>0.15</v>
      </c>
    </row>
    <row r="600" spans="1:6" x14ac:dyDescent="0.25">
      <c r="A600" s="47" t="s">
        <v>2250</v>
      </c>
      <c r="B600" s="47" t="s">
        <v>2251</v>
      </c>
      <c r="C600" s="47" t="s">
        <v>2252</v>
      </c>
      <c r="D600" s="47" t="s">
        <v>2245</v>
      </c>
      <c r="E600" s="64">
        <v>43702.130000000005</v>
      </c>
      <c r="F600" s="64">
        <v>1.4</v>
      </c>
    </row>
    <row r="601" spans="1:6" x14ac:dyDescent="0.25">
      <c r="A601" s="47" t="s">
        <v>2253</v>
      </c>
      <c r="B601" s="47" t="s">
        <v>2254</v>
      </c>
      <c r="C601" s="47" t="s">
        <v>2255</v>
      </c>
      <c r="D601" s="47" t="s">
        <v>2245</v>
      </c>
      <c r="E601" s="64">
        <v>43702.130000000005</v>
      </c>
      <c r="F601" s="64">
        <v>1.4</v>
      </c>
    </row>
    <row r="602" spans="1:6" x14ac:dyDescent="0.25">
      <c r="A602" s="47" t="s">
        <v>2256</v>
      </c>
      <c r="B602" s="47" t="s">
        <v>2257</v>
      </c>
      <c r="C602" s="47" t="s">
        <v>2258</v>
      </c>
      <c r="D602" s="47" t="s">
        <v>2245</v>
      </c>
      <c r="E602" s="64">
        <v>43702.130000000005</v>
      </c>
      <c r="F602" s="64">
        <v>1.4</v>
      </c>
    </row>
    <row r="603" spans="1:6" x14ac:dyDescent="0.25">
      <c r="A603" s="47" t="s">
        <v>2259</v>
      </c>
      <c r="B603" s="47" t="s">
        <v>2260</v>
      </c>
      <c r="C603" s="47" t="s">
        <v>2261</v>
      </c>
      <c r="D603" s="47"/>
      <c r="E603" s="64">
        <v>32752.785000000003</v>
      </c>
      <c r="F603" s="64">
        <v>22</v>
      </c>
    </row>
    <row r="604" spans="1:6" x14ac:dyDescent="0.25">
      <c r="A604" s="47" t="s">
        <v>2262</v>
      </c>
      <c r="B604" s="47" t="s">
        <v>2263</v>
      </c>
      <c r="C604" s="47" t="s">
        <v>2264</v>
      </c>
      <c r="D604" s="47"/>
      <c r="E604" s="64">
        <v>47364.853333333333</v>
      </c>
      <c r="F604" s="64">
        <v>22</v>
      </c>
    </row>
    <row r="605" spans="1:6" x14ac:dyDescent="0.25">
      <c r="A605" s="47" t="s">
        <v>2265</v>
      </c>
      <c r="B605" s="47" t="s">
        <v>2266</v>
      </c>
      <c r="C605" s="47" t="s">
        <v>2267</v>
      </c>
      <c r="D605" s="47" t="s">
        <v>2268</v>
      </c>
      <c r="E605" s="64">
        <v>140676.22999999998</v>
      </c>
      <c r="F605" s="64">
        <v>3204</v>
      </c>
    </row>
    <row r="606" spans="1:6" x14ac:dyDescent="0.25">
      <c r="A606" s="47" t="s">
        <v>2269</v>
      </c>
      <c r="B606" s="47" t="s">
        <v>2270</v>
      </c>
      <c r="C606" s="47" t="s">
        <v>2271</v>
      </c>
      <c r="D606" s="47" t="s">
        <v>2272</v>
      </c>
      <c r="E606" s="64">
        <v>124433.76666666669</v>
      </c>
      <c r="F606" s="64">
        <v>95.19583333333334</v>
      </c>
    </row>
    <row r="607" spans="1:6" x14ac:dyDescent="0.25">
      <c r="A607" s="47" t="s">
        <v>2273</v>
      </c>
      <c r="B607" s="47" t="s">
        <v>2274</v>
      </c>
      <c r="C607" s="47" t="s">
        <v>2275</v>
      </c>
      <c r="D607" s="47" t="s">
        <v>2276</v>
      </c>
      <c r="E607" s="64">
        <v>140967.23000000001</v>
      </c>
      <c r="F607" s="64">
        <v>95.19583333333334</v>
      </c>
    </row>
    <row r="608" spans="1:6" x14ac:dyDescent="0.25">
      <c r="A608" s="47" t="s">
        <v>2277</v>
      </c>
      <c r="B608" s="47" t="s">
        <v>2278</v>
      </c>
      <c r="C608" s="47" t="s">
        <v>2279</v>
      </c>
      <c r="D608" s="47"/>
      <c r="E608" s="64">
        <v>52905.039999999994</v>
      </c>
      <c r="F608" s="64">
        <v>22</v>
      </c>
    </row>
    <row r="609" spans="1:6" x14ac:dyDescent="0.25">
      <c r="A609" s="47" t="s">
        <v>2280</v>
      </c>
      <c r="B609" s="47" t="s">
        <v>2281</v>
      </c>
      <c r="C609" s="47" t="s">
        <v>2282</v>
      </c>
      <c r="D609" s="47" t="s">
        <v>2283</v>
      </c>
      <c r="E609" s="64">
        <v>44174.560000000005</v>
      </c>
      <c r="F609" s="64">
        <v>110.60000000000001</v>
      </c>
    </row>
    <row r="610" spans="1:6" x14ac:dyDescent="0.25">
      <c r="A610" s="47" t="s">
        <v>2284</v>
      </c>
      <c r="B610" s="47" t="s">
        <v>2285</v>
      </c>
      <c r="C610" s="47" t="s">
        <v>2286</v>
      </c>
      <c r="D610" s="47" t="s">
        <v>2287</v>
      </c>
      <c r="E610" s="64">
        <v>92336.34</v>
      </c>
      <c r="F610" s="64">
        <v>95.19583333333334</v>
      </c>
    </row>
    <row r="611" spans="1:6" x14ac:dyDescent="0.25">
      <c r="A611" s="47" t="s">
        <v>2288</v>
      </c>
      <c r="B611" s="47" t="s">
        <v>2289</v>
      </c>
      <c r="C611" s="47" t="s">
        <v>2290</v>
      </c>
      <c r="D611" s="47"/>
      <c r="E611" s="64">
        <v>44931.294999999998</v>
      </c>
      <c r="F611" s="64">
        <v>22</v>
      </c>
    </row>
    <row r="612" spans="1:6" x14ac:dyDescent="0.25">
      <c r="A612" s="47" t="s">
        <v>2291</v>
      </c>
      <c r="B612" s="47" t="s">
        <v>2292</v>
      </c>
      <c r="C612" s="47" t="s">
        <v>2293</v>
      </c>
      <c r="D612" s="47"/>
      <c r="E612" s="64">
        <v>99558.409999999989</v>
      </c>
      <c r="F612" s="64">
        <v>22</v>
      </c>
    </row>
    <row r="613" spans="1:6" x14ac:dyDescent="0.25">
      <c r="A613" s="47" t="s">
        <v>2294</v>
      </c>
      <c r="B613" s="47" t="s">
        <v>2295</v>
      </c>
      <c r="C613" s="47" t="s">
        <v>2296</v>
      </c>
      <c r="D613" s="47"/>
      <c r="E613" s="64">
        <v>47051.219999999994</v>
      </c>
      <c r="F613" s="64">
        <v>22</v>
      </c>
    </row>
    <row r="614" spans="1:6" x14ac:dyDescent="0.25">
      <c r="A614" s="47" t="s">
        <v>2297</v>
      </c>
      <c r="B614" s="47" t="s">
        <v>2298</v>
      </c>
      <c r="C614" s="47" t="s">
        <v>2299</v>
      </c>
      <c r="D614" s="47"/>
      <c r="E614" s="64">
        <v>53606.61</v>
      </c>
      <c r="F614" s="64">
        <v>22</v>
      </c>
    </row>
    <row r="615" spans="1:6" x14ac:dyDescent="0.25">
      <c r="A615" s="47" t="s">
        <v>2300</v>
      </c>
      <c r="B615" s="47" t="s">
        <v>2301</v>
      </c>
      <c r="C615" s="47" t="s">
        <v>2302</v>
      </c>
      <c r="D615" s="47" t="s">
        <v>2303</v>
      </c>
      <c r="E615" s="64">
        <v>120656.47999999998</v>
      </c>
      <c r="F615" s="64">
        <v>95.19583333333334</v>
      </c>
    </row>
    <row r="616" spans="1:6" x14ac:dyDescent="0.25">
      <c r="A616" s="47" t="s">
        <v>2304</v>
      </c>
      <c r="B616" s="47" t="s">
        <v>2289</v>
      </c>
      <c r="C616" s="47" t="s">
        <v>2290</v>
      </c>
      <c r="D616" s="47"/>
      <c r="E616" s="64">
        <v>46138.509999999995</v>
      </c>
      <c r="F616" s="64">
        <v>22</v>
      </c>
    </row>
    <row r="617" spans="1:6" x14ac:dyDescent="0.25">
      <c r="A617" s="47" t="s">
        <v>2305</v>
      </c>
      <c r="B617" s="47" t="s">
        <v>2306</v>
      </c>
      <c r="C617" s="47" t="s">
        <v>2307</v>
      </c>
      <c r="D617" s="47"/>
      <c r="E617" s="64">
        <v>172988.33999999997</v>
      </c>
      <c r="F617" s="64">
        <v>22</v>
      </c>
    </row>
    <row r="618" spans="1:6" x14ac:dyDescent="0.25">
      <c r="A618" s="47" t="s">
        <v>2308</v>
      </c>
      <c r="B618" s="47" t="s">
        <v>2309</v>
      </c>
      <c r="C618" s="47" t="s">
        <v>2310</v>
      </c>
      <c r="D618" s="47" t="s">
        <v>2311</v>
      </c>
      <c r="E618" s="64">
        <v>141955.03</v>
      </c>
      <c r="F618" s="64">
        <v>3204</v>
      </c>
    </row>
    <row r="619" spans="1:6" x14ac:dyDescent="0.25">
      <c r="A619" s="47" t="s">
        <v>2312</v>
      </c>
      <c r="B619" s="47" t="s">
        <v>2313</v>
      </c>
      <c r="C619" s="47" t="s">
        <v>2314</v>
      </c>
      <c r="D619" s="47"/>
      <c r="E619" s="64">
        <v>46409.919999999998</v>
      </c>
      <c r="F619" s="64">
        <v>22</v>
      </c>
    </row>
    <row r="620" spans="1:6" x14ac:dyDescent="0.25">
      <c r="A620" s="47" t="s">
        <v>2315</v>
      </c>
      <c r="B620" s="47" t="s">
        <v>2316</v>
      </c>
      <c r="C620" s="47" t="s">
        <v>2317</v>
      </c>
      <c r="D620" s="47"/>
      <c r="E620" s="64">
        <v>46253.51</v>
      </c>
      <c r="F620" s="64">
        <v>22</v>
      </c>
    </row>
    <row r="621" spans="1:6" x14ac:dyDescent="0.25">
      <c r="A621" s="47" t="s">
        <v>2318</v>
      </c>
      <c r="B621" s="47" t="s">
        <v>2319</v>
      </c>
      <c r="C621" s="47" t="s">
        <v>2320</v>
      </c>
      <c r="D621" s="47"/>
      <c r="E621" s="64">
        <v>44931.294999999998</v>
      </c>
      <c r="F621" s="64">
        <v>22</v>
      </c>
    </row>
    <row r="622" spans="1:6" x14ac:dyDescent="0.25">
      <c r="A622" s="47" t="s">
        <v>2321</v>
      </c>
      <c r="B622" s="47" t="s">
        <v>2319</v>
      </c>
      <c r="C622" s="47" t="s">
        <v>2320</v>
      </c>
      <c r="D622" s="47"/>
      <c r="E622" s="64">
        <v>46138.509999999995</v>
      </c>
      <c r="F622" s="64">
        <v>22</v>
      </c>
    </row>
    <row r="623" spans="1:6" x14ac:dyDescent="0.25">
      <c r="A623" s="47" t="s">
        <v>2322</v>
      </c>
      <c r="B623" s="47" t="s">
        <v>2323</v>
      </c>
      <c r="C623" s="47" t="s">
        <v>2324</v>
      </c>
      <c r="D623" s="47"/>
      <c r="E623" s="64">
        <v>172988.33999999997</v>
      </c>
      <c r="F623" s="64">
        <v>22</v>
      </c>
    </row>
    <row r="624" spans="1:6" x14ac:dyDescent="0.25">
      <c r="A624" s="47" t="s">
        <v>2325</v>
      </c>
      <c r="B624" s="47" t="s">
        <v>2326</v>
      </c>
      <c r="C624" s="47" t="s">
        <v>2327</v>
      </c>
      <c r="D624" s="47"/>
      <c r="E624" s="64">
        <v>46138.509999999995</v>
      </c>
      <c r="F624" s="64">
        <v>22</v>
      </c>
    </row>
    <row r="625" spans="1:6" x14ac:dyDescent="0.25">
      <c r="A625" s="47" t="s">
        <v>2328</v>
      </c>
      <c r="B625" s="47" t="s">
        <v>2329</v>
      </c>
      <c r="C625" s="47" t="s">
        <v>2330</v>
      </c>
      <c r="D625" s="47" t="s">
        <v>2331</v>
      </c>
      <c r="E625" s="64">
        <v>133195.74</v>
      </c>
      <c r="F625" s="64">
        <v>95.19583333333334</v>
      </c>
    </row>
    <row r="626" spans="1:6" x14ac:dyDescent="0.25">
      <c r="A626" s="47" t="s">
        <v>2332</v>
      </c>
      <c r="B626" s="47" t="s">
        <v>2333</v>
      </c>
      <c r="C626" s="47" t="s">
        <v>2334</v>
      </c>
      <c r="D626" s="47"/>
      <c r="E626" s="64">
        <v>98815.420000000013</v>
      </c>
      <c r="F626" s="64">
        <v>22</v>
      </c>
    </row>
    <row r="627" spans="1:6" x14ac:dyDescent="0.25">
      <c r="A627" s="47" t="s">
        <v>2335</v>
      </c>
      <c r="B627" s="47" t="s">
        <v>2336</v>
      </c>
      <c r="C627" s="47" t="s">
        <v>2337</v>
      </c>
      <c r="D627" s="47"/>
      <c r="E627" s="64">
        <v>43476.590000000004</v>
      </c>
      <c r="F627" s="64">
        <v>22</v>
      </c>
    </row>
    <row r="628" spans="1:6" x14ac:dyDescent="0.25">
      <c r="A628" s="47" t="s">
        <v>2338</v>
      </c>
      <c r="B628" s="47" t="s">
        <v>2339</v>
      </c>
      <c r="C628" s="47" t="s">
        <v>2340</v>
      </c>
      <c r="D628" s="47"/>
      <c r="E628" s="64">
        <v>39959.482499999998</v>
      </c>
      <c r="F628" s="64">
        <v>100000000</v>
      </c>
    </row>
    <row r="629" spans="1:6" x14ac:dyDescent="0.25">
      <c r="A629" s="47" t="s">
        <v>2341</v>
      </c>
      <c r="B629" s="47" t="s">
        <v>2342</v>
      </c>
      <c r="C629" s="47" t="s">
        <v>2343</v>
      </c>
      <c r="D629" s="47"/>
      <c r="E629" s="64">
        <v>39959.482499999998</v>
      </c>
      <c r="F629" s="64">
        <v>100000000</v>
      </c>
    </row>
    <row r="630" spans="1:6" x14ac:dyDescent="0.25">
      <c r="A630" s="47" t="s">
        <v>2344</v>
      </c>
      <c r="B630" s="47" t="s">
        <v>2345</v>
      </c>
      <c r="C630" s="47" t="s">
        <v>2346</v>
      </c>
      <c r="D630" s="47"/>
      <c r="E630" s="64">
        <v>39959.482499999998</v>
      </c>
      <c r="F630" s="64">
        <v>100000000</v>
      </c>
    </row>
    <row r="631" spans="1:6" x14ac:dyDescent="0.25">
      <c r="A631" s="47" t="s">
        <v>2347</v>
      </c>
      <c r="B631" s="47" t="s">
        <v>2348</v>
      </c>
      <c r="C631" s="47" t="s">
        <v>2349</v>
      </c>
      <c r="D631" s="47"/>
      <c r="E631" s="64">
        <v>39959.482499999998</v>
      </c>
      <c r="F631" s="64">
        <v>100000000</v>
      </c>
    </row>
    <row r="632" spans="1:6" x14ac:dyDescent="0.25">
      <c r="A632" s="47" t="s">
        <v>2350</v>
      </c>
      <c r="B632" s="47" t="s">
        <v>2351</v>
      </c>
      <c r="C632" s="47" t="s">
        <v>2352</v>
      </c>
      <c r="D632" s="47"/>
      <c r="E632" s="64">
        <v>39959.482499999998</v>
      </c>
      <c r="F632" s="64">
        <v>100000000</v>
      </c>
    </row>
    <row r="633" spans="1:6" x14ac:dyDescent="0.25">
      <c r="A633" s="47" t="s">
        <v>2353</v>
      </c>
      <c r="B633" s="47" t="s">
        <v>2354</v>
      </c>
      <c r="C633" s="47" t="s">
        <v>2355</v>
      </c>
      <c r="D633" s="47" t="s">
        <v>2356</v>
      </c>
      <c r="E633" s="64">
        <v>24829.89</v>
      </c>
      <c r="F633" s="64">
        <v>3.9E-2</v>
      </c>
    </row>
    <row r="634" spans="1:6" x14ac:dyDescent="0.25">
      <c r="A634" s="47" t="s">
        <v>2357</v>
      </c>
      <c r="B634" s="47" t="s">
        <v>2358</v>
      </c>
      <c r="C634" s="47" t="s">
        <v>2359</v>
      </c>
      <c r="D634" s="47" t="s">
        <v>2360</v>
      </c>
      <c r="E634" s="64">
        <v>41735.050000000003</v>
      </c>
      <c r="F634" s="64">
        <v>0.86</v>
      </c>
    </row>
    <row r="635" spans="1:6" x14ac:dyDescent="0.25">
      <c r="A635" s="47" t="s">
        <v>2361</v>
      </c>
      <c r="B635" s="47" t="s">
        <v>2362</v>
      </c>
      <c r="C635" s="47" t="s">
        <v>2363</v>
      </c>
      <c r="D635" s="47" t="s">
        <v>2364</v>
      </c>
      <c r="E635" s="64">
        <v>132268.33000000002</v>
      </c>
      <c r="F635" s="64">
        <v>95.19583333333334</v>
      </c>
    </row>
    <row r="636" spans="1:6" x14ac:dyDescent="0.25">
      <c r="A636" s="47" t="s">
        <v>2365</v>
      </c>
      <c r="B636" s="47" t="s">
        <v>2366</v>
      </c>
      <c r="C636" s="47" t="s">
        <v>2367</v>
      </c>
      <c r="D636" s="47" t="s">
        <v>2368</v>
      </c>
      <c r="E636" s="64">
        <v>91359.08</v>
      </c>
      <c r="F636" s="64">
        <v>0.84499999999999997</v>
      </c>
    </row>
    <row r="637" spans="1:6" x14ac:dyDescent="0.25">
      <c r="A637" s="47" t="s">
        <v>2369</v>
      </c>
      <c r="B637" s="47" t="s">
        <v>2370</v>
      </c>
      <c r="C637" s="47" t="s">
        <v>2371</v>
      </c>
      <c r="D637" s="47"/>
      <c r="E637" s="64">
        <v>47526.44</v>
      </c>
      <c r="F637" s="64">
        <v>22</v>
      </c>
    </row>
    <row r="638" spans="1:6" x14ac:dyDescent="0.25">
      <c r="A638" s="47" t="s">
        <v>2372</v>
      </c>
      <c r="B638" s="47" t="s">
        <v>2373</v>
      </c>
      <c r="C638" s="47" t="s">
        <v>2374</v>
      </c>
      <c r="D638" s="47" t="s">
        <v>2375</v>
      </c>
      <c r="E638" s="64">
        <v>141269.435</v>
      </c>
      <c r="F638" s="64">
        <v>72.779166666666654</v>
      </c>
    </row>
    <row r="639" spans="1:6" x14ac:dyDescent="0.25">
      <c r="A639" s="47" t="s">
        <v>2376</v>
      </c>
      <c r="B639" s="47" t="s">
        <v>2377</v>
      </c>
      <c r="C639" s="47" t="s">
        <v>2378</v>
      </c>
      <c r="D639" s="47" t="s">
        <v>2379</v>
      </c>
      <c r="E639" s="64">
        <v>166243.38999999998</v>
      </c>
      <c r="F639" s="64">
        <v>3204</v>
      </c>
    </row>
    <row r="640" spans="1:6" x14ac:dyDescent="0.25">
      <c r="A640" s="47" t="s">
        <v>2380</v>
      </c>
      <c r="B640" s="47" t="s">
        <v>2381</v>
      </c>
      <c r="C640" s="47" t="s">
        <v>2382</v>
      </c>
      <c r="D640" s="47"/>
      <c r="E640" s="64">
        <v>53549.890000000007</v>
      </c>
      <c r="F640" s="64">
        <v>22</v>
      </c>
    </row>
    <row r="641" spans="1:6" x14ac:dyDescent="0.25">
      <c r="A641" s="47" t="s">
        <v>2383</v>
      </c>
      <c r="B641" s="47" t="s">
        <v>2384</v>
      </c>
      <c r="C641" s="47" t="s">
        <v>2385</v>
      </c>
      <c r="D641" s="47" t="s">
        <v>2386</v>
      </c>
      <c r="E641" s="64">
        <v>61875.670000000006</v>
      </c>
      <c r="F641" s="64">
        <v>0.08</v>
      </c>
    </row>
    <row r="642" spans="1:6" x14ac:dyDescent="0.25">
      <c r="A642" s="47" t="s">
        <v>2387</v>
      </c>
      <c r="B642" s="47" t="s">
        <v>2388</v>
      </c>
      <c r="C642" s="47" t="s">
        <v>2389</v>
      </c>
      <c r="D642" s="47" t="s">
        <v>2390</v>
      </c>
      <c r="E642" s="64">
        <v>27732.999999999996</v>
      </c>
      <c r="F642" s="64">
        <v>68</v>
      </c>
    </row>
    <row r="643" spans="1:6" x14ac:dyDescent="0.25">
      <c r="A643" s="47" t="s">
        <v>2391</v>
      </c>
      <c r="B643" s="47" t="s">
        <v>344</v>
      </c>
      <c r="C643" s="47" t="s">
        <v>2392</v>
      </c>
      <c r="D643" s="47" t="s">
        <v>346</v>
      </c>
      <c r="E643" s="64">
        <v>72625.084999999992</v>
      </c>
      <c r="F643" s="64">
        <v>22.9</v>
      </c>
    </row>
    <row r="644" spans="1:6" x14ac:dyDescent="0.25">
      <c r="A644" s="47" t="s">
        <v>2393</v>
      </c>
      <c r="B644" s="47" t="s">
        <v>2394</v>
      </c>
      <c r="C644" s="47" t="s">
        <v>2395</v>
      </c>
      <c r="D644" s="47" t="s">
        <v>2364</v>
      </c>
      <c r="E644" s="64">
        <v>132791.36000000002</v>
      </c>
      <c r="F644" s="64">
        <v>95.19583333333334</v>
      </c>
    </row>
    <row r="645" spans="1:6" x14ac:dyDescent="0.25">
      <c r="A645" s="47" t="s">
        <v>2396</v>
      </c>
      <c r="B645" s="47" t="s">
        <v>2397</v>
      </c>
      <c r="C645" s="47" t="s">
        <v>2398</v>
      </c>
      <c r="D645" s="47" t="s">
        <v>2364</v>
      </c>
      <c r="E645" s="64">
        <v>132268.33000000002</v>
      </c>
      <c r="F645" s="64">
        <v>95.19583333333334</v>
      </c>
    </row>
    <row r="646" spans="1:6" x14ac:dyDescent="0.25">
      <c r="A646" s="47" t="s">
        <v>2399</v>
      </c>
      <c r="B646" s="47" t="s">
        <v>2400</v>
      </c>
      <c r="C646" s="47" t="s">
        <v>2401</v>
      </c>
      <c r="D646" s="47"/>
      <c r="E646" s="64">
        <v>39959.482499999998</v>
      </c>
      <c r="F646" s="64">
        <v>100000000</v>
      </c>
    </row>
    <row r="647" spans="1:6" x14ac:dyDescent="0.25">
      <c r="A647" s="47" t="s">
        <v>2402</v>
      </c>
      <c r="B647" s="47" t="s">
        <v>2403</v>
      </c>
      <c r="C647" s="47" t="s">
        <v>2404</v>
      </c>
      <c r="D647" s="47"/>
      <c r="E647" s="64">
        <v>39959.482499999998</v>
      </c>
      <c r="F647" s="64">
        <v>100000000</v>
      </c>
    </row>
    <row r="648" spans="1:6" x14ac:dyDescent="0.25">
      <c r="A648" s="47" t="s">
        <v>2405</v>
      </c>
      <c r="B648" s="47" t="s">
        <v>2406</v>
      </c>
      <c r="C648" s="47" t="s">
        <v>2407</v>
      </c>
      <c r="D648" s="47"/>
      <c r="E648" s="64">
        <v>51683.05</v>
      </c>
      <c r="F648" s="64">
        <v>22</v>
      </c>
    </row>
    <row r="649" spans="1:6" x14ac:dyDescent="0.25">
      <c r="A649" s="47" t="s">
        <v>2408</v>
      </c>
      <c r="B649" s="47" t="s">
        <v>2409</v>
      </c>
      <c r="C649" s="47" t="s">
        <v>2410</v>
      </c>
      <c r="D649" s="47" t="s">
        <v>2208</v>
      </c>
      <c r="E649" s="64">
        <v>129228.67999999998</v>
      </c>
      <c r="F649" s="64">
        <v>40.200000000000003</v>
      </c>
    </row>
    <row r="650" spans="1:6" x14ac:dyDescent="0.25">
      <c r="A650" s="47" t="s">
        <v>2411</v>
      </c>
      <c r="B650" s="47" t="s">
        <v>2412</v>
      </c>
      <c r="C650" s="47" t="s">
        <v>2413</v>
      </c>
      <c r="D650" s="47" t="s">
        <v>2414</v>
      </c>
      <c r="E650" s="64">
        <v>119971.4</v>
      </c>
      <c r="F650" s="64">
        <v>95.19583333333334</v>
      </c>
    </row>
    <row r="651" spans="1:6" x14ac:dyDescent="0.25">
      <c r="A651" s="47" t="s">
        <v>2415</v>
      </c>
      <c r="B651" s="47" t="s">
        <v>2416</v>
      </c>
      <c r="C651" s="47" t="s">
        <v>2417</v>
      </c>
      <c r="D651" s="47"/>
      <c r="E651" s="64">
        <v>46841.400000000009</v>
      </c>
      <c r="F651" s="64">
        <v>22</v>
      </c>
    </row>
    <row r="652" spans="1:6" x14ac:dyDescent="0.25">
      <c r="A652" s="47" t="s">
        <v>2418</v>
      </c>
      <c r="B652" s="47" t="s">
        <v>2419</v>
      </c>
      <c r="C652" s="47" t="s">
        <v>2420</v>
      </c>
      <c r="D652" s="47" t="s">
        <v>2421</v>
      </c>
      <c r="E652" s="64">
        <v>151475.62000000002</v>
      </c>
      <c r="F652" s="64">
        <v>3204</v>
      </c>
    </row>
    <row r="653" spans="1:6" x14ac:dyDescent="0.25">
      <c r="A653" s="47" t="s">
        <v>2422</v>
      </c>
      <c r="B653" s="47" t="s">
        <v>2423</v>
      </c>
      <c r="C653" s="47" t="s">
        <v>2424</v>
      </c>
      <c r="D653" s="47"/>
      <c r="E653" s="64">
        <v>54231.64</v>
      </c>
      <c r="F653" s="64">
        <v>22</v>
      </c>
    </row>
    <row r="654" spans="1:6" x14ac:dyDescent="0.25">
      <c r="A654" s="47" t="s">
        <v>2425</v>
      </c>
      <c r="B654" s="47" t="s">
        <v>2426</v>
      </c>
      <c r="C654" s="47" t="s">
        <v>2427</v>
      </c>
      <c r="D654" s="47" t="s">
        <v>2428</v>
      </c>
      <c r="E654" s="64">
        <v>112441.35</v>
      </c>
      <c r="F654" s="64">
        <v>95.19583333333334</v>
      </c>
    </row>
    <row r="655" spans="1:6" x14ac:dyDescent="0.25">
      <c r="A655" s="47" t="s">
        <v>2429</v>
      </c>
      <c r="B655" s="47" t="s">
        <v>2430</v>
      </c>
      <c r="C655" s="47" t="s">
        <v>2431</v>
      </c>
      <c r="D655" s="47"/>
      <c r="E655" s="64">
        <v>47157.939999999995</v>
      </c>
      <c r="F655" s="64">
        <v>22</v>
      </c>
    </row>
    <row r="656" spans="1:6" x14ac:dyDescent="0.25">
      <c r="A656" s="47" t="s">
        <v>2432</v>
      </c>
      <c r="B656" s="47" t="s">
        <v>2433</v>
      </c>
      <c r="C656" s="47" t="s">
        <v>2434</v>
      </c>
      <c r="D656" s="47"/>
      <c r="E656" s="64">
        <v>45435.139999999992</v>
      </c>
      <c r="F656" s="64">
        <v>22</v>
      </c>
    </row>
    <row r="657" spans="1:6" x14ac:dyDescent="0.25">
      <c r="A657" s="47" t="s">
        <v>2435</v>
      </c>
      <c r="B657" s="47" t="s">
        <v>2436</v>
      </c>
      <c r="C657" s="47" t="s">
        <v>2437</v>
      </c>
      <c r="D657" s="47"/>
      <c r="E657" s="64">
        <v>46841.784999999996</v>
      </c>
      <c r="F657" s="64">
        <v>22</v>
      </c>
    </row>
    <row r="658" spans="1:6" x14ac:dyDescent="0.25">
      <c r="A658" s="47" t="s">
        <v>2438</v>
      </c>
      <c r="B658" s="47" t="s">
        <v>2439</v>
      </c>
      <c r="C658" s="47" t="s">
        <v>2440</v>
      </c>
      <c r="D658" s="47"/>
      <c r="E658" s="64">
        <v>39959.482499999998</v>
      </c>
      <c r="F658" s="64">
        <v>100000000</v>
      </c>
    </row>
    <row r="659" spans="1:6" x14ac:dyDescent="0.25">
      <c r="A659" s="47" t="s">
        <v>2441</v>
      </c>
      <c r="B659" s="47" t="s">
        <v>2442</v>
      </c>
      <c r="C659" s="47" t="s">
        <v>2443</v>
      </c>
      <c r="D659" s="47"/>
      <c r="E659" s="64">
        <v>39959.482499999998</v>
      </c>
      <c r="F659" s="64">
        <v>100000000</v>
      </c>
    </row>
    <row r="660" spans="1:6" x14ac:dyDescent="0.25">
      <c r="A660" s="47" t="s">
        <v>2444</v>
      </c>
      <c r="B660" s="47" t="s">
        <v>2445</v>
      </c>
      <c r="C660" s="47" t="s">
        <v>2446</v>
      </c>
      <c r="D660" s="47"/>
      <c r="E660" s="64">
        <v>39959.482499999998</v>
      </c>
      <c r="F660" s="64">
        <v>100000000</v>
      </c>
    </row>
    <row r="661" spans="1:6" x14ac:dyDescent="0.25">
      <c r="A661" s="47" t="s">
        <v>2447</v>
      </c>
      <c r="B661" s="47" t="s">
        <v>2448</v>
      </c>
      <c r="C661" s="47" t="s">
        <v>2449</v>
      </c>
      <c r="D661" s="47"/>
      <c r="E661" s="64">
        <v>39959.482499999998</v>
      </c>
      <c r="F661" s="64">
        <v>100000000</v>
      </c>
    </row>
    <row r="662" spans="1:6" x14ac:dyDescent="0.25">
      <c r="A662" s="47" t="s">
        <v>2450</v>
      </c>
      <c r="B662" s="47" t="s">
        <v>2451</v>
      </c>
      <c r="C662" s="47" t="s">
        <v>2452</v>
      </c>
      <c r="D662" s="47"/>
      <c r="E662" s="64">
        <v>39959.482499999998</v>
      </c>
      <c r="F662" s="64">
        <v>100000000</v>
      </c>
    </row>
    <row r="663" spans="1:6" x14ac:dyDescent="0.25">
      <c r="A663" s="47" t="s">
        <v>2453</v>
      </c>
      <c r="B663" s="47" t="s">
        <v>2454</v>
      </c>
      <c r="C663" s="47" t="s">
        <v>2455</v>
      </c>
      <c r="D663" s="47"/>
      <c r="E663" s="64">
        <v>39959.482499999998</v>
      </c>
      <c r="F663" s="64">
        <v>100000000</v>
      </c>
    </row>
    <row r="664" spans="1:6" x14ac:dyDescent="0.25">
      <c r="A664" s="47" t="s">
        <v>2456</v>
      </c>
      <c r="B664" s="47" t="s">
        <v>2457</v>
      </c>
      <c r="C664" s="47" t="s">
        <v>2458</v>
      </c>
      <c r="D664" s="47"/>
      <c r="E664" s="64">
        <v>33587.89</v>
      </c>
      <c r="F664" s="64">
        <v>100000000</v>
      </c>
    </row>
    <row r="665" spans="1:6" x14ac:dyDescent="0.25">
      <c r="A665" s="47" t="s">
        <v>2459</v>
      </c>
      <c r="B665" s="47" t="s">
        <v>2460</v>
      </c>
      <c r="C665" s="47" t="s">
        <v>2461</v>
      </c>
      <c r="D665" s="47"/>
      <c r="E665" s="64">
        <v>39959.482499999998</v>
      </c>
      <c r="F665" s="64">
        <v>100000000</v>
      </c>
    </row>
    <row r="666" spans="1:6" x14ac:dyDescent="0.25">
      <c r="A666" s="47" t="s">
        <v>2462</v>
      </c>
      <c r="B666" s="47" t="s">
        <v>2463</v>
      </c>
      <c r="C666" s="47" t="s">
        <v>2464</v>
      </c>
      <c r="D666" s="47"/>
      <c r="E666" s="64">
        <v>39959.482499999998</v>
      </c>
      <c r="F666" s="64">
        <v>100000000</v>
      </c>
    </row>
    <row r="667" spans="1:6" x14ac:dyDescent="0.25">
      <c r="A667" s="47" t="s">
        <v>2465</v>
      </c>
      <c r="B667" s="47" t="s">
        <v>2466</v>
      </c>
      <c r="C667" s="47" t="s">
        <v>2467</v>
      </c>
      <c r="D667" s="47" t="s">
        <v>798</v>
      </c>
      <c r="E667" s="64">
        <v>43462.375</v>
      </c>
      <c r="F667" s="64">
        <v>4.1199999999999992</v>
      </c>
    </row>
    <row r="668" spans="1:6" x14ac:dyDescent="0.25">
      <c r="A668" s="47" t="s">
        <v>2468</v>
      </c>
      <c r="B668" s="47" t="s">
        <v>2469</v>
      </c>
      <c r="C668" s="47" t="s">
        <v>2470</v>
      </c>
      <c r="D668" s="47"/>
      <c r="E668" s="64">
        <v>39959.482499999998</v>
      </c>
      <c r="F668" s="64">
        <v>100000000</v>
      </c>
    </row>
    <row r="669" spans="1:6" x14ac:dyDescent="0.25">
      <c r="A669" s="47" t="s">
        <v>2471</v>
      </c>
      <c r="B669" s="47" t="s">
        <v>2472</v>
      </c>
      <c r="C669" s="47" t="s">
        <v>2473</v>
      </c>
      <c r="D669" s="47"/>
      <c r="E669" s="64">
        <v>49074.31</v>
      </c>
      <c r="F669" s="64">
        <v>22</v>
      </c>
    </row>
    <row r="670" spans="1:6" x14ac:dyDescent="0.25">
      <c r="A670" s="47" t="s">
        <v>2474</v>
      </c>
      <c r="B670" s="47" t="s">
        <v>2475</v>
      </c>
      <c r="C670" s="47" t="s">
        <v>2476</v>
      </c>
      <c r="D670" s="47"/>
      <c r="E670" s="64">
        <v>50981.17</v>
      </c>
      <c r="F670" s="64">
        <v>22</v>
      </c>
    </row>
    <row r="671" spans="1:6" x14ac:dyDescent="0.25">
      <c r="A671" s="47" t="s">
        <v>2477</v>
      </c>
      <c r="B671" s="47" t="s">
        <v>2478</v>
      </c>
      <c r="C671" s="47" t="s">
        <v>2479</v>
      </c>
      <c r="D671" s="47"/>
      <c r="E671" s="64">
        <v>39959.482499999998</v>
      </c>
      <c r="F671" s="64">
        <v>100000000</v>
      </c>
    </row>
    <row r="672" spans="1:6" x14ac:dyDescent="0.25">
      <c r="A672" s="47" t="s">
        <v>2480</v>
      </c>
      <c r="B672" s="47" t="s">
        <v>2481</v>
      </c>
      <c r="C672" s="47" t="s">
        <v>2482</v>
      </c>
      <c r="D672" s="47"/>
      <c r="E672" s="64">
        <v>51078.759999999995</v>
      </c>
      <c r="F672" s="64">
        <v>22</v>
      </c>
    </row>
    <row r="673" spans="1:6" x14ac:dyDescent="0.25">
      <c r="A673" s="47" t="s">
        <v>2483</v>
      </c>
      <c r="B673" s="47" t="s">
        <v>2484</v>
      </c>
      <c r="C673" s="47" t="s">
        <v>2485</v>
      </c>
      <c r="D673" s="47" t="s">
        <v>2303</v>
      </c>
      <c r="E673" s="64">
        <v>81479.06</v>
      </c>
      <c r="F673" s="64">
        <v>95.19583333333334</v>
      </c>
    </row>
    <row r="674" spans="1:6" x14ac:dyDescent="0.25">
      <c r="A674" s="47" t="s">
        <v>2486</v>
      </c>
      <c r="B674" s="47" t="s">
        <v>2487</v>
      </c>
      <c r="C674" s="47" t="s">
        <v>2488</v>
      </c>
      <c r="D674" s="47" t="s">
        <v>2489</v>
      </c>
      <c r="E674" s="64">
        <v>139821.58999999997</v>
      </c>
      <c r="F674" s="64">
        <v>3204</v>
      </c>
    </row>
    <row r="675" spans="1:6" x14ac:dyDescent="0.25">
      <c r="A675" s="47" t="s">
        <v>2490</v>
      </c>
      <c r="B675" s="47" t="s">
        <v>2491</v>
      </c>
      <c r="C675" s="47" t="s">
        <v>2492</v>
      </c>
      <c r="D675" s="47" t="s">
        <v>1118</v>
      </c>
      <c r="E675" s="64">
        <v>63634.69</v>
      </c>
      <c r="F675" s="64">
        <v>199</v>
      </c>
    </row>
    <row r="676" spans="1:6" x14ac:dyDescent="0.25">
      <c r="A676" s="47" t="s">
        <v>2493</v>
      </c>
      <c r="B676" s="47" t="s">
        <v>2494</v>
      </c>
      <c r="C676" s="47" t="s">
        <v>2495</v>
      </c>
      <c r="D676" s="47" t="s">
        <v>2496</v>
      </c>
      <c r="E676" s="64">
        <v>102492.02000000002</v>
      </c>
      <c r="F676" s="64">
        <v>320.5</v>
      </c>
    </row>
    <row r="677" spans="1:6" x14ac:dyDescent="0.25">
      <c r="A677" s="47" t="s">
        <v>2497</v>
      </c>
      <c r="B677" s="47" t="s">
        <v>2498</v>
      </c>
      <c r="C677" s="47" t="s">
        <v>2499</v>
      </c>
      <c r="D677" s="47" t="s">
        <v>2496</v>
      </c>
      <c r="E677" s="64">
        <v>100323.04000000001</v>
      </c>
      <c r="F677" s="64">
        <v>320.5</v>
      </c>
    </row>
    <row r="678" spans="1:6" x14ac:dyDescent="0.25">
      <c r="A678" s="47" t="s">
        <v>2500</v>
      </c>
      <c r="B678" s="47" t="s">
        <v>2501</v>
      </c>
      <c r="C678" s="47" t="s">
        <v>2502</v>
      </c>
      <c r="D678" s="47"/>
      <c r="E678" s="64">
        <v>20070.43</v>
      </c>
      <c r="F678" s="64">
        <v>22</v>
      </c>
    </row>
    <row r="679" spans="1:6" x14ac:dyDescent="0.25">
      <c r="A679" s="47" t="s">
        <v>2503</v>
      </c>
      <c r="B679" s="47" t="s">
        <v>2504</v>
      </c>
      <c r="C679" s="47" t="s">
        <v>2505</v>
      </c>
      <c r="D679" s="47" t="s">
        <v>2506</v>
      </c>
      <c r="E679" s="64">
        <v>234022.89499999996</v>
      </c>
      <c r="F679" s="64">
        <v>79</v>
      </c>
    </row>
    <row r="680" spans="1:6" x14ac:dyDescent="0.25">
      <c r="A680" s="47" t="s">
        <v>2507</v>
      </c>
      <c r="B680" s="47" t="s">
        <v>2508</v>
      </c>
      <c r="C680" s="47" t="s">
        <v>2509</v>
      </c>
      <c r="D680" s="47"/>
      <c r="E680" s="64">
        <v>39959.482499999998</v>
      </c>
      <c r="F680" s="64">
        <v>100000000</v>
      </c>
    </row>
    <row r="681" spans="1:6" x14ac:dyDescent="0.25">
      <c r="A681" s="47" t="s">
        <v>2510</v>
      </c>
      <c r="B681" s="47" t="s">
        <v>2511</v>
      </c>
      <c r="C681" s="47" t="s">
        <v>2512</v>
      </c>
      <c r="D681" s="47"/>
      <c r="E681" s="64">
        <v>39959.482499999998</v>
      </c>
      <c r="F681" s="64">
        <v>100000000</v>
      </c>
    </row>
    <row r="682" spans="1:6" x14ac:dyDescent="0.25">
      <c r="A682" s="47" t="s">
        <v>2513</v>
      </c>
      <c r="B682" s="47" t="s">
        <v>2514</v>
      </c>
      <c r="C682" s="47" t="s">
        <v>2515</v>
      </c>
      <c r="D682" s="47"/>
      <c r="E682" s="64">
        <v>59195.62</v>
      </c>
      <c r="F682" s="64">
        <v>22</v>
      </c>
    </row>
    <row r="683" spans="1:6" x14ac:dyDescent="0.25">
      <c r="A683" s="47" t="s">
        <v>2516</v>
      </c>
      <c r="B683" s="47" t="s">
        <v>2517</v>
      </c>
      <c r="C683" s="47" t="s">
        <v>2518</v>
      </c>
      <c r="D683" s="47"/>
      <c r="E683" s="64">
        <v>47554.513333333329</v>
      </c>
      <c r="F683" s="64">
        <v>22</v>
      </c>
    </row>
    <row r="684" spans="1:6" x14ac:dyDescent="0.25">
      <c r="A684" s="47" t="s">
        <v>2519</v>
      </c>
      <c r="B684" s="47" t="s">
        <v>2520</v>
      </c>
      <c r="C684" s="47" t="s">
        <v>2521</v>
      </c>
      <c r="D684" s="47"/>
      <c r="E684" s="64">
        <v>44931.294999999998</v>
      </c>
      <c r="F684" s="64">
        <v>22</v>
      </c>
    </row>
    <row r="685" spans="1:6" x14ac:dyDescent="0.25">
      <c r="A685" s="47" t="s">
        <v>2522</v>
      </c>
      <c r="B685" s="47" t="s">
        <v>2520</v>
      </c>
      <c r="C685" s="47" t="s">
        <v>2521</v>
      </c>
      <c r="D685" s="47"/>
      <c r="E685" s="64">
        <v>46138.509999999995</v>
      </c>
      <c r="F685" s="64">
        <v>22</v>
      </c>
    </row>
    <row r="686" spans="1:6" x14ac:dyDescent="0.25">
      <c r="A686" s="47" t="s">
        <v>2523</v>
      </c>
      <c r="B686" s="47" t="s">
        <v>2524</v>
      </c>
      <c r="C686" s="47" t="s">
        <v>2525</v>
      </c>
      <c r="D686" s="47"/>
      <c r="E686" s="64">
        <v>172988.33999999997</v>
      </c>
      <c r="F686" s="64">
        <v>22</v>
      </c>
    </row>
    <row r="687" spans="1:6" x14ac:dyDescent="0.25">
      <c r="A687" s="47" t="s">
        <v>2526</v>
      </c>
      <c r="B687" s="47" t="s">
        <v>2527</v>
      </c>
      <c r="C687" s="47" t="s">
        <v>2528</v>
      </c>
      <c r="D687" s="47" t="s">
        <v>2331</v>
      </c>
      <c r="E687" s="64">
        <v>123930.86</v>
      </c>
      <c r="F687" s="64">
        <v>95.19583333333334</v>
      </c>
    </row>
    <row r="688" spans="1:6" x14ac:dyDescent="0.25">
      <c r="A688" s="47" t="s">
        <v>2529</v>
      </c>
      <c r="B688" s="47" t="s">
        <v>2530</v>
      </c>
      <c r="C688" s="47" t="s">
        <v>2531</v>
      </c>
      <c r="D688" s="47"/>
      <c r="E688" s="64">
        <v>52454.75</v>
      </c>
      <c r="F688" s="64">
        <v>22</v>
      </c>
    </row>
    <row r="689" spans="1:6" x14ac:dyDescent="0.25">
      <c r="A689" s="47" t="s">
        <v>2532</v>
      </c>
      <c r="B689" s="47" t="s">
        <v>2533</v>
      </c>
      <c r="C689" s="47" t="s">
        <v>2534</v>
      </c>
      <c r="D689" s="47" t="s">
        <v>2331</v>
      </c>
      <c r="E689" s="64">
        <v>124730.51999999997</v>
      </c>
      <c r="F689" s="64">
        <v>95.19583333333334</v>
      </c>
    </row>
    <row r="690" spans="1:6" x14ac:dyDescent="0.25">
      <c r="A690" s="47" t="s">
        <v>2535</v>
      </c>
      <c r="B690" s="47" t="s">
        <v>2536</v>
      </c>
      <c r="C690" s="47" t="s">
        <v>2537</v>
      </c>
      <c r="D690" s="47" t="s">
        <v>152</v>
      </c>
      <c r="E690" s="64">
        <v>78330.794999999998</v>
      </c>
      <c r="F690" s="64">
        <v>7.5465</v>
      </c>
    </row>
    <row r="691" spans="1:6" x14ac:dyDescent="0.25">
      <c r="A691" s="47" t="s">
        <v>2538</v>
      </c>
      <c r="B691" s="47" t="s">
        <v>2539</v>
      </c>
      <c r="C691" s="47" t="s">
        <v>2540</v>
      </c>
      <c r="D691" s="47" t="s">
        <v>2541</v>
      </c>
      <c r="E691" s="64">
        <v>63898.9</v>
      </c>
      <c r="F691" s="64">
        <v>3860</v>
      </c>
    </row>
    <row r="692" spans="1:6" x14ac:dyDescent="0.25">
      <c r="A692" s="47" t="s">
        <v>2542</v>
      </c>
      <c r="B692" s="47" t="s">
        <v>2543</v>
      </c>
      <c r="C692" s="47" t="s">
        <v>2544</v>
      </c>
      <c r="D692" s="47"/>
      <c r="E692" s="64">
        <v>46233.58</v>
      </c>
      <c r="F692" s="64">
        <v>100000000</v>
      </c>
    </row>
    <row r="693" spans="1:6" x14ac:dyDescent="0.25">
      <c r="A693" s="47" t="s">
        <v>2545</v>
      </c>
      <c r="B693" s="47" t="s">
        <v>2546</v>
      </c>
      <c r="C693" s="47" t="s">
        <v>2547</v>
      </c>
      <c r="D693" s="47" t="s">
        <v>2548</v>
      </c>
      <c r="E693" s="64">
        <v>158090.44</v>
      </c>
      <c r="F693" s="64">
        <v>1500</v>
      </c>
    </row>
    <row r="694" spans="1:6" x14ac:dyDescent="0.25">
      <c r="A694" s="47" t="s">
        <v>2549</v>
      </c>
      <c r="B694" s="47" t="s">
        <v>2550</v>
      </c>
      <c r="C694" s="47" t="s">
        <v>2551</v>
      </c>
      <c r="D694" s="47"/>
      <c r="E694" s="64">
        <v>46233.58</v>
      </c>
      <c r="F694" s="64">
        <v>22</v>
      </c>
    </row>
    <row r="695" spans="1:6" x14ac:dyDescent="0.25">
      <c r="A695" s="47" t="s">
        <v>2552</v>
      </c>
      <c r="B695" s="47" t="s">
        <v>2553</v>
      </c>
      <c r="C695" s="47" t="s">
        <v>2554</v>
      </c>
      <c r="D695" s="47" t="s">
        <v>2364</v>
      </c>
      <c r="E695" s="64">
        <v>130303.92</v>
      </c>
      <c r="F695" s="64">
        <v>95.19583333333334</v>
      </c>
    </row>
    <row r="696" spans="1:6" x14ac:dyDescent="0.25">
      <c r="A696" s="47" t="s">
        <v>2555</v>
      </c>
      <c r="B696" s="47" t="s">
        <v>2556</v>
      </c>
      <c r="C696" s="47" t="s">
        <v>2557</v>
      </c>
      <c r="D696" s="47"/>
      <c r="E696" s="64">
        <v>149082.26999999999</v>
      </c>
      <c r="F696" s="64">
        <v>22</v>
      </c>
    </row>
    <row r="697" spans="1:6" x14ac:dyDescent="0.25">
      <c r="A697" s="47" t="s">
        <v>2558</v>
      </c>
      <c r="B697" s="47" t="s">
        <v>2559</v>
      </c>
      <c r="C697" s="47" t="s">
        <v>2560</v>
      </c>
      <c r="D697" s="47"/>
      <c r="E697" s="64">
        <v>39959.482499999998</v>
      </c>
      <c r="F697" s="64">
        <v>100000000</v>
      </c>
    </row>
    <row r="698" spans="1:6" x14ac:dyDescent="0.25">
      <c r="A698" s="47" t="s">
        <v>2561</v>
      </c>
      <c r="B698" s="47" t="s">
        <v>2562</v>
      </c>
      <c r="C698" s="47" t="s">
        <v>2563</v>
      </c>
      <c r="D698" s="47"/>
      <c r="E698" s="64">
        <v>39959.482499999998</v>
      </c>
      <c r="F698" s="64">
        <v>100000000</v>
      </c>
    </row>
    <row r="699" spans="1:6" x14ac:dyDescent="0.25">
      <c r="A699" s="47" t="s">
        <v>2564</v>
      </c>
      <c r="B699" s="47" t="s">
        <v>2565</v>
      </c>
      <c r="C699" s="47" t="s">
        <v>2566</v>
      </c>
      <c r="D699" s="47"/>
      <c r="E699" s="64">
        <v>39959.482499999998</v>
      </c>
      <c r="F699" s="64">
        <v>100000000</v>
      </c>
    </row>
    <row r="700" spans="1:6" x14ac:dyDescent="0.25">
      <c r="A700" s="47" t="s">
        <v>2567</v>
      </c>
      <c r="B700" s="47" t="s">
        <v>2568</v>
      </c>
      <c r="C700" s="47" t="s">
        <v>2569</v>
      </c>
      <c r="D700" s="47"/>
      <c r="E700" s="64">
        <v>39959.482499999998</v>
      </c>
      <c r="F700" s="64">
        <v>100000000</v>
      </c>
    </row>
    <row r="701" spans="1:6" x14ac:dyDescent="0.25">
      <c r="A701" s="47" t="s">
        <v>2570</v>
      </c>
      <c r="B701" s="47" t="s">
        <v>2571</v>
      </c>
      <c r="C701" s="47" t="s">
        <v>2572</v>
      </c>
      <c r="D701" s="47"/>
      <c r="E701" s="64">
        <v>39959.482499999998</v>
      </c>
      <c r="F701" s="64">
        <v>100000000</v>
      </c>
    </row>
    <row r="702" spans="1:6" x14ac:dyDescent="0.25">
      <c r="A702" s="47" t="s">
        <v>2573</v>
      </c>
      <c r="B702" s="47" t="s">
        <v>2574</v>
      </c>
      <c r="C702" s="47" t="s">
        <v>2575</v>
      </c>
      <c r="D702" s="47"/>
      <c r="E702" s="64">
        <v>39959.482499999998</v>
      </c>
      <c r="F702" s="64">
        <v>100000000</v>
      </c>
    </row>
    <row r="703" spans="1:6" x14ac:dyDescent="0.25">
      <c r="A703" s="47" t="s">
        <v>2576</v>
      </c>
      <c r="B703" s="47" t="s">
        <v>2577</v>
      </c>
      <c r="C703" s="47" t="s">
        <v>2578</v>
      </c>
      <c r="D703" s="47"/>
      <c r="E703" s="64">
        <v>39959.482499999998</v>
      </c>
      <c r="F703" s="64">
        <v>100000000</v>
      </c>
    </row>
    <row r="704" spans="1:6" x14ac:dyDescent="0.25">
      <c r="A704" s="47" t="s">
        <v>2579</v>
      </c>
      <c r="B704" s="47" t="s">
        <v>2580</v>
      </c>
      <c r="C704" s="47" t="s">
        <v>2581</v>
      </c>
      <c r="D704" s="47" t="s">
        <v>152</v>
      </c>
      <c r="E704" s="64">
        <v>78330.794999999998</v>
      </c>
      <c r="F704" s="64">
        <v>380.5</v>
      </c>
    </row>
    <row r="705" spans="1:6" x14ac:dyDescent="0.25">
      <c r="A705" s="47" t="s">
        <v>2582</v>
      </c>
      <c r="B705" s="47" t="s">
        <v>2583</v>
      </c>
      <c r="C705" s="47" t="s">
        <v>2584</v>
      </c>
      <c r="D705" s="47" t="s">
        <v>2585</v>
      </c>
      <c r="E705" s="64">
        <v>45404.34</v>
      </c>
      <c r="F705" s="64">
        <v>1.7</v>
      </c>
    </row>
    <row r="706" spans="1:6" x14ac:dyDescent="0.25">
      <c r="A706" s="47" t="s">
        <v>2586</v>
      </c>
      <c r="B706" s="47" t="s">
        <v>2587</v>
      </c>
      <c r="C706" s="47" t="s">
        <v>2588</v>
      </c>
      <c r="D706" s="47"/>
      <c r="E706" s="64">
        <v>53091.17</v>
      </c>
      <c r="F706" s="64">
        <v>22</v>
      </c>
    </row>
    <row r="707" spans="1:6" x14ac:dyDescent="0.25">
      <c r="A707" s="47" t="s">
        <v>2589</v>
      </c>
      <c r="B707" s="47" t="s">
        <v>2590</v>
      </c>
      <c r="C707" s="47" t="s">
        <v>2591</v>
      </c>
      <c r="D707" s="47"/>
      <c r="E707" s="64">
        <v>56585.760000000009</v>
      </c>
      <c r="F707" s="64">
        <v>22</v>
      </c>
    </row>
    <row r="708" spans="1:6" x14ac:dyDescent="0.25">
      <c r="A708" s="47" t="s">
        <v>2592</v>
      </c>
      <c r="B708" s="47" t="s">
        <v>2593</v>
      </c>
      <c r="C708" s="47" t="s">
        <v>2594</v>
      </c>
      <c r="D708" s="47" t="s">
        <v>2303</v>
      </c>
      <c r="E708" s="64">
        <v>133629.51</v>
      </c>
      <c r="F708" s="64">
        <v>95.19583333333334</v>
      </c>
    </row>
    <row r="709" spans="1:6" x14ac:dyDescent="0.25">
      <c r="A709" s="47" t="s">
        <v>2595</v>
      </c>
      <c r="B709" s="47" t="s">
        <v>2596</v>
      </c>
      <c r="C709" s="47" t="s">
        <v>2597</v>
      </c>
      <c r="D709" s="47"/>
      <c r="E709" s="64">
        <v>46388</v>
      </c>
      <c r="F709" s="64">
        <v>22</v>
      </c>
    </row>
    <row r="710" spans="1:6" x14ac:dyDescent="0.25">
      <c r="A710" s="47" t="s">
        <v>2598</v>
      </c>
      <c r="B710" s="47" t="s">
        <v>2599</v>
      </c>
      <c r="C710" s="47" t="s">
        <v>2600</v>
      </c>
      <c r="D710" s="47"/>
      <c r="E710" s="64">
        <v>46388</v>
      </c>
      <c r="F710" s="64">
        <v>22</v>
      </c>
    </row>
    <row r="711" spans="1:6" x14ac:dyDescent="0.25">
      <c r="A711" s="47" t="s">
        <v>2601</v>
      </c>
      <c r="B711" s="47" t="s">
        <v>2602</v>
      </c>
      <c r="C711" s="47" t="s">
        <v>2603</v>
      </c>
      <c r="D711" s="47"/>
      <c r="E711" s="64">
        <v>44931.294999999998</v>
      </c>
      <c r="F711" s="64">
        <v>22</v>
      </c>
    </row>
    <row r="712" spans="1:6" x14ac:dyDescent="0.25">
      <c r="A712" s="47" t="s">
        <v>2604</v>
      </c>
      <c r="B712" s="47" t="s">
        <v>2605</v>
      </c>
      <c r="C712" s="47" t="s">
        <v>2606</v>
      </c>
      <c r="D712" s="47"/>
      <c r="E712" s="64">
        <v>84471.31</v>
      </c>
      <c r="F712" s="64">
        <v>22</v>
      </c>
    </row>
    <row r="713" spans="1:6" x14ac:dyDescent="0.25">
      <c r="A713" s="47" t="s">
        <v>2607</v>
      </c>
      <c r="B713" s="47" t="s">
        <v>2608</v>
      </c>
      <c r="C713" s="47" t="s">
        <v>2609</v>
      </c>
      <c r="D713" s="47" t="s">
        <v>2610</v>
      </c>
      <c r="E713" s="64">
        <v>169789.54</v>
      </c>
      <c r="F713" s="64">
        <v>806.33124999999995</v>
      </c>
    </row>
    <row r="714" spans="1:6" x14ac:dyDescent="0.25">
      <c r="A714" s="47" t="s">
        <v>2611</v>
      </c>
      <c r="B714" s="47" t="s">
        <v>2612</v>
      </c>
      <c r="C714" s="47" t="s">
        <v>2613</v>
      </c>
      <c r="D714" s="47"/>
      <c r="E714" s="64">
        <v>47543.700000000004</v>
      </c>
      <c r="F714" s="64">
        <v>22</v>
      </c>
    </row>
    <row r="715" spans="1:6" x14ac:dyDescent="0.25">
      <c r="A715" s="47" t="s">
        <v>2614</v>
      </c>
      <c r="B715" s="47" t="s">
        <v>2615</v>
      </c>
      <c r="C715" s="47" t="s">
        <v>2616</v>
      </c>
      <c r="D715" s="47"/>
      <c r="E715" s="64">
        <v>45435.139999999992</v>
      </c>
      <c r="F715" s="64">
        <v>22</v>
      </c>
    </row>
    <row r="716" spans="1:6" x14ac:dyDescent="0.25">
      <c r="A716" s="47" t="s">
        <v>2617</v>
      </c>
      <c r="B716" s="47" t="s">
        <v>2618</v>
      </c>
      <c r="C716" s="47" t="s">
        <v>2619</v>
      </c>
      <c r="D716" s="47"/>
      <c r="E716" s="64">
        <v>47364.853333333333</v>
      </c>
      <c r="F716" s="64">
        <v>22</v>
      </c>
    </row>
    <row r="717" spans="1:6" x14ac:dyDescent="0.25">
      <c r="A717" s="47" t="s">
        <v>2620</v>
      </c>
      <c r="B717" s="47" t="s">
        <v>2621</v>
      </c>
      <c r="C717" s="47" t="s">
        <v>2622</v>
      </c>
      <c r="D717" s="47"/>
      <c r="E717" s="64">
        <v>149956.65999999997</v>
      </c>
      <c r="F717" s="64">
        <v>22</v>
      </c>
    </row>
    <row r="718" spans="1:6" x14ac:dyDescent="0.25">
      <c r="A718" s="47" t="s">
        <v>2623</v>
      </c>
      <c r="B718" s="47" t="s">
        <v>2624</v>
      </c>
      <c r="C718" s="47" t="s">
        <v>2625</v>
      </c>
      <c r="D718" s="47"/>
      <c r="E718" s="64">
        <v>43648.5</v>
      </c>
      <c r="F718" s="64">
        <v>22</v>
      </c>
    </row>
    <row r="719" spans="1:6" x14ac:dyDescent="0.25">
      <c r="A719" s="47" t="s">
        <v>2626</v>
      </c>
      <c r="B719" s="47" t="s">
        <v>2627</v>
      </c>
      <c r="C719" s="47" t="s">
        <v>2628</v>
      </c>
      <c r="D719" s="47"/>
      <c r="E719" s="64">
        <v>41359.770000000004</v>
      </c>
      <c r="F719" s="64">
        <v>22</v>
      </c>
    </row>
    <row r="720" spans="1:6" x14ac:dyDescent="0.25">
      <c r="A720" s="47" t="s">
        <v>2629</v>
      </c>
      <c r="B720" s="47" t="s">
        <v>2630</v>
      </c>
      <c r="C720" s="47" t="s">
        <v>2631</v>
      </c>
      <c r="D720" s="47"/>
      <c r="E720" s="64">
        <v>44931.294999999998</v>
      </c>
      <c r="F720" s="64">
        <v>22</v>
      </c>
    </row>
    <row r="721" spans="1:6" x14ac:dyDescent="0.25">
      <c r="A721" s="47" t="s">
        <v>2632</v>
      </c>
      <c r="B721" s="47" t="s">
        <v>2630</v>
      </c>
      <c r="C721" s="47" t="s">
        <v>2631</v>
      </c>
      <c r="D721" s="47"/>
      <c r="E721" s="64">
        <v>46138.509999999995</v>
      </c>
      <c r="F721" s="64">
        <v>22</v>
      </c>
    </row>
    <row r="722" spans="1:6" x14ac:dyDescent="0.25">
      <c r="A722" s="47" t="s">
        <v>2633</v>
      </c>
      <c r="B722" s="47" t="s">
        <v>2634</v>
      </c>
      <c r="C722" s="47" t="s">
        <v>2635</v>
      </c>
      <c r="D722" s="47"/>
      <c r="E722" s="64">
        <v>44931.294999999998</v>
      </c>
      <c r="F722" s="64">
        <v>22</v>
      </c>
    </row>
    <row r="723" spans="1:6" x14ac:dyDescent="0.25">
      <c r="A723" s="47" t="s">
        <v>2636</v>
      </c>
      <c r="B723" s="47" t="s">
        <v>2637</v>
      </c>
      <c r="C723" s="47" t="s">
        <v>2638</v>
      </c>
      <c r="D723" s="47"/>
      <c r="E723" s="64">
        <v>44931.294999999998</v>
      </c>
      <c r="F723" s="64">
        <v>22</v>
      </c>
    </row>
    <row r="724" spans="1:6" x14ac:dyDescent="0.25">
      <c r="A724" s="47" t="s">
        <v>2639</v>
      </c>
      <c r="B724" s="47" t="s">
        <v>2640</v>
      </c>
      <c r="C724" s="47" t="s">
        <v>2641</v>
      </c>
      <c r="D724" s="47"/>
      <c r="E724" s="64">
        <v>33668.410000000003</v>
      </c>
      <c r="F724" s="64">
        <v>22</v>
      </c>
    </row>
    <row r="725" spans="1:6" x14ac:dyDescent="0.25">
      <c r="A725" s="47" t="s">
        <v>2642</v>
      </c>
      <c r="B725" s="47" t="s">
        <v>2643</v>
      </c>
      <c r="C725" s="47" t="s">
        <v>2644</v>
      </c>
      <c r="D725" s="47"/>
      <c r="E725" s="64">
        <v>39959.482499999998</v>
      </c>
      <c r="F725" s="64">
        <v>100000000</v>
      </c>
    </row>
    <row r="726" spans="1:6" x14ac:dyDescent="0.25">
      <c r="A726" s="47" t="s">
        <v>2645</v>
      </c>
      <c r="B726" s="47" t="s">
        <v>2646</v>
      </c>
      <c r="C726" s="47" t="s">
        <v>2647</v>
      </c>
      <c r="D726" s="47"/>
      <c r="E726" s="64">
        <v>49910.62</v>
      </c>
      <c r="F726" s="64">
        <v>100000000</v>
      </c>
    </row>
    <row r="727" spans="1:6" x14ac:dyDescent="0.25">
      <c r="A727" s="47" t="s">
        <v>2648</v>
      </c>
      <c r="B727" s="47" t="s">
        <v>2649</v>
      </c>
      <c r="C727" s="47" t="s">
        <v>2650</v>
      </c>
      <c r="D727" s="47"/>
      <c r="E727" s="64">
        <v>49910.62</v>
      </c>
      <c r="F727" s="64">
        <v>100000000</v>
      </c>
    </row>
    <row r="728" spans="1:6" x14ac:dyDescent="0.25">
      <c r="A728" s="47" t="s">
        <v>2651</v>
      </c>
      <c r="B728" s="47" t="s">
        <v>2652</v>
      </c>
      <c r="C728" s="47" t="s">
        <v>2653</v>
      </c>
      <c r="D728" s="47"/>
      <c r="E728" s="64">
        <v>49910.62</v>
      </c>
      <c r="F728" s="64">
        <v>100000000</v>
      </c>
    </row>
    <row r="729" spans="1:6" x14ac:dyDescent="0.25">
      <c r="A729" s="47" t="s">
        <v>2654</v>
      </c>
      <c r="B729" s="47" t="s">
        <v>2655</v>
      </c>
      <c r="C729" s="47" t="s">
        <v>2656</v>
      </c>
      <c r="D729" s="47"/>
      <c r="E729" s="64">
        <v>49910.62</v>
      </c>
      <c r="F729" s="64">
        <v>100000000</v>
      </c>
    </row>
    <row r="730" spans="1:6" x14ac:dyDescent="0.25">
      <c r="A730" s="47" t="s">
        <v>2657</v>
      </c>
      <c r="B730" s="47" t="s">
        <v>2658</v>
      </c>
      <c r="C730" s="47" t="s">
        <v>2659</v>
      </c>
      <c r="D730" s="47"/>
      <c r="E730" s="64">
        <v>49910.62</v>
      </c>
      <c r="F730" s="64">
        <v>100000000</v>
      </c>
    </row>
    <row r="731" spans="1:6" x14ac:dyDescent="0.25">
      <c r="A731" s="47" t="s">
        <v>2660</v>
      </c>
      <c r="B731" s="47" t="s">
        <v>2661</v>
      </c>
      <c r="C731" s="47" t="s">
        <v>2662</v>
      </c>
      <c r="D731" s="47"/>
      <c r="E731" s="64">
        <v>153171.15999999997</v>
      </c>
      <c r="F731" s="64">
        <v>22</v>
      </c>
    </row>
    <row r="732" spans="1:6" x14ac:dyDescent="0.25">
      <c r="A732" s="47" t="s">
        <v>2663</v>
      </c>
      <c r="B732" s="47" t="s">
        <v>2664</v>
      </c>
      <c r="C732" s="47" t="s">
        <v>2665</v>
      </c>
      <c r="D732" s="47"/>
      <c r="E732" s="64">
        <v>39959.482499999998</v>
      </c>
      <c r="F732" s="64">
        <v>100000000</v>
      </c>
    </row>
    <row r="733" spans="1:6" x14ac:dyDescent="0.25">
      <c r="A733" s="47" t="s">
        <v>2666</v>
      </c>
      <c r="B733" s="47" t="s">
        <v>2667</v>
      </c>
      <c r="C733" s="47" t="s">
        <v>2668</v>
      </c>
      <c r="D733" s="47"/>
      <c r="E733" s="64">
        <v>39959.482499999998</v>
      </c>
      <c r="F733" s="64">
        <v>100000000</v>
      </c>
    </row>
    <row r="734" spans="1:6" x14ac:dyDescent="0.25">
      <c r="A734" s="47" t="s">
        <v>2669</v>
      </c>
      <c r="B734" s="47" t="s">
        <v>2670</v>
      </c>
      <c r="C734" s="47" t="s">
        <v>2671</v>
      </c>
      <c r="D734" s="47" t="s">
        <v>2672</v>
      </c>
      <c r="E734" s="64">
        <v>33041.69999999999</v>
      </c>
      <c r="F734" s="64">
        <v>21.6875</v>
      </c>
    </row>
    <row r="735" spans="1:6" x14ac:dyDescent="0.25">
      <c r="A735" s="47" t="s">
        <v>2673</v>
      </c>
      <c r="B735" s="47" t="s">
        <v>2674</v>
      </c>
      <c r="C735" s="47" t="s">
        <v>2675</v>
      </c>
      <c r="D735" s="47" t="s">
        <v>2676</v>
      </c>
      <c r="E735" s="64">
        <v>110331.99000000002</v>
      </c>
      <c r="F735" s="64">
        <v>8.33</v>
      </c>
    </row>
    <row r="736" spans="1:6" x14ac:dyDescent="0.25">
      <c r="A736" s="47" t="s">
        <v>2677</v>
      </c>
      <c r="B736" s="47" t="s">
        <v>2678</v>
      </c>
      <c r="C736" s="47" t="s">
        <v>2679</v>
      </c>
      <c r="D736" s="47"/>
      <c r="E736" s="64">
        <v>127954.93999999999</v>
      </c>
      <c r="F736" s="64">
        <v>22</v>
      </c>
    </row>
    <row r="737" spans="1:6" x14ac:dyDescent="0.25">
      <c r="A737" s="47" t="s">
        <v>2680</v>
      </c>
      <c r="B737" s="47" t="s">
        <v>2681</v>
      </c>
      <c r="C737" s="47" t="s">
        <v>2682</v>
      </c>
      <c r="D737" s="47" t="s">
        <v>2683</v>
      </c>
      <c r="E737" s="64">
        <v>26994.129999999997</v>
      </c>
      <c r="F737" s="64">
        <v>19.599999999999998</v>
      </c>
    </row>
    <row r="738" spans="1:6" x14ac:dyDescent="0.25">
      <c r="A738" s="47" t="s">
        <v>2684</v>
      </c>
      <c r="B738" s="47" t="s">
        <v>2685</v>
      </c>
      <c r="C738" s="47" t="s">
        <v>2686</v>
      </c>
      <c r="D738" s="47" t="s">
        <v>2687</v>
      </c>
      <c r="E738" s="64">
        <v>30613.19</v>
      </c>
      <c r="F738" s="64">
        <v>243</v>
      </c>
    </row>
    <row r="739" spans="1:6" x14ac:dyDescent="0.25">
      <c r="A739" s="47" t="s">
        <v>2688</v>
      </c>
      <c r="B739" s="47" t="s">
        <v>2689</v>
      </c>
      <c r="C739" s="47" t="s">
        <v>2690</v>
      </c>
      <c r="D739" s="47" t="s">
        <v>362</v>
      </c>
      <c r="E739" s="64">
        <v>47198.01</v>
      </c>
      <c r="F739" s="64">
        <v>73.8</v>
      </c>
    </row>
    <row r="740" spans="1:6" x14ac:dyDescent="0.25">
      <c r="A740" s="47" t="s">
        <v>2691</v>
      </c>
      <c r="B740" s="47" t="s">
        <v>2692</v>
      </c>
      <c r="C740" s="47" t="s">
        <v>2693</v>
      </c>
      <c r="D740" s="47"/>
      <c r="E740" s="64">
        <v>39959.482499999998</v>
      </c>
      <c r="F740" s="64">
        <v>100000000</v>
      </c>
    </row>
    <row r="741" spans="1:6" x14ac:dyDescent="0.25">
      <c r="A741" s="47" t="s">
        <v>2694</v>
      </c>
      <c r="B741" s="47" t="s">
        <v>2695</v>
      </c>
      <c r="C741" s="47" t="s">
        <v>2696</v>
      </c>
      <c r="D741" s="47"/>
      <c r="E741" s="64">
        <v>39959.482499999998</v>
      </c>
      <c r="F741" s="64">
        <v>100000000</v>
      </c>
    </row>
    <row r="742" spans="1:6" x14ac:dyDescent="0.25">
      <c r="A742" s="47" t="s">
        <v>2697</v>
      </c>
      <c r="B742" s="47" t="s">
        <v>2698</v>
      </c>
      <c r="C742" s="47" t="s">
        <v>2699</v>
      </c>
      <c r="D742" s="47"/>
      <c r="E742" s="64">
        <v>39959.482499999998</v>
      </c>
      <c r="F742" s="64">
        <v>100000000</v>
      </c>
    </row>
    <row r="743" spans="1:6" x14ac:dyDescent="0.25">
      <c r="A743" s="47" t="s">
        <v>2700</v>
      </c>
      <c r="B743" s="47" t="s">
        <v>2701</v>
      </c>
      <c r="C743" s="47" t="s">
        <v>2702</v>
      </c>
      <c r="D743" s="47"/>
      <c r="E743" s="64">
        <v>39959.482499999998</v>
      </c>
      <c r="F743" s="64">
        <v>100000000</v>
      </c>
    </row>
    <row r="744" spans="1:6" x14ac:dyDescent="0.25">
      <c r="A744" s="47" t="s">
        <v>2703</v>
      </c>
      <c r="B744" s="47" t="s">
        <v>2704</v>
      </c>
      <c r="C744" s="47" t="s">
        <v>2705</v>
      </c>
      <c r="D744" s="47"/>
      <c r="E744" s="64">
        <v>39959.482499999998</v>
      </c>
      <c r="F744" s="64">
        <v>100000000</v>
      </c>
    </row>
    <row r="745" spans="1:6" x14ac:dyDescent="0.25">
      <c r="A745" s="47" t="s">
        <v>2706</v>
      </c>
      <c r="B745" s="47" t="s">
        <v>2707</v>
      </c>
      <c r="C745" s="47" t="s">
        <v>2708</v>
      </c>
      <c r="D745" s="47"/>
      <c r="E745" s="64">
        <v>39959.482499999998</v>
      </c>
      <c r="F745" s="64">
        <v>100000000</v>
      </c>
    </row>
    <row r="746" spans="1:6" x14ac:dyDescent="0.25">
      <c r="A746" s="47" t="s">
        <v>2709</v>
      </c>
      <c r="B746" s="47" t="s">
        <v>2710</v>
      </c>
      <c r="C746" s="47" t="s">
        <v>2711</v>
      </c>
      <c r="D746" s="47"/>
      <c r="E746" s="64">
        <v>39959.482499999998</v>
      </c>
      <c r="F746" s="64">
        <v>100000000</v>
      </c>
    </row>
    <row r="747" spans="1:6" x14ac:dyDescent="0.25">
      <c r="A747" s="47" t="s">
        <v>2712</v>
      </c>
      <c r="B747" s="47" t="s">
        <v>2713</v>
      </c>
      <c r="C747" s="47" t="s">
        <v>2714</v>
      </c>
      <c r="D747" s="47"/>
      <c r="E747" s="64">
        <v>39959.482499999998</v>
      </c>
      <c r="F747" s="64">
        <v>100000000</v>
      </c>
    </row>
    <row r="748" spans="1:6" x14ac:dyDescent="0.25">
      <c r="A748" s="47" t="s">
        <v>2715</v>
      </c>
      <c r="B748" s="47" t="s">
        <v>2716</v>
      </c>
      <c r="C748" s="47" t="s">
        <v>2717</v>
      </c>
      <c r="D748" s="47"/>
      <c r="E748" s="64">
        <v>39959.482499999998</v>
      </c>
      <c r="F748" s="64">
        <v>100000000</v>
      </c>
    </row>
    <row r="749" spans="1:6" x14ac:dyDescent="0.25">
      <c r="A749" s="47" t="s">
        <v>2718</v>
      </c>
      <c r="B749" s="47" t="s">
        <v>2719</v>
      </c>
      <c r="C749" s="47" t="s">
        <v>2720</v>
      </c>
      <c r="D749" s="47"/>
      <c r="E749" s="64">
        <v>39959.482499999998</v>
      </c>
      <c r="F749" s="64">
        <v>100000000</v>
      </c>
    </row>
    <row r="750" spans="1:6" x14ac:dyDescent="0.25">
      <c r="A750" s="47" t="s">
        <v>2721</v>
      </c>
      <c r="B750" s="47" t="s">
        <v>2722</v>
      </c>
      <c r="C750" s="47" t="s">
        <v>2723</v>
      </c>
      <c r="D750" s="47"/>
      <c r="E750" s="64">
        <v>39959.482499999998</v>
      </c>
      <c r="F750" s="64">
        <v>100000000</v>
      </c>
    </row>
    <row r="751" spans="1:6" x14ac:dyDescent="0.25">
      <c r="A751" s="47" t="s">
        <v>2724</v>
      </c>
      <c r="B751" s="47" t="s">
        <v>2725</v>
      </c>
      <c r="C751" s="47" t="s">
        <v>2726</v>
      </c>
      <c r="D751" s="47"/>
      <c r="E751" s="64">
        <v>39959.482499999998</v>
      </c>
      <c r="F751" s="64">
        <v>100000000</v>
      </c>
    </row>
    <row r="752" spans="1:6" x14ac:dyDescent="0.25">
      <c r="A752" s="47" t="s">
        <v>2727</v>
      </c>
      <c r="B752" s="47" t="s">
        <v>2728</v>
      </c>
      <c r="C752" s="47" t="s">
        <v>2729</v>
      </c>
      <c r="D752" s="47"/>
      <c r="E752" s="64">
        <v>39959.482499999998</v>
      </c>
      <c r="F752" s="64">
        <v>100000000</v>
      </c>
    </row>
    <row r="753" spans="1:6" x14ac:dyDescent="0.25">
      <c r="A753" s="47" t="s">
        <v>2730</v>
      </c>
      <c r="B753" s="47" t="s">
        <v>2731</v>
      </c>
      <c r="C753" s="47" t="s">
        <v>2732</v>
      </c>
      <c r="D753" s="47"/>
      <c r="E753" s="64">
        <v>39959.482499999998</v>
      </c>
      <c r="F753" s="64">
        <v>100000000</v>
      </c>
    </row>
    <row r="754" spans="1:6" x14ac:dyDescent="0.25">
      <c r="A754" s="47" t="s">
        <v>2733</v>
      </c>
      <c r="B754" s="47" t="s">
        <v>2734</v>
      </c>
      <c r="C754" s="47" t="s">
        <v>2735</v>
      </c>
      <c r="D754" s="47"/>
      <c r="E754" s="64">
        <v>39959.482499999998</v>
      </c>
      <c r="F754" s="64">
        <v>100000000</v>
      </c>
    </row>
    <row r="755" spans="1:6" x14ac:dyDescent="0.25">
      <c r="A755" s="47" t="s">
        <v>2736</v>
      </c>
      <c r="B755" s="47" t="s">
        <v>2737</v>
      </c>
      <c r="C755" s="47" t="s">
        <v>2738</v>
      </c>
      <c r="D755" s="47" t="s">
        <v>2368</v>
      </c>
      <c r="E755" s="64">
        <v>91359.08</v>
      </c>
      <c r="F755" s="64">
        <v>0.84499999999999997</v>
      </c>
    </row>
    <row r="756" spans="1:6" x14ac:dyDescent="0.25">
      <c r="A756" s="47" t="s">
        <v>2739</v>
      </c>
      <c r="B756" s="47" t="s">
        <v>2740</v>
      </c>
      <c r="C756" s="47" t="s">
        <v>2741</v>
      </c>
      <c r="D756" s="47"/>
      <c r="E756" s="64">
        <v>39959.482499999998</v>
      </c>
      <c r="F756" s="64">
        <v>100000000</v>
      </c>
    </row>
    <row r="757" spans="1:6" x14ac:dyDescent="0.25">
      <c r="A757" s="47" t="s">
        <v>2742</v>
      </c>
      <c r="B757" s="47" t="s">
        <v>2743</v>
      </c>
      <c r="C757" s="47" t="s">
        <v>2744</v>
      </c>
      <c r="D757" s="47"/>
      <c r="E757" s="64">
        <v>39959.482499999998</v>
      </c>
      <c r="F757" s="64">
        <v>100000000</v>
      </c>
    </row>
    <row r="758" spans="1:6" x14ac:dyDescent="0.25">
      <c r="A758" s="47" t="s">
        <v>2745</v>
      </c>
      <c r="B758" s="47" t="s">
        <v>2746</v>
      </c>
      <c r="C758" s="47" t="s">
        <v>2747</v>
      </c>
      <c r="D758" s="47"/>
      <c r="E758" s="64">
        <v>39959.482499999998</v>
      </c>
      <c r="F758" s="64">
        <v>100000000</v>
      </c>
    </row>
    <row r="759" spans="1:6" x14ac:dyDescent="0.25">
      <c r="A759" s="47" t="s">
        <v>2748</v>
      </c>
      <c r="B759" s="47" t="s">
        <v>2749</v>
      </c>
      <c r="C759" s="47" t="s">
        <v>2750</v>
      </c>
      <c r="D759" s="47"/>
      <c r="E759" s="64">
        <v>39959.482499999998</v>
      </c>
      <c r="F759" s="64">
        <v>100000000</v>
      </c>
    </row>
    <row r="760" spans="1:6" x14ac:dyDescent="0.25">
      <c r="A760" s="47" t="s">
        <v>2751</v>
      </c>
      <c r="B760" s="47" t="s">
        <v>2752</v>
      </c>
      <c r="C760" s="47" t="s">
        <v>2753</v>
      </c>
      <c r="D760" s="47"/>
      <c r="E760" s="64">
        <v>39959.482499999998</v>
      </c>
      <c r="F760" s="64">
        <v>100000000</v>
      </c>
    </row>
    <row r="761" spans="1:6" x14ac:dyDescent="0.25">
      <c r="A761" s="47" t="s">
        <v>2754</v>
      </c>
      <c r="B761" s="47" t="s">
        <v>2755</v>
      </c>
      <c r="C761" s="47" t="s">
        <v>2756</v>
      </c>
      <c r="D761" s="47"/>
      <c r="E761" s="64">
        <v>39959.482499999998</v>
      </c>
      <c r="F761" s="64">
        <v>100000000</v>
      </c>
    </row>
    <row r="762" spans="1:6" x14ac:dyDescent="0.25">
      <c r="A762" s="47" t="s">
        <v>2757</v>
      </c>
      <c r="B762" s="47" t="s">
        <v>2758</v>
      </c>
      <c r="C762" s="47" t="s">
        <v>2759</v>
      </c>
      <c r="D762" s="47" t="s">
        <v>1763</v>
      </c>
      <c r="E762" s="64">
        <v>33376.280000000006</v>
      </c>
      <c r="F762" s="64">
        <v>5.0500000000000007</v>
      </c>
    </row>
    <row r="763" spans="1:6" x14ac:dyDescent="0.25">
      <c r="A763" s="47" t="s">
        <v>2760</v>
      </c>
      <c r="B763" s="47" t="s">
        <v>2761</v>
      </c>
      <c r="C763" s="47" t="s">
        <v>2762</v>
      </c>
      <c r="D763" s="47" t="s">
        <v>1187</v>
      </c>
      <c r="E763" s="64">
        <v>32559.880000000005</v>
      </c>
      <c r="F763" s="64">
        <v>6.3</v>
      </c>
    </row>
    <row r="764" spans="1:6" x14ac:dyDescent="0.25">
      <c r="A764" s="47" t="s">
        <v>2763</v>
      </c>
      <c r="B764" s="47" t="s">
        <v>2764</v>
      </c>
      <c r="C764" s="47" t="s">
        <v>2765</v>
      </c>
      <c r="D764" s="47" t="s">
        <v>1187</v>
      </c>
      <c r="E764" s="64">
        <v>32559.880000000005</v>
      </c>
      <c r="F764" s="64">
        <v>2.198</v>
      </c>
    </row>
    <row r="765" spans="1:6" x14ac:dyDescent="0.25">
      <c r="A765" s="47" t="s">
        <v>2766</v>
      </c>
      <c r="B765" s="47" t="s">
        <v>2767</v>
      </c>
      <c r="C765" s="47" t="s">
        <v>2768</v>
      </c>
      <c r="D765" s="47"/>
      <c r="E765" s="64">
        <v>39959.482499999998</v>
      </c>
      <c r="F765" s="64">
        <v>100000000</v>
      </c>
    </row>
    <row r="766" spans="1:6" x14ac:dyDescent="0.25">
      <c r="A766" s="47" t="s">
        <v>2769</v>
      </c>
      <c r="B766" s="47" t="s">
        <v>2770</v>
      </c>
      <c r="C766" s="47" t="s">
        <v>2771</v>
      </c>
      <c r="D766" s="47"/>
      <c r="E766" s="64">
        <v>39959.482499999998</v>
      </c>
      <c r="F766" s="64">
        <v>100000000</v>
      </c>
    </row>
    <row r="767" spans="1:6" x14ac:dyDescent="0.25">
      <c r="A767" s="47" t="s">
        <v>2772</v>
      </c>
      <c r="B767" s="47" t="s">
        <v>2773</v>
      </c>
      <c r="C767" s="47" t="s">
        <v>2774</v>
      </c>
      <c r="D767" s="47"/>
      <c r="E767" s="64">
        <v>39959.482499999998</v>
      </c>
      <c r="F767" s="64">
        <v>100000000</v>
      </c>
    </row>
    <row r="768" spans="1:6" x14ac:dyDescent="0.25">
      <c r="A768" s="47" t="s">
        <v>2775</v>
      </c>
      <c r="B768" s="47" t="s">
        <v>2776</v>
      </c>
      <c r="C768" s="47" t="s">
        <v>2777</v>
      </c>
      <c r="D768" s="47"/>
      <c r="E768" s="64">
        <v>39959.482499999998</v>
      </c>
      <c r="F768" s="64">
        <v>100000000</v>
      </c>
    </row>
    <row r="769" spans="1:6" x14ac:dyDescent="0.25">
      <c r="A769" s="47" t="s">
        <v>2778</v>
      </c>
      <c r="B769" s="47" t="s">
        <v>2779</v>
      </c>
      <c r="C769" s="47" t="s">
        <v>2780</v>
      </c>
      <c r="D769" s="47" t="s">
        <v>2781</v>
      </c>
      <c r="E769" s="64">
        <v>80428.969999999987</v>
      </c>
      <c r="F769" s="64">
        <v>23.6</v>
      </c>
    </row>
    <row r="770" spans="1:6" x14ac:dyDescent="0.25">
      <c r="A770" s="47" t="s">
        <v>2782</v>
      </c>
      <c r="B770" s="47" t="s">
        <v>2783</v>
      </c>
      <c r="C770" s="47" t="s">
        <v>2784</v>
      </c>
      <c r="D770" s="47"/>
      <c r="E770" s="64">
        <v>39959.482499999998</v>
      </c>
      <c r="F770" s="64">
        <v>100000000</v>
      </c>
    </row>
    <row r="771" spans="1:6" x14ac:dyDescent="0.25">
      <c r="A771" s="47" t="s">
        <v>2785</v>
      </c>
      <c r="B771" s="47" t="s">
        <v>2786</v>
      </c>
      <c r="C771" s="47" t="s">
        <v>2787</v>
      </c>
      <c r="D771" s="47"/>
      <c r="E771" s="64">
        <v>39959.482499999998</v>
      </c>
      <c r="F771" s="64">
        <v>100000000</v>
      </c>
    </row>
    <row r="772" spans="1:6" x14ac:dyDescent="0.25">
      <c r="A772" s="47" t="s">
        <v>2788</v>
      </c>
      <c r="B772" s="47" t="s">
        <v>2789</v>
      </c>
      <c r="C772" s="47" t="s">
        <v>2790</v>
      </c>
      <c r="D772" s="47"/>
      <c r="E772" s="64">
        <v>39959.482499999998</v>
      </c>
      <c r="F772" s="64">
        <v>100000000</v>
      </c>
    </row>
    <row r="773" spans="1:6" x14ac:dyDescent="0.25">
      <c r="A773" s="47" t="s">
        <v>2791</v>
      </c>
      <c r="B773" s="47" t="s">
        <v>2792</v>
      </c>
      <c r="C773" s="47" t="s">
        <v>2793</v>
      </c>
      <c r="D773" s="47"/>
      <c r="E773" s="64">
        <v>39959.482499999998</v>
      </c>
      <c r="F773" s="64">
        <v>100000000</v>
      </c>
    </row>
    <row r="774" spans="1:6" x14ac:dyDescent="0.25">
      <c r="A774" s="47" t="s">
        <v>2794</v>
      </c>
      <c r="B774" s="47" t="s">
        <v>2795</v>
      </c>
      <c r="C774" s="47" t="s">
        <v>2796</v>
      </c>
      <c r="D774" s="47"/>
      <c r="E774" s="64">
        <v>39959.482499999998</v>
      </c>
      <c r="F774" s="64">
        <v>100000000</v>
      </c>
    </row>
    <row r="775" spans="1:6" x14ac:dyDescent="0.25">
      <c r="A775" s="47" t="s">
        <v>2797</v>
      </c>
      <c r="B775" s="47" t="s">
        <v>2798</v>
      </c>
      <c r="C775" s="47" t="s">
        <v>2799</v>
      </c>
      <c r="D775" s="47"/>
      <c r="E775" s="64">
        <v>39959.482499999998</v>
      </c>
      <c r="F775" s="64">
        <v>100000000</v>
      </c>
    </row>
    <row r="776" spans="1:6" x14ac:dyDescent="0.25">
      <c r="A776" s="47" t="s">
        <v>2800</v>
      </c>
      <c r="B776" s="47" t="s">
        <v>2801</v>
      </c>
      <c r="C776" s="47" t="s">
        <v>2802</v>
      </c>
      <c r="D776" s="47"/>
      <c r="E776" s="64">
        <v>39959.482499999998</v>
      </c>
      <c r="F776" s="64">
        <v>100000000</v>
      </c>
    </row>
    <row r="777" spans="1:6" x14ac:dyDescent="0.25">
      <c r="A777" s="47" t="s">
        <v>2803</v>
      </c>
      <c r="B777" s="47" t="s">
        <v>2804</v>
      </c>
      <c r="C777" s="47" t="s">
        <v>2805</v>
      </c>
      <c r="D777" s="47"/>
      <c r="E777" s="64">
        <v>33587.89</v>
      </c>
      <c r="F777" s="64">
        <v>100000000</v>
      </c>
    </row>
    <row r="778" spans="1:6" x14ac:dyDescent="0.25">
      <c r="A778" s="47" t="s">
        <v>2806</v>
      </c>
      <c r="B778" s="47" t="s">
        <v>2807</v>
      </c>
      <c r="C778" s="47" t="s">
        <v>2808</v>
      </c>
      <c r="D778" s="47"/>
      <c r="E778" s="64">
        <v>39959.482499999998</v>
      </c>
      <c r="F778" s="64">
        <v>100000000</v>
      </c>
    </row>
    <row r="779" spans="1:6" x14ac:dyDescent="0.25">
      <c r="A779" s="47" t="s">
        <v>2809</v>
      </c>
      <c r="B779" s="47" t="s">
        <v>2810</v>
      </c>
      <c r="C779" s="47" t="s">
        <v>2811</v>
      </c>
      <c r="D779" s="47" t="s">
        <v>2812</v>
      </c>
      <c r="E779" s="64">
        <v>33101.65</v>
      </c>
      <c r="F779" s="64">
        <v>32.700000000000003</v>
      </c>
    </row>
    <row r="780" spans="1:6" x14ac:dyDescent="0.25">
      <c r="A780" s="47" t="s">
        <v>2813</v>
      </c>
      <c r="B780" s="47" t="s">
        <v>2814</v>
      </c>
      <c r="C780" s="47" t="s">
        <v>2815</v>
      </c>
      <c r="D780" s="47" t="s">
        <v>2816</v>
      </c>
      <c r="E780" s="64">
        <v>60335.59</v>
      </c>
      <c r="F780" s="64">
        <v>0.26700000000000002</v>
      </c>
    </row>
    <row r="781" spans="1:6" x14ac:dyDescent="0.25">
      <c r="A781" s="47" t="s">
        <v>2817</v>
      </c>
      <c r="B781" s="47" t="s">
        <v>2814</v>
      </c>
      <c r="C781" s="47" t="s">
        <v>2818</v>
      </c>
      <c r="D781" s="47" t="s">
        <v>2816</v>
      </c>
      <c r="E781" s="64">
        <v>60335.59</v>
      </c>
      <c r="F781" s="64">
        <v>0.26700000000000002</v>
      </c>
    </row>
    <row r="782" spans="1:6" x14ac:dyDescent="0.25">
      <c r="A782" s="47" t="s">
        <v>2819</v>
      </c>
      <c r="B782" s="47" t="s">
        <v>2814</v>
      </c>
      <c r="C782" s="47" t="s">
        <v>2820</v>
      </c>
      <c r="D782" s="47" t="s">
        <v>2816</v>
      </c>
      <c r="E782" s="64">
        <v>60335.59</v>
      </c>
      <c r="F782" s="64">
        <v>0.26700000000000002</v>
      </c>
    </row>
    <row r="783" spans="1:6" x14ac:dyDescent="0.25">
      <c r="A783" s="47" t="s">
        <v>2821</v>
      </c>
      <c r="B783" s="47" t="s">
        <v>2814</v>
      </c>
      <c r="C783" s="47" t="s">
        <v>2822</v>
      </c>
      <c r="D783" s="47" t="s">
        <v>2816</v>
      </c>
      <c r="E783" s="64">
        <v>60335.59</v>
      </c>
      <c r="F783" s="64">
        <v>0.26700000000000002</v>
      </c>
    </row>
    <row r="784" spans="1:6" x14ac:dyDescent="0.25">
      <c r="A784" s="47" t="s">
        <v>2823</v>
      </c>
      <c r="B784" s="47" t="s">
        <v>2824</v>
      </c>
      <c r="C784" s="47" t="s">
        <v>2825</v>
      </c>
      <c r="D784" s="47"/>
      <c r="E784" s="64">
        <v>39959.482499999998</v>
      </c>
      <c r="F784" s="64">
        <v>100000000</v>
      </c>
    </row>
    <row r="785" spans="1:6" x14ac:dyDescent="0.25">
      <c r="A785" s="47" t="s">
        <v>2826</v>
      </c>
      <c r="B785" s="47" t="s">
        <v>2827</v>
      </c>
      <c r="C785" s="47" t="s">
        <v>2828</v>
      </c>
      <c r="D785" s="47"/>
      <c r="E785" s="64">
        <v>39959.482499999998</v>
      </c>
      <c r="F785" s="64">
        <v>100000000</v>
      </c>
    </row>
    <row r="786" spans="1:6" x14ac:dyDescent="0.25">
      <c r="A786" s="47" t="s">
        <v>2829</v>
      </c>
      <c r="B786" s="47" t="s">
        <v>2830</v>
      </c>
      <c r="C786" s="47" t="s">
        <v>2831</v>
      </c>
      <c r="D786" s="47"/>
      <c r="E786" s="64">
        <v>39959.482499999998</v>
      </c>
      <c r="F786" s="64">
        <v>100000000</v>
      </c>
    </row>
    <row r="787" spans="1:6" x14ac:dyDescent="0.25">
      <c r="A787" s="47" t="s">
        <v>2832</v>
      </c>
      <c r="B787" s="47" t="s">
        <v>2833</v>
      </c>
      <c r="C787" s="47" t="s">
        <v>2834</v>
      </c>
      <c r="D787" s="47"/>
      <c r="E787" s="64">
        <v>39959.482499999998</v>
      </c>
      <c r="F787" s="64">
        <v>100000000</v>
      </c>
    </row>
    <row r="788" spans="1:6" x14ac:dyDescent="0.25">
      <c r="A788" s="47" t="s">
        <v>2835</v>
      </c>
      <c r="B788" s="47" t="s">
        <v>2836</v>
      </c>
      <c r="C788" s="47" t="s">
        <v>2837</v>
      </c>
      <c r="D788" s="47"/>
      <c r="E788" s="64">
        <v>39959.482499999998</v>
      </c>
      <c r="F788" s="64">
        <v>100000000</v>
      </c>
    </row>
    <row r="789" spans="1:6" x14ac:dyDescent="0.25">
      <c r="A789" s="47" t="s">
        <v>2838</v>
      </c>
      <c r="B789" s="47" t="s">
        <v>2839</v>
      </c>
      <c r="C789" s="47" t="s">
        <v>2840</v>
      </c>
      <c r="D789" s="47"/>
      <c r="E789" s="64">
        <v>39959.482499999998</v>
      </c>
      <c r="F789" s="64">
        <v>100000000</v>
      </c>
    </row>
    <row r="790" spans="1:6" x14ac:dyDescent="0.25">
      <c r="A790" s="47" t="s">
        <v>2841</v>
      </c>
      <c r="B790" s="47" t="s">
        <v>2842</v>
      </c>
      <c r="C790" s="47" t="s">
        <v>2843</v>
      </c>
      <c r="D790" s="47"/>
      <c r="E790" s="64">
        <v>39959.482499999998</v>
      </c>
      <c r="F790" s="64">
        <v>100000000</v>
      </c>
    </row>
    <row r="791" spans="1:6" x14ac:dyDescent="0.25">
      <c r="A791" s="47" t="s">
        <v>2844</v>
      </c>
      <c r="B791" s="47" t="s">
        <v>2845</v>
      </c>
      <c r="C791" s="47" t="s">
        <v>2846</v>
      </c>
      <c r="D791" s="47"/>
      <c r="E791" s="64">
        <v>39959.482499999998</v>
      </c>
      <c r="F791" s="64">
        <v>100000000</v>
      </c>
    </row>
    <row r="792" spans="1:6" x14ac:dyDescent="0.25">
      <c r="A792" s="47" t="s">
        <v>2847</v>
      </c>
      <c r="B792" s="47" t="s">
        <v>2848</v>
      </c>
      <c r="C792" s="47" t="s">
        <v>2849</v>
      </c>
      <c r="D792" s="47"/>
      <c r="E792" s="64">
        <v>33587.89</v>
      </c>
      <c r="F792" s="64">
        <v>100000000</v>
      </c>
    </row>
    <row r="793" spans="1:6" x14ac:dyDescent="0.25">
      <c r="A793" s="47" t="s">
        <v>2850</v>
      </c>
      <c r="B793" s="47" t="s">
        <v>2851</v>
      </c>
      <c r="C793" s="47" t="s">
        <v>2852</v>
      </c>
      <c r="D793" s="47"/>
      <c r="E793" s="64">
        <v>39959.482499999998</v>
      </c>
      <c r="F793" s="64">
        <v>100000000</v>
      </c>
    </row>
    <row r="794" spans="1:6" x14ac:dyDescent="0.25">
      <c r="A794" s="47" t="s">
        <v>2853</v>
      </c>
      <c r="B794" s="47" t="s">
        <v>2854</v>
      </c>
      <c r="C794" s="47" t="s">
        <v>2855</v>
      </c>
      <c r="D794" s="47"/>
      <c r="E794" s="64">
        <v>39959.482499999998</v>
      </c>
      <c r="F794" s="64">
        <v>100000000</v>
      </c>
    </row>
    <row r="795" spans="1:6" x14ac:dyDescent="0.25">
      <c r="A795" s="47" t="s">
        <v>2856</v>
      </c>
      <c r="B795" s="47" t="s">
        <v>2857</v>
      </c>
      <c r="C795" s="47" t="s">
        <v>2858</v>
      </c>
      <c r="D795" s="47"/>
      <c r="E795" s="64">
        <v>39959.482499999998</v>
      </c>
      <c r="F795" s="64">
        <v>100000000</v>
      </c>
    </row>
    <row r="796" spans="1:6" x14ac:dyDescent="0.25">
      <c r="A796" s="47" t="s">
        <v>2859</v>
      </c>
      <c r="B796" s="47" t="s">
        <v>2860</v>
      </c>
      <c r="C796" s="47" t="s">
        <v>2861</v>
      </c>
      <c r="D796" s="47" t="s">
        <v>2245</v>
      </c>
      <c r="E796" s="64">
        <v>43702.130000000005</v>
      </c>
      <c r="F796" s="64">
        <v>1.4</v>
      </c>
    </row>
    <row r="797" spans="1:6" x14ac:dyDescent="0.25">
      <c r="A797" s="47" t="s">
        <v>2862</v>
      </c>
      <c r="B797" s="47" t="s">
        <v>2863</v>
      </c>
      <c r="C797" s="47" t="s">
        <v>2864</v>
      </c>
      <c r="D797" s="47" t="s">
        <v>2865</v>
      </c>
      <c r="E797" s="64">
        <v>40313.670000000006</v>
      </c>
      <c r="F797" s="64">
        <v>76.088466666666676</v>
      </c>
    </row>
    <row r="798" spans="1:6" x14ac:dyDescent="0.25">
      <c r="A798" s="47" t="s">
        <v>2866</v>
      </c>
      <c r="B798" s="47" t="s">
        <v>2867</v>
      </c>
      <c r="C798" s="47" t="s">
        <v>2868</v>
      </c>
      <c r="D798" s="47"/>
      <c r="E798" s="64">
        <v>39959.482499999998</v>
      </c>
      <c r="F798" s="64">
        <v>100000000</v>
      </c>
    </row>
    <row r="799" spans="1:6" x14ac:dyDescent="0.25">
      <c r="A799" s="47" t="s">
        <v>2869</v>
      </c>
      <c r="B799" s="47" t="s">
        <v>2870</v>
      </c>
      <c r="C799" s="47" t="s">
        <v>2871</v>
      </c>
      <c r="D799" s="47"/>
      <c r="E799" s="64">
        <v>39959.482499999998</v>
      </c>
      <c r="F799" s="64">
        <v>100000000</v>
      </c>
    </row>
    <row r="800" spans="1:6" x14ac:dyDescent="0.25">
      <c r="A800" s="47" t="s">
        <v>2872</v>
      </c>
      <c r="B800" s="47" t="s">
        <v>2873</v>
      </c>
      <c r="C800" s="47" t="s">
        <v>2874</v>
      </c>
      <c r="D800" s="47"/>
      <c r="E800" s="64">
        <v>39959.482499999998</v>
      </c>
      <c r="F800" s="64">
        <v>100000000</v>
      </c>
    </row>
    <row r="801" spans="1:6" x14ac:dyDescent="0.25">
      <c r="A801" s="47" t="s">
        <v>2875</v>
      </c>
      <c r="B801" s="47" t="s">
        <v>2876</v>
      </c>
      <c r="C801" s="47" t="s">
        <v>2877</v>
      </c>
      <c r="D801" s="47" t="s">
        <v>2878</v>
      </c>
      <c r="E801" s="64">
        <v>30614.23</v>
      </c>
      <c r="F801" s="64">
        <v>0.109</v>
      </c>
    </row>
    <row r="802" spans="1:6" x14ac:dyDescent="0.25">
      <c r="A802" s="47" t="s">
        <v>2879</v>
      </c>
      <c r="B802" s="47" t="s">
        <v>2880</v>
      </c>
      <c r="C802" s="47" t="s">
        <v>2881</v>
      </c>
      <c r="D802" s="47" t="s">
        <v>2882</v>
      </c>
      <c r="E802" s="64">
        <v>31042.839999999997</v>
      </c>
      <c r="F802" s="64">
        <v>134</v>
      </c>
    </row>
    <row r="803" spans="1:6" x14ac:dyDescent="0.25">
      <c r="A803" s="47" t="s">
        <v>2883</v>
      </c>
      <c r="B803" s="47" t="s">
        <v>2884</v>
      </c>
      <c r="C803" s="47" t="s">
        <v>2885</v>
      </c>
      <c r="D803" s="47" t="s">
        <v>2886</v>
      </c>
      <c r="E803" s="64">
        <v>31042.839999999997</v>
      </c>
      <c r="F803" s="64">
        <v>10</v>
      </c>
    </row>
    <row r="804" spans="1:6" x14ac:dyDescent="0.25">
      <c r="A804" s="47" t="s">
        <v>2887</v>
      </c>
      <c r="B804" s="47" t="s">
        <v>2888</v>
      </c>
      <c r="C804" s="47" t="s">
        <v>2889</v>
      </c>
      <c r="D804" s="47"/>
      <c r="E804" s="64">
        <v>47526.44</v>
      </c>
      <c r="F804" s="64">
        <v>22</v>
      </c>
    </row>
    <row r="805" spans="1:6" x14ac:dyDescent="0.25">
      <c r="A805" s="47" t="s">
        <v>2890</v>
      </c>
      <c r="B805" s="47" t="s">
        <v>2891</v>
      </c>
      <c r="C805" s="47" t="s">
        <v>2892</v>
      </c>
      <c r="D805" s="47"/>
      <c r="E805" s="64">
        <v>46663.83</v>
      </c>
      <c r="F805" s="64">
        <v>22</v>
      </c>
    </row>
    <row r="806" spans="1:6" x14ac:dyDescent="0.25">
      <c r="A806" s="47" t="s">
        <v>2893</v>
      </c>
      <c r="B806" s="47" t="s">
        <v>2894</v>
      </c>
      <c r="C806" s="47" t="s">
        <v>2895</v>
      </c>
      <c r="D806" s="47" t="s">
        <v>2896</v>
      </c>
      <c r="E806" s="64">
        <v>38239.71</v>
      </c>
      <c r="F806" s="64">
        <v>16.080249999999999</v>
      </c>
    </row>
    <row r="807" spans="1:6" x14ac:dyDescent="0.25">
      <c r="A807" s="47" t="s">
        <v>2897</v>
      </c>
      <c r="B807" s="47" t="s">
        <v>2898</v>
      </c>
      <c r="C807" s="47" t="s">
        <v>2899</v>
      </c>
      <c r="D807" s="47" t="s">
        <v>2900</v>
      </c>
      <c r="E807" s="64">
        <v>20779.25</v>
      </c>
      <c r="F807" s="64">
        <v>749.81368750000013</v>
      </c>
    </row>
    <row r="808" spans="1:6" x14ac:dyDescent="0.25">
      <c r="A808" s="47" t="s">
        <v>2901</v>
      </c>
      <c r="B808" s="47" t="s">
        <v>2902</v>
      </c>
      <c r="C808" s="47" t="s">
        <v>2903</v>
      </c>
      <c r="D808" s="47"/>
      <c r="E808" s="64">
        <v>39959.482499999998</v>
      </c>
      <c r="F808" s="64">
        <v>100000000</v>
      </c>
    </row>
    <row r="809" spans="1:6" x14ac:dyDescent="0.25">
      <c r="A809" s="47" t="s">
        <v>2904</v>
      </c>
      <c r="B809" s="47" t="s">
        <v>2905</v>
      </c>
      <c r="C809" s="47" t="s">
        <v>2906</v>
      </c>
      <c r="D809" s="47"/>
      <c r="E809" s="64">
        <v>39959.482499999998</v>
      </c>
      <c r="F809" s="64">
        <v>100000000</v>
      </c>
    </row>
    <row r="810" spans="1:6" x14ac:dyDescent="0.25">
      <c r="A810" s="47" t="s">
        <v>2907</v>
      </c>
      <c r="B810" s="47" t="s">
        <v>2908</v>
      </c>
      <c r="C810" s="47" t="s">
        <v>2909</v>
      </c>
      <c r="D810" s="47"/>
      <c r="E810" s="64">
        <v>39959.482499999998</v>
      </c>
      <c r="F810" s="64">
        <v>100000000</v>
      </c>
    </row>
    <row r="811" spans="1:6" x14ac:dyDescent="0.25">
      <c r="A811" s="47" t="s">
        <v>2910</v>
      </c>
      <c r="B811" s="47" t="s">
        <v>2911</v>
      </c>
      <c r="C811" s="47" t="s">
        <v>2912</v>
      </c>
      <c r="D811" s="47"/>
      <c r="E811" s="64">
        <v>39959.482499999998</v>
      </c>
      <c r="F811" s="64">
        <v>100000000</v>
      </c>
    </row>
    <row r="812" spans="1:6" x14ac:dyDescent="0.25">
      <c r="A812" s="47" t="s">
        <v>2913</v>
      </c>
      <c r="B812" s="47" t="s">
        <v>2914</v>
      </c>
      <c r="C812" s="47" t="s">
        <v>2915</v>
      </c>
      <c r="D812" s="47" t="s">
        <v>2916</v>
      </c>
      <c r="E812" s="64">
        <v>73478.405000000013</v>
      </c>
      <c r="F812" s="64">
        <v>53.847348999999994</v>
      </c>
    </row>
    <row r="813" spans="1:6" x14ac:dyDescent="0.25">
      <c r="A813" s="47" t="s">
        <v>2917</v>
      </c>
      <c r="B813" s="47" t="s">
        <v>2918</v>
      </c>
      <c r="C813" s="47" t="s">
        <v>2919</v>
      </c>
      <c r="D813" s="47" t="s">
        <v>2916</v>
      </c>
      <c r="E813" s="64">
        <v>73478.405000000013</v>
      </c>
      <c r="F813" s="64">
        <v>53.847348999999994</v>
      </c>
    </row>
    <row r="814" spans="1:6" x14ac:dyDescent="0.25">
      <c r="A814" s="47" t="s">
        <v>2920</v>
      </c>
      <c r="B814" s="47" t="s">
        <v>2921</v>
      </c>
      <c r="C814" s="47" t="s">
        <v>2922</v>
      </c>
      <c r="D814" s="47" t="s">
        <v>2245</v>
      </c>
      <c r="E814" s="64">
        <v>43702.130000000005</v>
      </c>
      <c r="F814" s="64">
        <v>1.4</v>
      </c>
    </row>
    <row r="815" spans="1:6" x14ac:dyDescent="0.25">
      <c r="A815" s="47" t="s">
        <v>2923</v>
      </c>
      <c r="B815" s="47" t="s">
        <v>2924</v>
      </c>
      <c r="C815" s="47" t="s">
        <v>2925</v>
      </c>
      <c r="D815" s="47"/>
      <c r="E815" s="64">
        <v>39959.482499999998</v>
      </c>
      <c r="F815" s="64">
        <v>100000000</v>
      </c>
    </row>
    <row r="816" spans="1:6" x14ac:dyDescent="0.25">
      <c r="A816" s="47" t="s">
        <v>2926</v>
      </c>
      <c r="B816" s="47" t="s">
        <v>2927</v>
      </c>
      <c r="C816" s="47" t="s">
        <v>2928</v>
      </c>
      <c r="D816" s="47"/>
      <c r="E816" s="64">
        <v>39959.482499999998</v>
      </c>
      <c r="F816" s="64">
        <v>100000000</v>
      </c>
    </row>
    <row r="817" spans="1:6" x14ac:dyDescent="0.25">
      <c r="A817" s="47" t="s">
        <v>2929</v>
      </c>
      <c r="B817" s="47" t="s">
        <v>2930</v>
      </c>
      <c r="C817" s="47" t="s">
        <v>2931</v>
      </c>
      <c r="D817" s="47"/>
      <c r="E817" s="64">
        <v>39959.482499999998</v>
      </c>
      <c r="F817" s="64">
        <v>100000000</v>
      </c>
    </row>
    <row r="818" spans="1:6" x14ac:dyDescent="0.25">
      <c r="A818" s="47" t="s">
        <v>2932</v>
      </c>
      <c r="B818" s="47" t="s">
        <v>2933</v>
      </c>
      <c r="C818" s="47" t="s">
        <v>2934</v>
      </c>
      <c r="D818" s="47"/>
      <c r="E818" s="64">
        <v>39959.482499999998</v>
      </c>
      <c r="F818" s="64">
        <v>100000000</v>
      </c>
    </row>
    <row r="819" spans="1:6" x14ac:dyDescent="0.25">
      <c r="A819" s="47" t="s">
        <v>2935</v>
      </c>
      <c r="B819" s="47" t="s">
        <v>2936</v>
      </c>
      <c r="C819" s="47" t="s">
        <v>2937</v>
      </c>
      <c r="D819" s="47"/>
      <c r="E819" s="64">
        <v>39959.482499999998</v>
      </c>
      <c r="F819" s="64">
        <v>100000000</v>
      </c>
    </row>
    <row r="820" spans="1:6" x14ac:dyDescent="0.25">
      <c r="A820" s="47" t="s">
        <v>2938</v>
      </c>
      <c r="B820" s="47" t="s">
        <v>2939</v>
      </c>
      <c r="C820" s="47" t="s">
        <v>2940</v>
      </c>
      <c r="D820" s="47"/>
      <c r="E820" s="64">
        <v>33587.89</v>
      </c>
      <c r="F820" s="64">
        <v>100000000</v>
      </c>
    </row>
    <row r="821" spans="1:6" x14ac:dyDescent="0.25">
      <c r="A821" s="47" t="s">
        <v>2941</v>
      </c>
      <c r="B821" s="47" t="s">
        <v>2942</v>
      </c>
      <c r="C821" s="47" t="s">
        <v>2943</v>
      </c>
      <c r="D821" s="47"/>
      <c r="E821" s="64">
        <v>39959.482499999998</v>
      </c>
      <c r="F821" s="64">
        <v>100000000</v>
      </c>
    </row>
    <row r="822" spans="1:6" x14ac:dyDescent="0.25">
      <c r="A822" s="47" t="s">
        <v>2944</v>
      </c>
      <c r="B822" s="47" t="s">
        <v>2945</v>
      </c>
      <c r="C822" s="47" t="s">
        <v>2946</v>
      </c>
      <c r="D822" s="47"/>
      <c r="E822" s="64">
        <v>39959.482499999998</v>
      </c>
      <c r="F822" s="64">
        <v>100000000</v>
      </c>
    </row>
    <row r="823" spans="1:6" x14ac:dyDescent="0.25">
      <c r="A823" s="47" t="s">
        <v>2947</v>
      </c>
      <c r="B823" s="47" t="s">
        <v>2948</v>
      </c>
      <c r="C823" s="47" t="s">
        <v>2949</v>
      </c>
      <c r="D823" s="47"/>
      <c r="E823" s="64">
        <v>39959.482499999998</v>
      </c>
      <c r="F823" s="64">
        <v>100000000</v>
      </c>
    </row>
    <row r="824" spans="1:6" x14ac:dyDescent="0.25">
      <c r="A824" s="47" t="s">
        <v>2950</v>
      </c>
      <c r="B824" s="47" t="s">
        <v>2951</v>
      </c>
      <c r="C824" s="47" t="s">
        <v>2952</v>
      </c>
      <c r="D824" s="47"/>
      <c r="E824" s="64">
        <v>39959.482499999998</v>
      </c>
      <c r="F824" s="64">
        <v>100000000</v>
      </c>
    </row>
    <row r="825" spans="1:6" x14ac:dyDescent="0.25">
      <c r="A825" s="47" t="s">
        <v>2953</v>
      </c>
      <c r="B825" s="47" t="s">
        <v>2954</v>
      </c>
      <c r="C825" s="47" t="s">
        <v>2955</v>
      </c>
      <c r="D825" s="47"/>
      <c r="E825" s="64">
        <v>30776.9</v>
      </c>
      <c r="F825" s="64">
        <v>100000000</v>
      </c>
    </row>
    <row r="826" spans="1:6" x14ac:dyDescent="0.25">
      <c r="A826" s="47" t="s">
        <v>2956</v>
      </c>
      <c r="B826" s="47" t="s">
        <v>2957</v>
      </c>
      <c r="C826" s="47" t="s">
        <v>2958</v>
      </c>
      <c r="D826" s="47" t="s">
        <v>2959</v>
      </c>
      <c r="E826" s="64">
        <v>42282.890000000007</v>
      </c>
      <c r="F826" s="64">
        <v>4.3575458106060605</v>
      </c>
    </row>
    <row r="827" spans="1:6" x14ac:dyDescent="0.25">
      <c r="A827" s="47" t="s">
        <v>2960</v>
      </c>
      <c r="B827" s="47" t="s">
        <v>2961</v>
      </c>
      <c r="C827" s="47" t="s">
        <v>2962</v>
      </c>
      <c r="D827" s="47" t="s">
        <v>2303</v>
      </c>
      <c r="E827" s="64">
        <v>64458.75</v>
      </c>
      <c r="F827" s="64">
        <v>95.19583333333334</v>
      </c>
    </row>
    <row r="828" spans="1:6" x14ac:dyDescent="0.25">
      <c r="A828" s="47" t="s">
        <v>2963</v>
      </c>
      <c r="B828" s="47" t="s">
        <v>2964</v>
      </c>
      <c r="C828" s="47" t="s">
        <v>2965</v>
      </c>
      <c r="D828" s="47" t="s">
        <v>2303</v>
      </c>
      <c r="E828" s="64">
        <v>64458.75</v>
      </c>
      <c r="F828" s="64">
        <v>95.19583333333334</v>
      </c>
    </row>
    <row r="829" spans="1:6" x14ac:dyDescent="0.25">
      <c r="A829" s="47" t="s">
        <v>2966</v>
      </c>
      <c r="B829" s="47" t="s">
        <v>2967</v>
      </c>
      <c r="C829" s="47" t="s">
        <v>2968</v>
      </c>
      <c r="D829" s="47" t="s">
        <v>2969</v>
      </c>
      <c r="E829" s="64">
        <v>53417.080000000009</v>
      </c>
      <c r="F829" s="64">
        <v>3.71</v>
      </c>
    </row>
    <row r="830" spans="1:6" x14ac:dyDescent="0.25">
      <c r="A830" s="47" t="s">
        <v>2970</v>
      </c>
      <c r="B830" s="47" t="s">
        <v>2971</v>
      </c>
      <c r="C830" s="47" t="s">
        <v>2972</v>
      </c>
      <c r="D830" s="47" t="s">
        <v>2973</v>
      </c>
      <c r="E830" s="64">
        <v>31189.510000000002</v>
      </c>
      <c r="F830" s="64">
        <v>1.43</v>
      </c>
    </row>
    <row r="831" spans="1:6" x14ac:dyDescent="0.25">
      <c r="A831" s="47" t="s">
        <v>2974</v>
      </c>
      <c r="B831" s="47" t="s">
        <v>2975</v>
      </c>
      <c r="C831" s="47" t="s">
        <v>2976</v>
      </c>
      <c r="D831" s="47" t="s">
        <v>2360</v>
      </c>
      <c r="E831" s="64">
        <v>41735.050000000003</v>
      </c>
      <c r="F831" s="64">
        <v>0.86</v>
      </c>
    </row>
    <row r="832" spans="1:6" x14ac:dyDescent="0.25">
      <c r="A832" s="47" t="s">
        <v>2977</v>
      </c>
      <c r="B832" s="47" t="s">
        <v>2978</v>
      </c>
      <c r="C832" s="47" t="s">
        <v>2979</v>
      </c>
      <c r="D832" s="47" t="s">
        <v>2360</v>
      </c>
      <c r="E832" s="64">
        <v>41735.050000000003</v>
      </c>
      <c r="F832" s="64">
        <v>0.86</v>
      </c>
    </row>
    <row r="833" spans="1:6" x14ac:dyDescent="0.25">
      <c r="A833" s="47" t="s">
        <v>2980</v>
      </c>
      <c r="B833" s="47" t="s">
        <v>2981</v>
      </c>
      <c r="C833" s="47" t="s">
        <v>2982</v>
      </c>
      <c r="D833" s="47" t="s">
        <v>2983</v>
      </c>
      <c r="E833" s="64">
        <v>91759.599999999991</v>
      </c>
      <c r="F833" s="64">
        <v>95.19583333333334</v>
      </c>
    </row>
    <row r="834" spans="1:6" x14ac:dyDescent="0.25">
      <c r="A834" s="47" t="s">
        <v>2984</v>
      </c>
      <c r="B834" s="47" t="s">
        <v>2985</v>
      </c>
      <c r="C834" s="47" t="s">
        <v>2986</v>
      </c>
      <c r="D834" s="47" t="s">
        <v>2303</v>
      </c>
      <c r="E834" s="64">
        <v>91182.86</v>
      </c>
      <c r="F834" s="64">
        <v>95.19583333333334</v>
      </c>
    </row>
    <row r="835" spans="1:6" x14ac:dyDescent="0.25">
      <c r="A835" s="47" t="s">
        <v>2987</v>
      </c>
      <c r="B835" s="47" t="s">
        <v>2988</v>
      </c>
      <c r="C835" s="47" t="s">
        <v>2989</v>
      </c>
      <c r="D835" s="47"/>
      <c r="E835" s="64">
        <v>43186.82</v>
      </c>
      <c r="F835" s="64">
        <v>22</v>
      </c>
    </row>
    <row r="836" spans="1:6" x14ac:dyDescent="0.25">
      <c r="A836" s="47" t="s">
        <v>2990</v>
      </c>
      <c r="B836" s="47" t="s">
        <v>2991</v>
      </c>
      <c r="C836" s="47" t="s">
        <v>2992</v>
      </c>
      <c r="D836" s="47" t="s">
        <v>2993</v>
      </c>
      <c r="E836" s="64">
        <v>81178.789999999994</v>
      </c>
      <c r="F836" s="64">
        <v>18.3185</v>
      </c>
    </row>
    <row r="837" spans="1:6" x14ac:dyDescent="0.25">
      <c r="A837" s="47" t="s">
        <v>2994</v>
      </c>
      <c r="B837" s="47" t="s">
        <v>2991</v>
      </c>
      <c r="C837" s="47" t="s">
        <v>2995</v>
      </c>
      <c r="D837" s="47" t="s">
        <v>2993</v>
      </c>
      <c r="E837" s="64">
        <v>81178.789999999994</v>
      </c>
      <c r="F837" s="64">
        <v>18.3185</v>
      </c>
    </row>
    <row r="838" spans="1:6" x14ac:dyDescent="0.25">
      <c r="A838" s="47" t="s">
        <v>2996</v>
      </c>
      <c r="B838" s="47" t="s">
        <v>2997</v>
      </c>
      <c r="C838" s="47" t="s">
        <v>2998</v>
      </c>
      <c r="D838" s="47" t="s">
        <v>2993</v>
      </c>
      <c r="E838" s="64">
        <v>46876.44</v>
      </c>
      <c r="F838" s="64">
        <v>18.3185</v>
      </c>
    </row>
    <row r="839" spans="1:6" x14ac:dyDescent="0.25">
      <c r="A839" s="47" t="s">
        <v>2999</v>
      </c>
      <c r="B839" s="47" t="s">
        <v>3000</v>
      </c>
      <c r="C839" s="47" t="s">
        <v>3001</v>
      </c>
      <c r="D839" s="47" t="s">
        <v>3002</v>
      </c>
      <c r="E839" s="64">
        <v>20095.39</v>
      </c>
      <c r="F839" s="64">
        <v>32.4876</v>
      </c>
    </row>
    <row r="840" spans="1:6" x14ac:dyDescent="0.25">
      <c r="A840" s="47" t="s">
        <v>3003</v>
      </c>
      <c r="B840" s="47" t="s">
        <v>3004</v>
      </c>
      <c r="C840" s="47" t="s">
        <v>3005</v>
      </c>
      <c r="D840" s="47" t="s">
        <v>3006</v>
      </c>
      <c r="E840" s="64">
        <v>45650.600000000006</v>
      </c>
      <c r="F840" s="64">
        <v>3.0206</v>
      </c>
    </row>
    <row r="841" spans="1:6" x14ac:dyDescent="0.25">
      <c r="A841" s="47" t="s">
        <v>3007</v>
      </c>
      <c r="B841" s="47" t="s">
        <v>3008</v>
      </c>
      <c r="C841" s="47" t="s">
        <v>3009</v>
      </c>
      <c r="D841" s="47"/>
      <c r="E841" s="64">
        <v>39959.482499999998</v>
      </c>
      <c r="F841" s="64">
        <v>100000000</v>
      </c>
    </row>
    <row r="842" spans="1:6" x14ac:dyDescent="0.25">
      <c r="A842" s="47" t="s">
        <v>3010</v>
      </c>
      <c r="B842" s="47" t="s">
        <v>3011</v>
      </c>
      <c r="C842" s="47" t="s">
        <v>3012</v>
      </c>
      <c r="D842" s="47"/>
      <c r="E842" s="64">
        <v>39959.482499999998</v>
      </c>
      <c r="F842" s="64">
        <v>100000000</v>
      </c>
    </row>
    <row r="843" spans="1:6" x14ac:dyDescent="0.25">
      <c r="A843" s="47" t="s">
        <v>3013</v>
      </c>
      <c r="B843" s="47" t="s">
        <v>3014</v>
      </c>
      <c r="C843" s="47" t="s">
        <v>3015</v>
      </c>
      <c r="D843" s="47"/>
      <c r="E843" s="64">
        <v>39959.482499999998</v>
      </c>
      <c r="F843" s="64">
        <v>100000000</v>
      </c>
    </row>
    <row r="844" spans="1:6" x14ac:dyDescent="0.25">
      <c r="A844" s="47" t="s">
        <v>3016</v>
      </c>
      <c r="B844" s="47" t="s">
        <v>3017</v>
      </c>
      <c r="C844" s="47" t="s">
        <v>3018</v>
      </c>
      <c r="D844" s="47"/>
      <c r="E844" s="64">
        <v>39959.482499999998</v>
      </c>
      <c r="F844" s="64">
        <v>100000000</v>
      </c>
    </row>
    <row r="845" spans="1:6" x14ac:dyDescent="0.25">
      <c r="A845" s="47" t="s">
        <v>3019</v>
      </c>
      <c r="B845" s="47" t="s">
        <v>3020</v>
      </c>
      <c r="C845" s="47" t="s">
        <v>3021</v>
      </c>
      <c r="D845" s="47"/>
      <c r="E845" s="64">
        <v>39959.482499999998</v>
      </c>
      <c r="F845" s="64">
        <v>100000000</v>
      </c>
    </row>
    <row r="846" spans="1:6" x14ac:dyDescent="0.25">
      <c r="A846" s="47" t="s">
        <v>3022</v>
      </c>
      <c r="B846" s="47" t="s">
        <v>3023</v>
      </c>
      <c r="C846" s="47" t="s">
        <v>3024</v>
      </c>
      <c r="D846" s="47"/>
      <c r="E846" s="64">
        <v>39959.482499999998</v>
      </c>
      <c r="F846" s="64">
        <v>100000000</v>
      </c>
    </row>
    <row r="847" spans="1:6" x14ac:dyDescent="0.25">
      <c r="A847" s="47" t="s">
        <v>3025</v>
      </c>
      <c r="B847" s="47" t="s">
        <v>3026</v>
      </c>
      <c r="C847" s="47" t="s">
        <v>3027</v>
      </c>
      <c r="D847" s="47"/>
      <c r="E847" s="64">
        <v>26557.170000000002</v>
      </c>
      <c r="F847" s="64">
        <v>22</v>
      </c>
    </row>
    <row r="848" spans="1:6" x14ac:dyDescent="0.25">
      <c r="A848" s="47" t="s">
        <v>3028</v>
      </c>
      <c r="B848" s="47" t="s">
        <v>3029</v>
      </c>
      <c r="C848" s="47" t="s">
        <v>3030</v>
      </c>
      <c r="D848" s="47" t="s">
        <v>3031</v>
      </c>
      <c r="E848" s="64">
        <v>34673.08</v>
      </c>
      <c r="F848" s="64">
        <v>17</v>
      </c>
    </row>
    <row r="849" spans="1:6" x14ac:dyDescent="0.25">
      <c r="A849" s="47" t="s">
        <v>3032</v>
      </c>
      <c r="B849" s="47" t="s">
        <v>3033</v>
      </c>
      <c r="C849" s="47" t="s">
        <v>3034</v>
      </c>
      <c r="D849" s="47"/>
      <c r="E849" s="64">
        <v>43280.959999999999</v>
      </c>
      <c r="F849" s="64">
        <v>22</v>
      </c>
    </row>
    <row r="850" spans="1:6" x14ac:dyDescent="0.25">
      <c r="A850" s="47" t="s">
        <v>3035</v>
      </c>
      <c r="B850" s="47" t="s">
        <v>3036</v>
      </c>
      <c r="C850" s="47" t="s">
        <v>3037</v>
      </c>
      <c r="D850" s="47"/>
      <c r="E850" s="64">
        <v>53739.09</v>
      </c>
      <c r="F850" s="64">
        <v>22</v>
      </c>
    </row>
    <row r="851" spans="1:6" x14ac:dyDescent="0.25">
      <c r="A851" s="47" t="s">
        <v>3038</v>
      </c>
      <c r="B851" s="47" t="s">
        <v>3039</v>
      </c>
      <c r="C851" s="47" t="s">
        <v>3040</v>
      </c>
      <c r="D851" s="47"/>
      <c r="E851" s="64">
        <v>48960.473333333328</v>
      </c>
      <c r="F851" s="64">
        <v>22</v>
      </c>
    </row>
    <row r="852" spans="1:6" x14ac:dyDescent="0.25">
      <c r="A852" s="47" t="s">
        <v>3041</v>
      </c>
      <c r="B852" s="47" t="s">
        <v>3042</v>
      </c>
      <c r="C852" s="47" t="s">
        <v>3043</v>
      </c>
      <c r="D852" s="47" t="s">
        <v>3044</v>
      </c>
      <c r="E852" s="64">
        <v>28012.269999999997</v>
      </c>
      <c r="F852" s="64">
        <v>111.86944444444447</v>
      </c>
    </row>
    <row r="853" spans="1:6" x14ac:dyDescent="0.25">
      <c r="A853" s="47" t="s">
        <v>3045</v>
      </c>
      <c r="B853" s="47" t="s">
        <v>3046</v>
      </c>
      <c r="C853" s="47" t="s">
        <v>3047</v>
      </c>
      <c r="D853" s="47" t="s">
        <v>3048</v>
      </c>
      <c r="E853" s="64">
        <v>28331.06</v>
      </c>
      <c r="F853" s="64">
        <v>14.804833333333335</v>
      </c>
    </row>
    <row r="854" spans="1:6" x14ac:dyDescent="0.25">
      <c r="A854" s="47" t="s">
        <v>3049</v>
      </c>
      <c r="B854" s="47" t="s">
        <v>3050</v>
      </c>
      <c r="C854" s="47" t="s">
        <v>3051</v>
      </c>
      <c r="D854" s="47" t="s">
        <v>2360</v>
      </c>
      <c r="E854" s="64">
        <v>41735.050000000003</v>
      </c>
      <c r="F854" s="64">
        <v>0.86</v>
      </c>
    </row>
    <row r="855" spans="1:6" x14ac:dyDescent="0.25">
      <c r="A855" s="47" t="s">
        <v>3052</v>
      </c>
      <c r="B855" s="47" t="s">
        <v>3053</v>
      </c>
      <c r="C855" s="47" t="s">
        <v>3054</v>
      </c>
      <c r="D855" s="47" t="s">
        <v>2303</v>
      </c>
      <c r="E855" s="64">
        <v>91182.86</v>
      </c>
      <c r="F855" s="64">
        <v>95.19583333333334</v>
      </c>
    </row>
    <row r="856" spans="1:6" x14ac:dyDescent="0.25">
      <c r="A856" s="47" t="s">
        <v>3055</v>
      </c>
      <c r="B856" s="47" t="s">
        <v>3056</v>
      </c>
      <c r="C856" s="47" t="s">
        <v>3057</v>
      </c>
      <c r="D856" s="47"/>
      <c r="E856" s="64">
        <v>39959.482499999998</v>
      </c>
      <c r="F856" s="64">
        <v>100000000</v>
      </c>
    </row>
    <row r="857" spans="1:6" x14ac:dyDescent="0.25">
      <c r="A857" s="47" t="s">
        <v>3058</v>
      </c>
      <c r="B857" s="47" t="s">
        <v>3059</v>
      </c>
      <c r="C857" s="47" t="s">
        <v>3060</v>
      </c>
      <c r="D857" s="47"/>
      <c r="E857" s="64">
        <v>39959.482499999998</v>
      </c>
      <c r="F857" s="64">
        <v>100000000</v>
      </c>
    </row>
    <row r="858" spans="1:6" x14ac:dyDescent="0.25">
      <c r="A858" s="47" t="s">
        <v>3061</v>
      </c>
      <c r="B858" s="47" t="s">
        <v>3062</v>
      </c>
      <c r="C858" s="47" t="s">
        <v>3063</v>
      </c>
      <c r="D858" s="47"/>
      <c r="E858" s="64">
        <v>39959.482499999998</v>
      </c>
      <c r="F858" s="64">
        <v>100000000</v>
      </c>
    </row>
    <row r="859" spans="1:6" x14ac:dyDescent="0.25">
      <c r="A859" s="47" t="s">
        <v>3064</v>
      </c>
      <c r="B859" s="47" t="s">
        <v>3065</v>
      </c>
      <c r="C859" s="47" t="s">
        <v>3066</v>
      </c>
      <c r="D859" s="47" t="s">
        <v>1860</v>
      </c>
      <c r="E859" s="64">
        <v>11475.01</v>
      </c>
      <c r="F859" s="64">
        <v>230</v>
      </c>
    </row>
    <row r="860" spans="1:6" x14ac:dyDescent="0.25">
      <c r="A860" s="47" t="s">
        <v>3067</v>
      </c>
      <c r="B860" s="47" t="s">
        <v>3068</v>
      </c>
      <c r="C860" s="47" t="s">
        <v>3069</v>
      </c>
      <c r="D860" s="47" t="s">
        <v>3070</v>
      </c>
      <c r="E860" s="64">
        <v>30810.89</v>
      </c>
      <c r="F860" s="64">
        <v>12.5</v>
      </c>
    </row>
    <row r="861" spans="1:6" x14ac:dyDescent="0.25">
      <c r="A861" s="47" t="s">
        <v>3071</v>
      </c>
      <c r="B861" s="47" t="s">
        <v>3072</v>
      </c>
      <c r="C861" s="47" t="s">
        <v>3073</v>
      </c>
      <c r="D861" s="47" t="s">
        <v>3074</v>
      </c>
      <c r="E861" s="64">
        <v>99926.26</v>
      </c>
      <c r="F861" s="64">
        <v>95.19583333333334</v>
      </c>
    </row>
    <row r="862" spans="1:6" x14ac:dyDescent="0.25">
      <c r="A862" s="47" t="s">
        <v>3075</v>
      </c>
      <c r="B862" s="47" t="s">
        <v>3076</v>
      </c>
      <c r="C862" s="47" t="s">
        <v>3077</v>
      </c>
      <c r="D862" s="47"/>
      <c r="E862" s="64">
        <v>39959.482499999998</v>
      </c>
      <c r="F862" s="64">
        <v>100000000</v>
      </c>
    </row>
    <row r="863" spans="1:6" x14ac:dyDescent="0.25">
      <c r="A863" s="47" t="s">
        <v>3078</v>
      </c>
      <c r="B863" s="47" t="s">
        <v>3079</v>
      </c>
      <c r="C863" s="47" t="s">
        <v>3080</v>
      </c>
      <c r="D863" s="47" t="s">
        <v>3081</v>
      </c>
      <c r="E863" s="64">
        <v>21768.899999999998</v>
      </c>
      <c r="F863" s="64">
        <v>46.809013666666665</v>
      </c>
    </row>
    <row r="864" spans="1:6" x14ac:dyDescent="0.25">
      <c r="A864" s="47" t="s">
        <v>3082</v>
      </c>
      <c r="B864" s="47" t="s">
        <v>3083</v>
      </c>
      <c r="C864" s="47" t="s">
        <v>3084</v>
      </c>
      <c r="D864" s="47" t="s">
        <v>3081</v>
      </c>
      <c r="E864" s="64">
        <v>21768.899999999998</v>
      </c>
      <c r="F864" s="64">
        <v>46.809013666666665</v>
      </c>
    </row>
    <row r="865" spans="1:6" x14ac:dyDescent="0.25">
      <c r="A865" s="47" t="s">
        <v>3085</v>
      </c>
      <c r="B865" s="47" t="s">
        <v>3086</v>
      </c>
      <c r="C865" s="47" t="s">
        <v>3087</v>
      </c>
      <c r="D865" s="47" t="s">
        <v>2993</v>
      </c>
      <c r="E865" s="64">
        <v>90985.709999999992</v>
      </c>
      <c r="F865" s="64">
        <v>18.3185</v>
      </c>
    </row>
    <row r="866" spans="1:6" x14ac:dyDescent="0.25">
      <c r="A866" s="47" t="s">
        <v>3088</v>
      </c>
      <c r="B866" s="47" t="s">
        <v>3089</v>
      </c>
      <c r="C866" s="47" t="s">
        <v>3090</v>
      </c>
      <c r="D866" s="47" t="s">
        <v>1114</v>
      </c>
      <c r="E866" s="64">
        <v>27058.883333333331</v>
      </c>
      <c r="F866" s="64">
        <v>9</v>
      </c>
    </row>
    <row r="867" spans="1:6" x14ac:dyDescent="0.25">
      <c r="A867" s="47" t="s">
        <v>3091</v>
      </c>
      <c r="B867" s="47" t="s">
        <v>3086</v>
      </c>
      <c r="C867" s="47" t="s">
        <v>3092</v>
      </c>
      <c r="D867" s="47" t="s">
        <v>2993</v>
      </c>
      <c r="E867" s="64">
        <v>90985.709999999992</v>
      </c>
      <c r="F867" s="64">
        <v>18.3185</v>
      </c>
    </row>
    <row r="868" spans="1:6" x14ac:dyDescent="0.25">
      <c r="A868" s="47" t="s">
        <v>3093</v>
      </c>
      <c r="B868" s="47" t="s">
        <v>3094</v>
      </c>
      <c r="C868" s="47" t="s">
        <v>3095</v>
      </c>
      <c r="D868" s="47" t="s">
        <v>2993</v>
      </c>
      <c r="E868" s="64">
        <v>46876.44</v>
      </c>
      <c r="F868" s="64">
        <v>18.3185</v>
      </c>
    </row>
    <row r="869" spans="1:6" x14ac:dyDescent="0.25">
      <c r="A869" s="47" t="s">
        <v>3096</v>
      </c>
      <c r="B869" s="47" t="s">
        <v>3097</v>
      </c>
      <c r="C869" s="47" t="s">
        <v>3098</v>
      </c>
      <c r="D869" s="47" t="s">
        <v>3099</v>
      </c>
      <c r="E869" s="64">
        <v>26241.19</v>
      </c>
      <c r="F869" s="64">
        <v>17.37</v>
      </c>
    </row>
    <row r="870" spans="1:6" x14ac:dyDescent="0.25">
      <c r="A870" s="47" t="s">
        <v>3100</v>
      </c>
      <c r="B870" s="47" t="s">
        <v>3101</v>
      </c>
      <c r="C870" s="47" t="s">
        <v>3102</v>
      </c>
      <c r="D870" s="47"/>
      <c r="E870" s="64">
        <v>39959.482499999998</v>
      </c>
      <c r="F870" s="64">
        <v>100000000</v>
      </c>
    </row>
    <row r="871" spans="1:6" x14ac:dyDescent="0.25">
      <c r="A871" s="47" t="s">
        <v>3103</v>
      </c>
      <c r="B871" s="47" t="s">
        <v>3104</v>
      </c>
      <c r="C871" s="47" t="s">
        <v>3105</v>
      </c>
      <c r="D871" s="47" t="s">
        <v>3106</v>
      </c>
      <c r="E871" s="64">
        <v>43866.359999999993</v>
      </c>
      <c r="F871" s="64">
        <v>670</v>
      </c>
    </row>
    <row r="872" spans="1:6" x14ac:dyDescent="0.25">
      <c r="A872" s="47" t="s">
        <v>3107</v>
      </c>
      <c r="B872" s="47" t="s">
        <v>3108</v>
      </c>
      <c r="C872" s="47" t="s">
        <v>3109</v>
      </c>
      <c r="D872" s="47" t="s">
        <v>3110</v>
      </c>
      <c r="E872" s="64">
        <v>38189.19</v>
      </c>
      <c r="F872" s="64">
        <v>12000</v>
      </c>
    </row>
    <row r="873" spans="1:6" x14ac:dyDescent="0.25">
      <c r="A873" s="47" t="s">
        <v>3111</v>
      </c>
      <c r="B873" s="47" t="s">
        <v>3112</v>
      </c>
      <c r="C873" s="47" t="s">
        <v>3113</v>
      </c>
      <c r="D873" s="47" t="s">
        <v>3114</v>
      </c>
      <c r="E873" s="64">
        <v>87870.739999999991</v>
      </c>
      <c r="F873" s="64">
        <v>95.19583333333334</v>
      </c>
    </row>
    <row r="874" spans="1:6" x14ac:dyDescent="0.25">
      <c r="A874" s="47" t="s">
        <v>3115</v>
      </c>
      <c r="B874" s="47" t="s">
        <v>3116</v>
      </c>
      <c r="C874" s="47" t="s">
        <v>3117</v>
      </c>
      <c r="D874" s="47" t="s">
        <v>3118</v>
      </c>
      <c r="E874" s="64">
        <v>76837.899999999994</v>
      </c>
      <c r="F874" s="64">
        <v>300</v>
      </c>
    </row>
    <row r="875" spans="1:6" x14ac:dyDescent="0.25">
      <c r="A875" s="47" t="s">
        <v>3119</v>
      </c>
      <c r="B875" s="47" t="s">
        <v>3120</v>
      </c>
      <c r="C875" s="47" t="s">
        <v>3121</v>
      </c>
      <c r="D875" s="47" t="s">
        <v>3122</v>
      </c>
      <c r="E875" s="64">
        <v>39039.22</v>
      </c>
      <c r="F875" s="64">
        <v>4.3575458106060605</v>
      </c>
    </row>
    <row r="876" spans="1:6" x14ac:dyDescent="0.25">
      <c r="A876" s="47" t="s">
        <v>3123</v>
      </c>
      <c r="B876" s="47" t="s">
        <v>3124</v>
      </c>
      <c r="C876" s="47" t="s">
        <v>3125</v>
      </c>
      <c r="D876" s="47" t="s">
        <v>3126</v>
      </c>
      <c r="E876" s="64">
        <v>41728.159999999996</v>
      </c>
      <c r="F876" s="64">
        <v>18.3185</v>
      </c>
    </row>
    <row r="877" spans="1:6" x14ac:dyDescent="0.25">
      <c r="A877" s="47" t="s">
        <v>3127</v>
      </c>
      <c r="B877" s="47" t="s">
        <v>3128</v>
      </c>
      <c r="C877" s="47" t="s">
        <v>3129</v>
      </c>
      <c r="D877" s="47" t="s">
        <v>3130</v>
      </c>
      <c r="E877" s="64">
        <v>62540.899999999994</v>
      </c>
      <c r="F877" s="64">
        <v>24.053062500000006</v>
      </c>
    </row>
    <row r="878" spans="1:6" x14ac:dyDescent="0.25">
      <c r="A878" s="47" t="s">
        <v>3131</v>
      </c>
      <c r="B878" s="47" t="s">
        <v>3104</v>
      </c>
      <c r="C878" s="47" t="s">
        <v>3132</v>
      </c>
      <c r="D878" s="47" t="s">
        <v>3106</v>
      </c>
      <c r="E878" s="64">
        <v>43866.359999999993</v>
      </c>
      <c r="F878" s="64">
        <v>360</v>
      </c>
    </row>
    <row r="879" spans="1:6" x14ac:dyDescent="0.25">
      <c r="A879" s="47" t="s">
        <v>3133</v>
      </c>
      <c r="B879" s="47" t="s">
        <v>3134</v>
      </c>
      <c r="C879" s="47" t="s">
        <v>3135</v>
      </c>
      <c r="D879" s="47"/>
      <c r="E879" s="64">
        <v>39959.482499999998</v>
      </c>
      <c r="F879" s="64">
        <v>100000000</v>
      </c>
    </row>
    <row r="880" spans="1:6" x14ac:dyDescent="0.25">
      <c r="A880" s="47" t="s">
        <v>3136</v>
      </c>
      <c r="B880" s="47" t="s">
        <v>3137</v>
      </c>
      <c r="C880" s="47" t="s">
        <v>3138</v>
      </c>
      <c r="D880" s="47" t="s">
        <v>3139</v>
      </c>
      <c r="E880" s="64">
        <v>95616.87</v>
      </c>
      <c r="F880" s="64">
        <v>316.14999999999998</v>
      </c>
    </row>
    <row r="881" spans="1:6" x14ac:dyDescent="0.25">
      <c r="A881" s="47" t="s">
        <v>3140</v>
      </c>
      <c r="B881" s="47" t="s">
        <v>3141</v>
      </c>
      <c r="C881" s="47" t="s">
        <v>3142</v>
      </c>
      <c r="D881" s="47"/>
      <c r="E881" s="64">
        <v>39959.482499999998</v>
      </c>
      <c r="F881" s="64">
        <v>100000000</v>
      </c>
    </row>
    <row r="882" spans="1:6" x14ac:dyDescent="0.25">
      <c r="A882" s="47" t="s">
        <v>3143</v>
      </c>
      <c r="B882" s="47" t="s">
        <v>3144</v>
      </c>
      <c r="C882" s="47" t="s">
        <v>3145</v>
      </c>
      <c r="D882" s="47"/>
      <c r="E882" s="64">
        <v>56585.760000000009</v>
      </c>
      <c r="F882" s="64">
        <v>22</v>
      </c>
    </row>
    <row r="883" spans="1:6" x14ac:dyDescent="0.25">
      <c r="A883" s="47" t="s">
        <v>3146</v>
      </c>
      <c r="B883" s="47" t="s">
        <v>3147</v>
      </c>
      <c r="C883" s="47" t="s">
        <v>3148</v>
      </c>
      <c r="D883" s="47"/>
      <c r="E883" s="64">
        <v>54844.33</v>
      </c>
      <c r="F883" s="64">
        <v>22</v>
      </c>
    </row>
    <row r="884" spans="1:6" x14ac:dyDescent="0.25">
      <c r="A884" s="47" t="s">
        <v>3149</v>
      </c>
      <c r="B884" s="47" t="s">
        <v>3150</v>
      </c>
      <c r="C884" s="47" t="s">
        <v>3151</v>
      </c>
      <c r="D884" s="47"/>
      <c r="E884" s="64">
        <v>54844.33</v>
      </c>
      <c r="F884" s="64">
        <v>22</v>
      </c>
    </row>
    <row r="885" spans="1:6" x14ac:dyDescent="0.25">
      <c r="A885" s="47" t="s">
        <v>3152</v>
      </c>
      <c r="B885" s="47" t="s">
        <v>3153</v>
      </c>
      <c r="C885" s="47" t="s">
        <v>3154</v>
      </c>
      <c r="D885" s="47"/>
      <c r="E885" s="64">
        <v>54844.33</v>
      </c>
      <c r="F885" s="64">
        <v>22</v>
      </c>
    </row>
    <row r="886" spans="1:6" x14ac:dyDescent="0.25">
      <c r="A886" s="47" t="s">
        <v>3155</v>
      </c>
      <c r="B886" s="47" t="s">
        <v>3156</v>
      </c>
      <c r="C886" s="47" t="s">
        <v>3157</v>
      </c>
      <c r="D886" s="47" t="s">
        <v>3158</v>
      </c>
      <c r="E886" s="64">
        <v>84375.94</v>
      </c>
      <c r="F886" s="64">
        <v>86.033333333333346</v>
      </c>
    </row>
    <row r="887" spans="1:6" x14ac:dyDescent="0.25">
      <c r="A887" s="47" t="s">
        <v>3159</v>
      </c>
      <c r="B887" s="47" t="s">
        <v>3160</v>
      </c>
      <c r="C887" s="47" t="s">
        <v>3161</v>
      </c>
      <c r="D887" s="47" t="s">
        <v>3158</v>
      </c>
      <c r="E887" s="64">
        <v>84375.94</v>
      </c>
      <c r="F887" s="64">
        <v>2.7750000000000004</v>
      </c>
    </row>
    <row r="888" spans="1:6" x14ac:dyDescent="0.25">
      <c r="A888" s="47" t="s">
        <v>3162</v>
      </c>
      <c r="B888" s="47" t="s">
        <v>3163</v>
      </c>
      <c r="C888" s="47" t="s">
        <v>3164</v>
      </c>
      <c r="D888" s="47"/>
      <c r="E888" s="64">
        <v>39959.482499999998</v>
      </c>
      <c r="F888" s="64">
        <v>100000000</v>
      </c>
    </row>
    <row r="889" spans="1:6" x14ac:dyDescent="0.25">
      <c r="A889" s="47" t="s">
        <v>3165</v>
      </c>
      <c r="B889" s="47" t="s">
        <v>3166</v>
      </c>
      <c r="C889" s="47" t="s">
        <v>3167</v>
      </c>
      <c r="D889" s="47"/>
      <c r="E889" s="64">
        <v>39959.482499999998</v>
      </c>
      <c r="F889" s="64">
        <v>100000000</v>
      </c>
    </row>
    <row r="890" spans="1:6" x14ac:dyDescent="0.25">
      <c r="A890" s="47" t="s">
        <v>3168</v>
      </c>
      <c r="B890" s="47" t="s">
        <v>3169</v>
      </c>
      <c r="C890" s="47" t="s">
        <v>3170</v>
      </c>
      <c r="D890" s="47" t="s">
        <v>3171</v>
      </c>
      <c r="E890" s="64">
        <v>133969.25</v>
      </c>
      <c r="F890" s="64">
        <v>700</v>
      </c>
    </row>
    <row r="891" spans="1:6" x14ac:dyDescent="0.25">
      <c r="A891" s="47" t="s">
        <v>3172</v>
      </c>
      <c r="B891" s="47" t="s">
        <v>3173</v>
      </c>
      <c r="C891" s="47" t="s">
        <v>3174</v>
      </c>
      <c r="D891" s="47" t="s">
        <v>3171</v>
      </c>
      <c r="E891" s="64">
        <v>133969.25</v>
      </c>
      <c r="F891" s="64">
        <v>700</v>
      </c>
    </row>
    <row r="892" spans="1:6" x14ac:dyDescent="0.25">
      <c r="A892" s="47" t="s">
        <v>3175</v>
      </c>
      <c r="B892" s="47" t="s">
        <v>3176</v>
      </c>
      <c r="C892" s="47" t="s">
        <v>3177</v>
      </c>
      <c r="D892" s="47"/>
      <c r="E892" s="64">
        <v>62083.360000000008</v>
      </c>
      <c r="F892" s="64">
        <v>22</v>
      </c>
    </row>
    <row r="893" spans="1:6" x14ac:dyDescent="0.25">
      <c r="A893" s="47" t="s">
        <v>3178</v>
      </c>
      <c r="B893" s="47" t="s">
        <v>3179</v>
      </c>
      <c r="C893" s="47" t="s">
        <v>3180</v>
      </c>
      <c r="D893" s="47" t="s">
        <v>3181</v>
      </c>
      <c r="E893" s="64">
        <v>20535.53</v>
      </c>
      <c r="F893" s="64">
        <v>25</v>
      </c>
    </row>
    <row r="894" spans="1:6" x14ac:dyDescent="0.25">
      <c r="A894" s="47" t="s">
        <v>3182</v>
      </c>
      <c r="B894" s="47" t="s">
        <v>3183</v>
      </c>
      <c r="C894" s="47" t="s">
        <v>3184</v>
      </c>
      <c r="D894" s="47"/>
      <c r="E894" s="64">
        <v>39959.482499999998</v>
      </c>
      <c r="F894" s="64">
        <v>100000000</v>
      </c>
    </row>
    <row r="895" spans="1:6" x14ac:dyDescent="0.25">
      <c r="A895" s="47" t="s">
        <v>3185</v>
      </c>
      <c r="B895" s="47" t="s">
        <v>3186</v>
      </c>
      <c r="C895" s="47" t="s">
        <v>3187</v>
      </c>
      <c r="D895" s="47"/>
      <c r="E895" s="64">
        <v>39959.482499999998</v>
      </c>
      <c r="F895" s="64">
        <v>100000000</v>
      </c>
    </row>
    <row r="896" spans="1:6" x14ac:dyDescent="0.25">
      <c r="A896" s="47" t="s">
        <v>3188</v>
      </c>
      <c r="B896" s="47" t="s">
        <v>3189</v>
      </c>
      <c r="C896" s="47" t="s">
        <v>3190</v>
      </c>
      <c r="D896" s="47"/>
      <c r="E896" s="64">
        <v>39959.482499999998</v>
      </c>
      <c r="F896" s="64">
        <v>100000000</v>
      </c>
    </row>
    <row r="897" spans="1:6" x14ac:dyDescent="0.25">
      <c r="A897" s="47" t="s">
        <v>3191</v>
      </c>
      <c r="B897" s="47" t="s">
        <v>3192</v>
      </c>
      <c r="C897" s="47" t="s">
        <v>3193</v>
      </c>
      <c r="D897" s="47" t="s">
        <v>3194</v>
      </c>
      <c r="E897" s="64">
        <v>32273.659999999996</v>
      </c>
      <c r="F897" s="64">
        <v>32.4876</v>
      </c>
    </row>
    <row r="898" spans="1:6" x14ac:dyDescent="0.25">
      <c r="A898" s="47" t="s">
        <v>3195</v>
      </c>
      <c r="B898" s="47" t="s">
        <v>3196</v>
      </c>
      <c r="C898" s="47" t="s">
        <v>3197</v>
      </c>
      <c r="D898" s="47"/>
      <c r="E898" s="64">
        <v>39959.482499999998</v>
      </c>
      <c r="F898" s="64">
        <v>100000000</v>
      </c>
    </row>
    <row r="899" spans="1:6" x14ac:dyDescent="0.25">
      <c r="A899" s="47" t="s">
        <v>3198</v>
      </c>
      <c r="B899" s="47" t="s">
        <v>3199</v>
      </c>
      <c r="C899" s="47" t="s">
        <v>3200</v>
      </c>
      <c r="D899" s="47"/>
      <c r="E899" s="64">
        <v>39959.482499999998</v>
      </c>
      <c r="F899" s="64">
        <v>100000000</v>
      </c>
    </row>
    <row r="900" spans="1:6" x14ac:dyDescent="0.25">
      <c r="A900" s="47" t="s">
        <v>3201</v>
      </c>
      <c r="B900" s="47" t="s">
        <v>3202</v>
      </c>
      <c r="C900" s="47" t="s">
        <v>3203</v>
      </c>
      <c r="D900" s="47"/>
      <c r="E900" s="64">
        <v>39959.482499999998</v>
      </c>
      <c r="F900" s="64">
        <v>100000000</v>
      </c>
    </row>
    <row r="901" spans="1:6" x14ac:dyDescent="0.25">
      <c r="A901" s="47" t="s">
        <v>3204</v>
      </c>
      <c r="B901" s="47" t="s">
        <v>3205</v>
      </c>
      <c r="C901" s="47" t="s">
        <v>3206</v>
      </c>
      <c r="D901" s="47"/>
      <c r="E901" s="64">
        <v>39959.482499999998</v>
      </c>
      <c r="F901" s="64">
        <v>100000000</v>
      </c>
    </row>
    <row r="902" spans="1:6" x14ac:dyDescent="0.25">
      <c r="A902" s="47" t="s">
        <v>3207</v>
      </c>
      <c r="B902" s="47" t="s">
        <v>3208</v>
      </c>
      <c r="C902" s="47" t="s">
        <v>3209</v>
      </c>
      <c r="D902" s="47" t="s">
        <v>3210</v>
      </c>
      <c r="E902" s="64">
        <v>68243.459999999992</v>
      </c>
      <c r="F902" s="64">
        <v>4.8000000000000001E-2</v>
      </c>
    </row>
    <row r="903" spans="1:6" x14ac:dyDescent="0.25">
      <c r="A903" s="47" t="s">
        <v>3211</v>
      </c>
      <c r="B903" s="47" t="s">
        <v>3212</v>
      </c>
      <c r="C903" s="47" t="s">
        <v>3213</v>
      </c>
      <c r="D903" s="47" t="s">
        <v>3214</v>
      </c>
      <c r="E903" s="64">
        <v>30448.145</v>
      </c>
      <c r="F903" s="64">
        <v>3.4550000000000001</v>
      </c>
    </row>
    <row r="904" spans="1:6" x14ac:dyDescent="0.25">
      <c r="A904" s="47" t="s">
        <v>3215</v>
      </c>
      <c r="B904" s="47" t="s">
        <v>3216</v>
      </c>
      <c r="C904" s="47" t="s">
        <v>3217</v>
      </c>
      <c r="D904" s="47" t="s">
        <v>3218</v>
      </c>
      <c r="E904" s="64">
        <v>43326.38</v>
      </c>
      <c r="F904" s="64">
        <v>24.6</v>
      </c>
    </row>
    <row r="905" spans="1:6" x14ac:dyDescent="0.25">
      <c r="A905" s="47" t="s">
        <v>3219</v>
      </c>
      <c r="B905" s="47" t="s">
        <v>3220</v>
      </c>
      <c r="C905" s="47" t="s">
        <v>3221</v>
      </c>
      <c r="D905" s="47" t="s">
        <v>3222</v>
      </c>
      <c r="E905" s="64">
        <v>63221.70749999999</v>
      </c>
      <c r="F905" s="64">
        <v>38.75333333333333</v>
      </c>
    </row>
    <row r="906" spans="1:6" x14ac:dyDescent="0.25">
      <c r="A906" s="47" t="s">
        <v>3223</v>
      </c>
      <c r="B906" s="47" t="s">
        <v>3224</v>
      </c>
      <c r="C906" s="47" t="s">
        <v>3225</v>
      </c>
      <c r="D906" s="47"/>
      <c r="E906" s="64">
        <v>39959.482499999998</v>
      </c>
      <c r="F906" s="64">
        <v>100000000</v>
      </c>
    </row>
    <row r="907" spans="1:6" x14ac:dyDescent="0.25">
      <c r="A907" s="47" t="s">
        <v>3226</v>
      </c>
      <c r="B907" s="47" t="s">
        <v>3227</v>
      </c>
      <c r="C907" s="47" t="s">
        <v>3228</v>
      </c>
      <c r="D907" s="47"/>
      <c r="E907" s="64">
        <v>39959.482499999998</v>
      </c>
      <c r="F907" s="64">
        <v>100000000</v>
      </c>
    </row>
    <row r="908" spans="1:6" x14ac:dyDescent="0.25">
      <c r="A908" s="47" t="s">
        <v>3229</v>
      </c>
      <c r="B908" s="47" t="s">
        <v>877</v>
      </c>
      <c r="C908" s="47" t="s">
        <v>3230</v>
      </c>
      <c r="D908" s="47" t="s">
        <v>3231</v>
      </c>
      <c r="E908" s="64">
        <v>83457.279999999999</v>
      </c>
      <c r="F908" s="64">
        <v>11.7</v>
      </c>
    </row>
    <row r="909" spans="1:6" x14ac:dyDescent="0.25">
      <c r="A909" s="47" t="s">
        <v>3232</v>
      </c>
      <c r="B909" s="47" t="s">
        <v>1941</v>
      </c>
      <c r="C909" s="47" t="s">
        <v>3233</v>
      </c>
      <c r="D909" s="47" t="s">
        <v>1943</v>
      </c>
      <c r="E909" s="64">
        <v>40842.06</v>
      </c>
      <c r="F909" s="64">
        <v>3.2</v>
      </c>
    </row>
    <row r="910" spans="1:6" x14ac:dyDescent="0.25">
      <c r="A910" s="47" t="s">
        <v>3234</v>
      </c>
      <c r="B910" s="47" t="s">
        <v>1991</v>
      </c>
      <c r="C910" s="47" t="s">
        <v>3235</v>
      </c>
      <c r="D910" s="47" t="s">
        <v>1943</v>
      </c>
      <c r="E910" s="64">
        <v>40842.06</v>
      </c>
      <c r="F910" s="64">
        <v>3.2</v>
      </c>
    </row>
    <row r="911" spans="1:6" x14ac:dyDescent="0.25">
      <c r="A911" s="47" t="s">
        <v>3236</v>
      </c>
      <c r="B911" s="47" t="s">
        <v>3237</v>
      </c>
      <c r="C911" s="47" t="s">
        <v>3238</v>
      </c>
      <c r="D911" s="47"/>
      <c r="E911" s="64">
        <v>39959.482499999998</v>
      </c>
      <c r="F911" s="64">
        <v>100000000</v>
      </c>
    </row>
    <row r="912" spans="1:6" x14ac:dyDescent="0.25">
      <c r="A912" s="47" t="s">
        <v>3239</v>
      </c>
      <c r="B912" s="47" t="s">
        <v>3240</v>
      </c>
      <c r="C912" s="47" t="s">
        <v>3241</v>
      </c>
      <c r="D912" s="47"/>
      <c r="E912" s="64">
        <v>39959.482499999998</v>
      </c>
      <c r="F912" s="64">
        <v>100000000</v>
      </c>
    </row>
    <row r="913" spans="1:6" x14ac:dyDescent="0.25">
      <c r="A913" s="47" t="s">
        <v>3242</v>
      </c>
      <c r="B913" s="47" t="s">
        <v>3243</v>
      </c>
      <c r="C913" s="47" t="s">
        <v>3244</v>
      </c>
      <c r="D913" s="47" t="s">
        <v>1343</v>
      </c>
      <c r="E913" s="64">
        <v>78243.579999999987</v>
      </c>
      <c r="F913" s="64">
        <v>263.20833333333331</v>
      </c>
    </row>
    <row r="914" spans="1:6" x14ac:dyDescent="0.25">
      <c r="A914" s="47" t="s">
        <v>3245</v>
      </c>
      <c r="B914" s="47" t="s">
        <v>3246</v>
      </c>
      <c r="C914" s="47" t="s">
        <v>3247</v>
      </c>
      <c r="D914" s="47" t="s">
        <v>2360</v>
      </c>
      <c r="E914" s="64">
        <v>41735.050000000003</v>
      </c>
      <c r="F914" s="64">
        <v>0.86</v>
      </c>
    </row>
    <row r="915" spans="1:6" x14ac:dyDescent="0.25">
      <c r="A915" s="47" t="s">
        <v>3248</v>
      </c>
      <c r="B915" s="47" t="s">
        <v>3249</v>
      </c>
      <c r="C915" s="47" t="s">
        <v>3250</v>
      </c>
      <c r="D915" s="47" t="s">
        <v>3251</v>
      </c>
      <c r="E915" s="64">
        <v>52913.88</v>
      </c>
      <c r="F915" s="64">
        <v>0.7</v>
      </c>
    </row>
    <row r="916" spans="1:6" x14ac:dyDescent="0.25">
      <c r="A916" s="47" t="s">
        <v>3252</v>
      </c>
      <c r="B916" s="47" t="s">
        <v>3253</v>
      </c>
      <c r="C916" s="47" t="s">
        <v>3254</v>
      </c>
      <c r="D916" s="47" t="s">
        <v>3181</v>
      </c>
      <c r="E916" s="64">
        <v>39024.860000000008</v>
      </c>
      <c r="F916" s="64">
        <v>25</v>
      </c>
    </row>
    <row r="917" spans="1:6" x14ac:dyDescent="0.25">
      <c r="A917" s="47" t="s">
        <v>3255</v>
      </c>
      <c r="B917" s="47" t="s">
        <v>3256</v>
      </c>
      <c r="C917" s="47" t="s">
        <v>3257</v>
      </c>
      <c r="D917" s="47" t="s">
        <v>3181</v>
      </c>
      <c r="E917" s="64">
        <v>20535.53</v>
      </c>
      <c r="F917" s="64">
        <v>25</v>
      </c>
    </row>
    <row r="918" spans="1:6" x14ac:dyDescent="0.25">
      <c r="A918" s="47" t="s">
        <v>3258</v>
      </c>
      <c r="B918" s="47" t="s">
        <v>3259</v>
      </c>
      <c r="C918" s="47" t="s">
        <v>3260</v>
      </c>
      <c r="D918" s="47" t="s">
        <v>521</v>
      </c>
      <c r="E918" s="64">
        <v>130894.995</v>
      </c>
      <c r="F918" s="64">
        <v>8.1150000000000002</v>
      </c>
    </row>
    <row r="919" spans="1:6" x14ac:dyDescent="0.25">
      <c r="A919" s="47" t="s">
        <v>3261</v>
      </c>
      <c r="B919" s="47" t="s">
        <v>3262</v>
      </c>
      <c r="C919" s="47" t="s">
        <v>3263</v>
      </c>
      <c r="D919" s="47" t="s">
        <v>521</v>
      </c>
      <c r="E919" s="64">
        <v>130894.995</v>
      </c>
      <c r="F919" s="64">
        <v>8.1150000000000002</v>
      </c>
    </row>
    <row r="920" spans="1:6" x14ac:dyDescent="0.25">
      <c r="A920" s="47" t="s">
        <v>3264</v>
      </c>
      <c r="B920" s="47" t="s">
        <v>3265</v>
      </c>
      <c r="C920" s="47" t="s">
        <v>3266</v>
      </c>
      <c r="D920" s="47"/>
      <c r="E920" s="64">
        <v>39959.482499999998</v>
      </c>
      <c r="F920" s="64">
        <v>100000000</v>
      </c>
    </row>
    <row r="921" spans="1:6" x14ac:dyDescent="0.25">
      <c r="A921" s="47" t="s">
        <v>3267</v>
      </c>
      <c r="B921" s="47" t="s">
        <v>3268</v>
      </c>
      <c r="C921" s="47" t="s">
        <v>3269</v>
      </c>
      <c r="D921" s="47"/>
      <c r="E921" s="64">
        <v>39959.482499999998</v>
      </c>
      <c r="F921" s="64">
        <v>100000000</v>
      </c>
    </row>
    <row r="922" spans="1:6" x14ac:dyDescent="0.25">
      <c r="A922" s="47" t="s">
        <v>3270</v>
      </c>
      <c r="B922" s="47" t="s">
        <v>3271</v>
      </c>
      <c r="C922" s="47" t="s">
        <v>3272</v>
      </c>
      <c r="D922" s="47"/>
      <c r="E922" s="64">
        <v>39959.482499999998</v>
      </c>
      <c r="F922" s="64">
        <v>100000000</v>
      </c>
    </row>
    <row r="923" spans="1:6" x14ac:dyDescent="0.25">
      <c r="A923" s="47" t="s">
        <v>3273</v>
      </c>
      <c r="B923" s="47" t="s">
        <v>3274</v>
      </c>
      <c r="C923" s="47" t="s">
        <v>3275</v>
      </c>
      <c r="D923" s="47"/>
      <c r="E923" s="64">
        <v>39959.482499999998</v>
      </c>
      <c r="F923" s="64">
        <v>100000000</v>
      </c>
    </row>
    <row r="924" spans="1:6" x14ac:dyDescent="0.25">
      <c r="A924" s="47" t="s">
        <v>3276</v>
      </c>
      <c r="B924" s="47" t="s">
        <v>3277</v>
      </c>
      <c r="C924" s="47" t="s">
        <v>3278</v>
      </c>
      <c r="D924" s="47" t="s">
        <v>3279</v>
      </c>
      <c r="E924" s="64">
        <v>60822.099999999991</v>
      </c>
      <c r="F924" s="64">
        <v>405</v>
      </c>
    </row>
    <row r="925" spans="1:6" x14ac:dyDescent="0.25">
      <c r="A925" s="47" t="s">
        <v>3280</v>
      </c>
      <c r="B925" s="47" t="s">
        <v>3281</v>
      </c>
      <c r="C925" s="47" t="s">
        <v>3282</v>
      </c>
      <c r="D925" s="47" t="s">
        <v>3279</v>
      </c>
      <c r="E925" s="64">
        <v>60822.099999999991</v>
      </c>
      <c r="F925" s="64">
        <v>405</v>
      </c>
    </row>
    <row r="926" spans="1:6" x14ac:dyDescent="0.25">
      <c r="A926" s="47" t="s">
        <v>3283</v>
      </c>
      <c r="B926" s="47" t="s">
        <v>3284</v>
      </c>
      <c r="C926" s="47" t="s">
        <v>3285</v>
      </c>
      <c r="D926" s="47" t="s">
        <v>3279</v>
      </c>
      <c r="E926" s="64">
        <v>60822.099999999991</v>
      </c>
      <c r="F926" s="64">
        <v>405</v>
      </c>
    </row>
    <row r="927" spans="1:6" x14ac:dyDescent="0.25">
      <c r="A927" s="47" t="s">
        <v>3286</v>
      </c>
      <c r="B927" s="47" t="s">
        <v>3287</v>
      </c>
      <c r="C927" s="47" t="s">
        <v>3288</v>
      </c>
      <c r="D927" s="47" t="s">
        <v>3289</v>
      </c>
      <c r="E927" s="64">
        <v>60822.099999999991</v>
      </c>
      <c r="F927" s="64">
        <v>207.42</v>
      </c>
    </row>
    <row r="928" spans="1:6" x14ac:dyDescent="0.25">
      <c r="A928" s="47" t="s">
        <v>3290</v>
      </c>
      <c r="B928" s="47" t="s">
        <v>3291</v>
      </c>
      <c r="C928" s="47" t="s">
        <v>3292</v>
      </c>
      <c r="D928" s="47" t="s">
        <v>3293</v>
      </c>
      <c r="E928" s="64">
        <v>37524.509999999995</v>
      </c>
      <c r="F928" s="64">
        <v>3.91</v>
      </c>
    </row>
    <row r="929" spans="1:6" x14ac:dyDescent="0.25">
      <c r="A929" s="47" t="s">
        <v>3294</v>
      </c>
      <c r="B929" s="47" t="s">
        <v>3295</v>
      </c>
      <c r="C929" s="47" t="s">
        <v>3296</v>
      </c>
      <c r="D929" s="47" t="s">
        <v>2983</v>
      </c>
      <c r="E929" s="64">
        <v>91759.599999999991</v>
      </c>
      <c r="F929" s="64">
        <v>95.19583333333334</v>
      </c>
    </row>
    <row r="930" spans="1:6" x14ac:dyDescent="0.25">
      <c r="A930" s="47" t="s">
        <v>3297</v>
      </c>
      <c r="B930" s="47" t="s">
        <v>3298</v>
      </c>
      <c r="C930" s="47" t="s">
        <v>3299</v>
      </c>
      <c r="D930" s="47"/>
      <c r="E930" s="64">
        <v>39959.482499999998</v>
      </c>
      <c r="F930" s="64">
        <v>100000000</v>
      </c>
    </row>
    <row r="931" spans="1:6" x14ac:dyDescent="0.25">
      <c r="A931" s="47" t="s">
        <v>3300</v>
      </c>
      <c r="B931" s="47" t="s">
        <v>3301</v>
      </c>
      <c r="C931" s="47" t="s">
        <v>3302</v>
      </c>
      <c r="D931" s="47"/>
      <c r="E931" s="64">
        <v>39959.482499999998</v>
      </c>
      <c r="F931" s="64">
        <v>100000000</v>
      </c>
    </row>
    <row r="932" spans="1:6" x14ac:dyDescent="0.25">
      <c r="A932" s="47" t="s">
        <v>3303</v>
      </c>
      <c r="B932" s="47" t="s">
        <v>3304</v>
      </c>
      <c r="C932" s="47" t="s">
        <v>3305</v>
      </c>
      <c r="D932" s="47"/>
      <c r="E932" s="64">
        <v>39959.482499999998</v>
      </c>
      <c r="F932" s="64">
        <v>100000000</v>
      </c>
    </row>
    <row r="933" spans="1:6" x14ac:dyDescent="0.25">
      <c r="A933" s="47" t="s">
        <v>3306</v>
      </c>
      <c r="B933" s="47" t="s">
        <v>3307</v>
      </c>
      <c r="C933" s="47" t="s">
        <v>3308</v>
      </c>
      <c r="D933" s="47"/>
      <c r="E933" s="64">
        <v>39959.482499999998</v>
      </c>
      <c r="F933" s="64">
        <v>100000000</v>
      </c>
    </row>
    <row r="934" spans="1:6" x14ac:dyDescent="0.25">
      <c r="A934" s="47" t="s">
        <v>3309</v>
      </c>
      <c r="B934" s="47" t="s">
        <v>3310</v>
      </c>
      <c r="C934" s="47" t="s">
        <v>3311</v>
      </c>
      <c r="D934" s="47"/>
      <c r="E934" s="64">
        <v>39959.482499999998</v>
      </c>
      <c r="F934" s="64">
        <v>100000000</v>
      </c>
    </row>
    <row r="935" spans="1:6" x14ac:dyDescent="0.25">
      <c r="A935" s="47" t="s">
        <v>3312</v>
      </c>
      <c r="B935" s="47" t="s">
        <v>3313</v>
      </c>
      <c r="C935" s="47" t="s">
        <v>3314</v>
      </c>
      <c r="D935" s="47"/>
      <c r="E935" s="64">
        <v>39959.482499999998</v>
      </c>
      <c r="F935" s="64">
        <v>100000000</v>
      </c>
    </row>
    <row r="936" spans="1:6" x14ac:dyDescent="0.25">
      <c r="A936" s="47" t="s">
        <v>3315</v>
      </c>
      <c r="B936" s="47" t="s">
        <v>3316</v>
      </c>
      <c r="C936" s="47" t="s">
        <v>3317</v>
      </c>
      <c r="D936" s="47" t="s">
        <v>3318</v>
      </c>
      <c r="E936" s="64">
        <v>33566.570000000007</v>
      </c>
      <c r="F936" s="64">
        <v>160</v>
      </c>
    </row>
    <row r="937" spans="1:6" x14ac:dyDescent="0.25">
      <c r="A937" s="47" t="s">
        <v>3319</v>
      </c>
      <c r="B937" s="47" t="s">
        <v>3320</v>
      </c>
      <c r="C937" s="47" t="s">
        <v>3321</v>
      </c>
      <c r="D937" s="47" t="s">
        <v>3181</v>
      </c>
      <c r="E937" s="64">
        <v>20535.53</v>
      </c>
      <c r="F937" s="64">
        <v>25</v>
      </c>
    </row>
    <row r="938" spans="1:6" x14ac:dyDescent="0.25">
      <c r="A938" s="47" t="s">
        <v>3322</v>
      </c>
      <c r="B938" s="47" t="s">
        <v>3323</v>
      </c>
      <c r="C938" s="47" t="s">
        <v>3324</v>
      </c>
      <c r="D938" s="47" t="s">
        <v>3318</v>
      </c>
      <c r="E938" s="64">
        <v>33566.570000000007</v>
      </c>
      <c r="F938" s="64">
        <v>160</v>
      </c>
    </row>
    <row r="939" spans="1:6" x14ac:dyDescent="0.25">
      <c r="A939" s="47" t="s">
        <v>3325</v>
      </c>
      <c r="B939" s="47" t="s">
        <v>3326</v>
      </c>
      <c r="C939" s="47" t="s">
        <v>3327</v>
      </c>
      <c r="D939" s="47" t="s">
        <v>3328</v>
      </c>
      <c r="E939" s="64">
        <v>21998.239999999998</v>
      </c>
      <c r="F939" s="64">
        <v>4.9999999999999996E-2</v>
      </c>
    </row>
    <row r="940" spans="1:6" x14ac:dyDescent="0.25">
      <c r="A940" s="47" t="s">
        <v>3329</v>
      </c>
      <c r="B940" s="47" t="s">
        <v>3330</v>
      </c>
      <c r="C940" s="47" t="s">
        <v>3331</v>
      </c>
      <c r="D940" s="47" t="s">
        <v>2303</v>
      </c>
      <c r="E940" s="64">
        <v>91182.86</v>
      </c>
      <c r="F940" s="64">
        <v>95.19583333333334</v>
      </c>
    </row>
    <row r="941" spans="1:6" x14ac:dyDescent="0.25">
      <c r="A941" s="47" t="s">
        <v>3332</v>
      </c>
      <c r="B941" s="47" t="s">
        <v>3333</v>
      </c>
      <c r="C941" s="47" t="s">
        <v>3334</v>
      </c>
      <c r="D941" s="47"/>
      <c r="E941" s="64">
        <v>39959.482499999998</v>
      </c>
      <c r="F941" s="64">
        <v>100000000</v>
      </c>
    </row>
    <row r="942" spans="1:6" x14ac:dyDescent="0.25">
      <c r="A942" s="47" t="s">
        <v>3335</v>
      </c>
      <c r="B942" s="47" t="s">
        <v>3336</v>
      </c>
      <c r="C942" s="47" t="s">
        <v>3337</v>
      </c>
      <c r="D942" s="47" t="s">
        <v>408</v>
      </c>
      <c r="E942" s="64">
        <v>17432.43</v>
      </c>
      <c r="F942" s="64">
        <v>90.131772727272732</v>
      </c>
    </row>
    <row r="943" spans="1:6" x14ac:dyDescent="0.25">
      <c r="A943" s="47" t="s">
        <v>3338</v>
      </c>
      <c r="B943" s="47" t="s">
        <v>3339</v>
      </c>
      <c r="C943" s="47" t="s">
        <v>3340</v>
      </c>
      <c r="D943" s="47"/>
      <c r="E943" s="64">
        <v>203043.97333333333</v>
      </c>
      <c r="F943" s="64">
        <v>22</v>
      </c>
    </row>
    <row r="944" spans="1:6" x14ac:dyDescent="0.25">
      <c r="A944" s="47" t="s">
        <v>3341</v>
      </c>
      <c r="B944" s="47" t="s">
        <v>3342</v>
      </c>
      <c r="C944" s="47" t="s">
        <v>3343</v>
      </c>
      <c r="D944" s="47"/>
      <c r="E944" s="64">
        <v>204229.28999999998</v>
      </c>
      <c r="F944" s="64">
        <v>22</v>
      </c>
    </row>
    <row r="945" spans="1:6" x14ac:dyDescent="0.25">
      <c r="A945" s="47" t="s">
        <v>3344</v>
      </c>
      <c r="B945" s="47" t="s">
        <v>3345</v>
      </c>
      <c r="C945" s="47" t="s">
        <v>3346</v>
      </c>
      <c r="D945" s="47"/>
      <c r="E945" s="64">
        <v>53243.880000000005</v>
      </c>
      <c r="F945" s="64">
        <v>22</v>
      </c>
    </row>
    <row r="946" spans="1:6" x14ac:dyDescent="0.25">
      <c r="A946" s="47" t="s">
        <v>3347</v>
      </c>
      <c r="B946" s="47" t="s">
        <v>3348</v>
      </c>
      <c r="C946" s="47" t="s">
        <v>3349</v>
      </c>
      <c r="D946" s="47"/>
      <c r="E946" s="64">
        <v>53243.880000000005</v>
      </c>
      <c r="F946" s="64">
        <v>22</v>
      </c>
    </row>
    <row r="947" spans="1:6" x14ac:dyDescent="0.25">
      <c r="A947" s="47" t="s">
        <v>3350</v>
      </c>
      <c r="B947" s="47" t="s">
        <v>3351</v>
      </c>
      <c r="C947" s="47" t="s">
        <v>3352</v>
      </c>
      <c r="D947" s="47"/>
      <c r="E947" s="64">
        <v>53243.880000000005</v>
      </c>
      <c r="F947" s="64">
        <v>22</v>
      </c>
    </row>
    <row r="948" spans="1:6" x14ac:dyDescent="0.25">
      <c r="A948" s="47" t="s">
        <v>3353</v>
      </c>
      <c r="B948" s="47" t="s">
        <v>3354</v>
      </c>
      <c r="C948" s="47" t="s">
        <v>3355</v>
      </c>
      <c r="D948" s="47"/>
      <c r="E948" s="64">
        <v>30111.919999999998</v>
      </c>
      <c r="F948" s="64">
        <v>22</v>
      </c>
    </row>
    <row r="949" spans="1:6" x14ac:dyDescent="0.25">
      <c r="A949" s="47" t="s">
        <v>3356</v>
      </c>
      <c r="B949" s="47" t="s">
        <v>3354</v>
      </c>
      <c r="C949" s="47" t="s">
        <v>3357</v>
      </c>
      <c r="D949" s="47"/>
      <c r="E949" s="64">
        <v>30111.919999999998</v>
      </c>
      <c r="F949" s="64">
        <v>22</v>
      </c>
    </row>
    <row r="950" spans="1:6" x14ac:dyDescent="0.25">
      <c r="A950" s="47" t="s">
        <v>3358</v>
      </c>
      <c r="B950" s="47" t="s">
        <v>3354</v>
      </c>
      <c r="C950" s="47" t="s">
        <v>3359</v>
      </c>
      <c r="D950" s="47"/>
      <c r="E950" s="64">
        <v>30111.919999999998</v>
      </c>
      <c r="F950" s="64">
        <v>22</v>
      </c>
    </row>
    <row r="951" spans="1:6" x14ac:dyDescent="0.25">
      <c r="A951" s="47" t="s">
        <v>3360</v>
      </c>
      <c r="B951" s="47" t="s">
        <v>3361</v>
      </c>
      <c r="C951" s="47" t="s">
        <v>3362</v>
      </c>
      <c r="D951" s="47" t="s">
        <v>3363</v>
      </c>
      <c r="E951" s="64">
        <v>37769.895000000004</v>
      </c>
      <c r="F951" s="64">
        <v>67</v>
      </c>
    </row>
    <row r="952" spans="1:6" x14ac:dyDescent="0.25">
      <c r="A952" s="47" t="s">
        <v>3364</v>
      </c>
      <c r="B952" s="47" t="s">
        <v>1558</v>
      </c>
      <c r="C952" s="47" t="s">
        <v>3365</v>
      </c>
      <c r="D952" s="47" t="s">
        <v>1560</v>
      </c>
      <c r="E952" s="64">
        <v>64974.729999999996</v>
      </c>
      <c r="F952" s="64">
        <v>0.18229999999999999</v>
      </c>
    </row>
    <row r="953" spans="1:6" x14ac:dyDescent="0.25">
      <c r="A953" s="47" t="s">
        <v>3366</v>
      </c>
      <c r="B953" s="47" t="s">
        <v>3367</v>
      </c>
      <c r="C953" s="47" t="s">
        <v>3368</v>
      </c>
      <c r="D953" s="47"/>
      <c r="E953" s="64">
        <v>221472.41000000003</v>
      </c>
      <c r="F953" s="64">
        <v>22</v>
      </c>
    </row>
    <row r="954" spans="1:6" x14ac:dyDescent="0.25">
      <c r="A954" s="47" t="s">
        <v>3369</v>
      </c>
      <c r="B954" s="47" t="s">
        <v>3370</v>
      </c>
      <c r="C954" s="47" t="s">
        <v>3371</v>
      </c>
      <c r="D954" s="47"/>
      <c r="E954" s="64">
        <v>33801.954999999994</v>
      </c>
      <c r="F954" s="64">
        <v>22</v>
      </c>
    </row>
    <row r="955" spans="1:6" x14ac:dyDescent="0.25">
      <c r="A955" s="47" t="s">
        <v>3372</v>
      </c>
      <c r="B955" s="47" t="s">
        <v>3373</v>
      </c>
      <c r="C955" s="47" t="s">
        <v>3374</v>
      </c>
      <c r="D955" s="47" t="s">
        <v>2303</v>
      </c>
      <c r="E955" s="64">
        <v>89335.010000000009</v>
      </c>
      <c r="F955" s="64">
        <v>95.19583333333334</v>
      </c>
    </row>
    <row r="956" spans="1:6" x14ac:dyDescent="0.25">
      <c r="A956" s="47" t="s">
        <v>3375</v>
      </c>
      <c r="B956" s="47" t="s">
        <v>3376</v>
      </c>
      <c r="C956" s="47" t="s">
        <v>3377</v>
      </c>
      <c r="D956" s="47"/>
      <c r="E956" s="64">
        <v>47816.090000000004</v>
      </c>
      <c r="F956" s="64">
        <v>22</v>
      </c>
    </row>
    <row r="957" spans="1:6" x14ac:dyDescent="0.25">
      <c r="A957" s="47" t="s">
        <v>3378</v>
      </c>
      <c r="B957" s="47" t="s">
        <v>3379</v>
      </c>
      <c r="C957" s="47" t="s">
        <v>3380</v>
      </c>
      <c r="D957" s="47"/>
      <c r="E957" s="64">
        <v>44192.630000000005</v>
      </c>
      <c r="F957" s="64">
        <v>22</v>
      </c>
    </row>
    <row r="958" spans="1:6" x14ac:dyDescent="0.25">
      <c r="A958" s="47" t="s">
        <v>3381</v>
      </c>
      <c r="B958" s="47" t="s">
        <v>3382</v>
      </c>
      <c r="C958" s="47" t="s">
        <v>3383</v>
      </c>
      <c r="D958" s="47" t="s">
        <v>3363</v>
      </c>
      <c r="E958" s="64">
        <v>37769.895000000004</v>
      </c>
      <c r="F958" s="64">
        <v>67</v>
      </c>
    </row>
    <row r="959" spans="1:6" x14ac:dyDescent="0.25">
      <c r="A959" s="47" t="s">
        <v>3384</v>
      </c>
      <c r="B959" s="47" t="s">
        <v>3385</v>
      </c>
      <c r="C959" s="47" t="s">
        <v>3386</v>
      </c>
      <c r="D959" s="47" t="s">
        <v>3363</v>
      </c>
      <c r="E959" s="64">
        <v>37769.895000000004</v>
      </c>
      <c r="F959" s="64">
        <v>37.549999999999997</v>
      </c>
    </row>
    <row r="960" spans="1:6" x14ac:dyDescent="0.25">
      <c r="A960" s="47" t="s">
        <v>3387</v>
      </c>
      <c r="B960" s="47" t="s">
        <v>3388</v>
      </c>
      <c r="C960" s="47" t="s">
        <v>3389</v>
      </c>
      <c r="D960" s="47" t="s">
        <v>3390</v>
      </c>
      <c r="E960" s="64">
        <v>26102.649999999998</v>
      </c>
      <c r="F960" s="64">
        <v>62.4</v>
      </c>
    </row>
    <row r="961" spans="1:6" x14ac:dyDescent="0.25">
      <c r="A961" s="47" t="s">
        <v>3391</v>
      </c>
      <c r="B961" s="47" t="s">
        <v>3392</v>
      </c>
      <c r="C961" s="47" t="s">
        <v>3393</v>
      </c>
      <c r="D961" s="47"/>
      <c r="E961" s="64">
        <v>39959.482499999998</v>
      </c>
      <c r="F961" s="64">
        <v>100000000</v>
      </c>
    </row>
    <row r="962" spans="1:6" x14ac:dyDescent="0.25">
      <c r="A962" s="47" t="s">
        <v>3394</v>
      </c>
      <c r="B962" s="47" t="s">
        <v>3395</v>
      </c>
      <c r="C962" s="47" t="s">
        <v>3396</v>
      </c>
      <c r="D962" s="47"/>
      <c r="E962" s="64">
        <v>39959.482499999998</v>
      </c>
      <c r="F962" s="64">
        <v>100000000</v>
      </c>
    </row>
    <row r="963" spans="1:6" x14ac:dyDescent="0.25">
      <c r="A963" s="47" t="s">
        <v>3397</v>
      </c>
      <c r="B963" s="47" t="s">
        <v>3398</v>
      </c>
      <c r="C963" s="47" t="s">
        <v>3399</v>
      </c>
      <c r="D963" s="47"/>
      <c r="E963" s="64">
        <v>39959.482499999998</v>
      </c>
      <c r="F963" s="64">
        <v>100000000</v>
      </c>
    </row>
    <row r="964" spans="1:6" x14ac:dyDescent="0.25">
      <c r="A964" s="47" t="s">
        <v>3400</v>
      </c>
      <c r="B964" s="47" t="s">
        <v>3401</v>
      </c>
      <c r="C964" s="47" t="s">
        <v>3402</v>
      </c>
      <c r="D964" s="47"/>
      <c r="E964" s="64">
        <v>39959.482499999998</v>
      </c>
      <c r="F964" s="64">
        <v>100000000</v>
      </c>
    </row>
    <row r="965" spans="1:6" x14ac:dyDescent="0.25">
      <c r="A965" s="47" t="s">
        <v>3403</v>
      </c>
      <c r="B965" s="47" t="s">
        <v>3404</v>
      </c>
      <c r="C965" s="47" t="s">
        <v>3405</v>
      </c>
      <c r="D965" s="47"/>
      <c r="E965" s="64">
        <v>39959.482499999998</v>
      </c>
      <c r="F965" s="64">
        <v>100000000</v>
      </c>
    </row>
    <row r="966" spans="1:6" x14ac:dyDescent="0.25">
      <c r="A966" s="47" t="s">
        <v>3406</v>
      </c>
      <c r="B966" s="47" t="s">
        <v>3407</v>
      </c>
      <c r="C966" s="47" t="s">
        <v>3408</v>
      </c>
      <c r="D966" s="47" t="s">
        <v>1674</v>
      </c>
      <c r="E966" s="64">
        <v>41969.405000000006</v>
      </c>
      <c r="F966" s="64">
        <v>3.5</v>
      </c>
    </row>
    <row r="967" spans="1:6" x14ac:dyDescent="0.25">
      <c r="A967" s="47" t="s">
        <v>3409</v>
      </c>
      <c r="B967" s="47" t="s">
        <v>3410</v>
      </c>
      <c r="C967" s="47" t="s">
        <v>3411</v>
      </c>
      <c r="D967" s="47"/>
      <c r="E967" s="64">
        <v>14012.414999999999</v>
      </c>
      <c r="F967" s="64">
        <v>22</v>
      </c>
    </row>
    <row r="968" spans="1:6" x14ac:dyDescent="0.25">
      <c r="A968" s="47" t="s">
        <v>3412</v>
      </c>
      <c r="B968" s="47" t="s">
        <v>3413</v>
      </c>
      <c r="C968" s="47" t="s">
        <v>3414</v>
      </c>
      <c r="D968" s="47" t="s">
        <v>521</v>
      </c>
      <c r="E968" s="64">
        <v>130894.995</v>
      </c>
      <c r="F968" s="64">
        <v>8.1150000000000002</v>
      </c>
    </row>
    <row r="969" spans="1:6" x14ac:dyDescent="0.25">
      <c r="A969" s="47" t="s">
        <v>3415</v>
      </c>
      <c r="B969" s="47" t="s">
        <v>3416</v>
      </c>
      <c r="C969" s="47" t="s">
        <v>3417</v>
      </c>
      <c r="D969" s="47" t="s">
        <v>521</v>
      </c>
      <c r="E969" s="64">
        <v>130894.995</v>
      </c>
      <c r="F969" s="64">
        <v>8.1150000000000002</v>
      </c>
    </row>
    <row r="970" spans="1:6" x14ac:dyDescent="0.25">
      <c r="A970" s="47" t="s">
        <v>3418</v>
      </c>
      <c r="B970" s="47" t="s">
        <v>3419</v>
      </c>
      <c r="C970" s="47" t="s">
        <v>3420</v>
      </c>
      <c r="D970" s="47" t="s">
        <v>3421</v>
      </c>
      <c r="E970" s="64">
        <v>31965.329999999998</v>
      </c>
      <c r="F970" s="64">
        <v>39.261749999999999</v>
      </c>
    </row>
    <row r="971" spans="1:6" x14ac:dyDescent="0.25">
      <c r="A971" s="47" t="s">
        <v>3422</v>
      </c>
      <c r="B971" s="47" t="s">
        <v>3423</v>
      </c>
      <c r="C971" s="47" t="s">
        <v>3424</v>
      </c>
      <c r="D971" s="47" t="s">
        <v>3421</v>
      </c>
      <c r="E971" s="64">
        <v>31965.329999999998</v>
      </c>
      <c r="F971" s="64">
        <v>3.7</v>
      </c>
    </row>
    <row r="972" spans="1:6" x14ac:dyDescent="0.25">
      <c r="A972" s="47" t="s">
        <v>3425</v>
      </c>
      <c r="B972" s="47" t="s">
        <v>3426</v>
      </c>
      <c r="C972" s="47" t="s">
        <v>3427</v>
      </c>
      <c r="D972" s="47" t="s">
        <v>3421</v>
      </c>
      <c r="E972" s="64">
        <v>31965.329999999998</v>
      </c>
      <c r="F972" s="64">
        <v>6.2</v>
      </c>
    </row>
    <row r="973" spans="1:6" x14ac:dyDescent="0.25">
      <c r="A973" s="47" t="s">
        <v>3428</v>
      </c>
      <c r="B973" s="47" t="s">
        <v>3429</v>
      </c>
      <c r="C973" s="47" t="s">
        <v>3430</v>
      </c>
      <c r="D973" s="47" t="s">
        <v>3431</v>
      </c>
      <c r="E973" s="64">
        <v>56637.590000000004</v>
      </c>
      <c r="F973" s="64">
        <v>132</v>
      </c>
    </row>
    <row r="974" spans="1:6" x14ac:dyDescent="0.25">
      <c r="A974" s="47" t="s">
        <v>3432</v>
      </c>
      <c r="B974" s="47" t="s">
        <v>3433</v>
      </c>
      <c r="C974" s="47" t="s">
        <v>3434</v>
      </c>
      <c r="D974" s="47" t="s">
        <v>3431</v>
      </c>
      <c r="E974" s="64">
        <v>75710.28</v>
      </c>
      <c r="F974" s="64">
        <v>132</v>
      </c>
    </row>
    <row r="975" spans="1:6" x14ac:dyDescent="0.25">
      <c r="A975" s="47" t="s">
        <v>3435</v>
      </c>
      <c r="B975" s="47" t="s">
        <v>3436</v>
      </c>
      <c r="C975" s="47" t="s">
        <v>3437</v>
      </c>
      <c r="D975" s="47" t="s">
        <v>2173</v>
      </c>
      <c r="E975" s="64">
        <v>61550.724999999984</v>
      </c>
      <c r="F975" s="64">
        <v>2.9000000000000001E-2</v>
      </c>
    </row>
    <row r="976" spans="1:6" x14ac:dyDescent="0.25">
      <c r="A976" s="47" t="s">
        <v>3438</v>
      </c>
      <c r="B976" s="47" t="s">
        <v>3439</v>
      </c>
      <c r="C976" s="47" t="s">
        <v>3440</v>
      </c>
      <c r="D976" s="47" t="s">
        <v>3441</v>
      </c>
      <c r="E976" s="64">
        <v>79340.11</v>
      </c>
      <c r="F976" s="64">
        <v>2.9850000000000003</v>
      </c>
    </row>
    <row r="977" spans="1:6" x14ac:dyDescent="0.25">
      <c r="A977" s="47" t="s">
        <v>3442</v>
      </c>
      <c r="B977" s="47" t="s">
        <v>3443</v>
      </c>
      <c r="C977" s="47" t="s">
        <v>3444</v>
      </c>
      <c r="D977" s="47" t="s">
        <v>2364</v>
      </c>
      <c r="E977" s="64">
        <v>132268.33000000002</v>
      </c>
      <c r="F977" s="64">
        <v>95.19583333333334</v>
      </c>
    </row>
    <row r="978" spans="1:6" x14ac:dyDescent="0.25">
      <c r="A978" s="47" t="s">
        <v>3445</v>
      </c>
      <c r="B978" s="47" t="s">
        <v>3446</v>
      </c>
      <c r="C978" s="47" t="s">
        <v>3447</v>
      </c>
      <c r="D978" s="47"/>
      <c r="E978" s="64">
        <v>39959.482499999998</v>
      </c>
      <c r="F978" s="64">
        <v>100000000</v>
      </c>
    </row>
    <row r="979" spans="1:6" x14ac:dyDescent="0.25">
      <c r="A979" s="47" t="s">
        <v>3448</v>
      </c>
      <c r="B979" s="47" t="s">
        <v>3449</v>
      </c>
      <c r="C979" s="47" t="s">
        <v>3450</v>
      </c>
      <c r="D979" s="47"/>
      <c r="E979" s="64">
        <v>39959.482499999998</v>
      </c>
      <c r="F979" s="64">
        <v>100000000</v>
      </c>
    </row>
    <row r="980" spans="1:6" x14ac:dyDescent="0.25">
      <c r="A980" s="47" t="s">
        <v>3451</v>
      </c>
      <c r="B980" s="47" t="s">
        <v>3452</v>
      </c>
      <c r="C980" s="47" t="s">
        <v>3453</v>
      </c>
      <c r="D980" s="47"/>
      <c r="E980" s="64">
        <v>48540.000000000007</v>
      </c>
      <c r="F980" s="64">
        <v>100000000</v>
      </c>
    </row>
    <row r="981" spans="1:6" x14ac:dyDescent="0.25">
      <c r="A981" s="47" t="s">
        <v>3454</v>
      </c>
      <c r="B981" s="47" t="s">
        <v>3455</v>
      </c>
      <c r="C981" s="47" t="s">
        <v>3456</v>
      </c>
      <c r="D981" s="47"/>
      <c r="E981" s="64">
        <v>48540.000000000007</v>
      </c>
      <c r="F981" s="64">
        <v>100000000</v>
      </c>
    </row>
    <row r="982" spans="1:6" x14ac:dyDescent="0.25">
      <c r="A982" s="47" t="s">
        <v>3457</v>
      </c>
      <c r="B982" s="47" t="s">
        <v>3458</v>
      </c>
      <c r="C982" s="47" t="s">
        <v>3459</v>
      </c>
      <c r="D982" s="47"/>
      <c r="E982" s="64">
        <v>48540.000000000007</v>
      </c>
      <c r="F982" s="64">
        <v>100000000</v>
      </c>
    </row>
    <row r="983" spans="1:6" x14ac:dyDescent="0.25">
      <c r="A983" s="47" t="s">
        <v>3460</v>
      </c>
      <c r="B983" s="47" t="s">
        <v>3461</v>
      </c>
      <c r="C983" s="47" t="s">
        <v>3462</v>
      </c>
      <c r="D983" s="47" t="s">
        <v>3463</v>
      </c>
      <c r="E983" s="64">
        <v>70829.960000000006</v>
      </c>
      <c r="F983" s="64">
        <v>7.63</v>
      </c>
    </row>
    <row r="984" spans="1:6" x14ac:dyDescent="0.25">
      <c r="A984" s="47" t="s">
        <v>3464</v>
      </c>
      <c r="B984" s="47" t="s">
        <v>3465</v>
      </c>
      <c r="C984" s="47" t="s">
        <v>3466</v>
      </c>
      <c r="D984" s="47" t="s">
        <v>3463</v>
      </c>
      <c r="E984" s="64">
        <v>70829.960000000006</v>
      </c>
      <c r="F984" s="64">
        <v>7.63</v>
      </c>
    </row>
    <row r="985" spans="1:6" x14ac:dyDescent="0.25">
      <c r="A985" s="47" t="s">
        <v>3467</v>
      </c>
      <c r="B985" s="47" t="s">
        <v>3468</v>
      </c>
      <c r="C985" s="47" t="s">
        <v>3469</v>
      </c>
      <c r="D985" s="47" t="s">
        <v>3463</v>
      </c>
      <c r="E985" s="64">
        <v>70829.960000000006</v>
      </c>
      <c r="F985" s="64">
        <v>1.97</v>
      </c>
    </row>
    <row r="986" spans="1:6" x14ac:dyDescent="0.25">
      <c r="A986" s="47" t="s">
        <v>3470</v>
      </c>
      <c r="B986" s="47" t="s">
        <v>3471</v>
      </c>
      <c r="C986" s="47" t="s">
        <v>3472</v>
      </c>
      <c r="D986" s="47" t="s">
        <v>3473</v>
      </c>
      <c r="E986" s="64">
        <v>40900.75</v>
      </c>
      <c r="F986" s="64">
        <v>25.024999999999999</v>
      </c>
    </row>
    <row r="987" spans="1:6" x14ac:dyDescent="0.25">
      <c r="A987" s="47" t="s">
        <v>3474</v>
      </c>
      <c r="B987" s="47" t="s">
        <v>3475</v>
      </c>
      <c r="C987" s="47" t="s">
        <v>3476</v>
      </c>
      <c r="D987" s="47" t="s">
        <v>3477</v>
      </c>
      <c r="E987" s="64">
        <v>28542.125</v>
      </c>
      <c r="F987" s="64">
        <v>1.2E-2</v>
      </c>
    </row>
    <row r="988" spans="1:6" x14ac:dyDescent="0.25">
      <c r="A988" s="47" t="s">
        <v>3478</v>
      </c>
      <c r="B988" s="47" t="s">
        <v>3479</v>
      </c>
      <c r="C988" s="47" t="s">
        <v>3480</v>
      </c>
      <c r="D988" s="47" t="s">
        <v>3481</v>
      </c>
      <c r="E988" s="64">
        <v>55153.29</v>
      </c>
      <c r="F988" s="64">
        <v>14.804833333333335</v>
      </c>
    </row>
    <row r="989" spans="1:6" x14ac:dyDescent="0.25">
      <c r="A989" s="47" t="s">
        <v>3482</v>
      </c>
      <c r="B989" s="47" t="s">
        <v>3483</v>
      </c>
      <c r="C989" s="47" t="s">
        <v>3484</v>
      </c>
      <c r="D989" s="47" t="s">
        <v>3477</v>
      </c>
      <c r="E989" s="64">
        <v>26725.034</v>
      </c>
      <c r="F989" s="64">
        <v>2.8170000000000002</v>
      </c>
    </row>
    <row r="990" spans="1:6" x14ac:dyDescent="0.25">
      <c r="A990" s="47" t="s">
        <v>3485</v>
      </c>
      <c r="B990" s="47" t="s">
        <v>3486</v>
      </c>
      <c r="C990" s="47" t="s">
        <v>3487</v>
      </c>
      <c r="D990" s="47" t="s">
        <v>408</v>
      </c>
      <c r="E990" s="64">
        <v>18272.87</v>
      </c>
      <c r="F990" s="64">
        <v>151</v>
      </c>
    </row>
    <row r="991" spans="1:6" x14ac:dyDescent="0.25">
      <c r="A991" s="47" t="s">
        <v>3488</v>
      </c>
      <c r="B991" s="47" t="s">
        <v>3489</v>
      </c>
      <c r="C991" s="47" t="s">
        <v>3490</v>
      </c>
      <c r="D991" s="47" t="s">
        <v>2173</v>
      </c>
      <c r="E991" s="64">
        <v>61550.724999999984</v>
      </c>
      <c r="F991" s="64">
        <v>2.9000000000000001E-2</v>
      </c>
    </row>
    <row r="992" spans="1:6" x14ac:dyDescent="0.25">
      <c r="A992" s="47" t="s">
        <v>3491</v>
      </c>
      <c r="B992" s="47" t="s">
        <v>3492</v>
      </c>
      <c r="C992" s="47" t="s">
        <v>3493</v>
      </c>
      <c r="D992" s="47" t="s">
        <v>3494</v>
      </c>
      <c r="E992" s="64">
        <v>46040.200000000004</v>
      </c>
      <c r="F992" s="64">
        <v>59.367588235294122</v>
      </c>
    </row>
    <row r="993" spans="1:6" x14ac:dyDescent="0.25">
      <c r="A993" s="47" t="s">
        <v>3495</v>
      </c>
      <c r="B993" s="47" t="s">
        <v>3496</v>
      </c>
      <c r="C993" s="47" t="s">
        <v>3497</v>
      </c>
      <c r="D993" s="47"/>
      <c r="E993" s="64">
        <v>172988.33999999997</v>
      </c>
      <c r="F993" s="64">
        <v>22</v>
      </c>
    </row>
    <row r="994" spans="1:6" x14ac:dyDescent="0.25">
      <c r="A994" s="47" t="s">
        <v>3498</v>
      </c>
      <c r="B994" s="47" t="s">
        <v>3499</v>
      </c>
      <c r="C994" s="47" t="s">
        <v>3500</v>
      </c>
      <c r="D994" s="47"/>
      <c r="E994" s="64">
        <v>206470.67</v>
      </c>
      <c r="F994" s="64">
        <v>22</v>
      </c>
    </row>
    <row r="995" spans="1:6" x14ac:dyDescent="0.25">
      <c r="A995" s="47" t="s">
        <v>3501</v>
      </c>
      <c r="B995" s="47" t="s">
        <v>3502</v>
      </c>
      <c r="C995" s="47" t="s">
        <v>3503</v>
      </c>
      <c r="D995" s="47"/>
      <c r="E995" s="64">
        <v>45333.7</v>
      </c>
      <c r="F995" s="64">
        <v>22</v>
      </c>
    </row>
    <row r="996" spans="1:6" x14ac:dyDescent="0.25">
      <c r="A996" s="47" t="s">
        <v>3504</v>
      </c>
      <c r="B996" s="47" t="s">
        <v>3505</v>
      </c>
      <c r="C996" s="47" t="s">
        <v>3506</v>
      </c>
      <c r="D996" s="47"/>
      <c r="E996" s="64">
        <v>37318.879999999997</v>
      </c>
      <c r="F996" s="64">
        <v>22</v>
      </c>
    </row>
    <row r="997" spans="1:6" x14ac:dyDescent="0.25">
      <c r="A997" s="47" t="s">
        <v>3507</v>
      </c>
      <c r="B997" s="47" t="s">
        <v>3508</v>
      </c>
      <c r="C997" s="47" t="s">
        <v>3509</v>
      </c>
      <c r="D997" s="47" t="s">
        <v>1217</v>
      </c>
      <c r="E997" s="64">
        <v>81606.634999999995</v>
      </c>
      <c r="F997" s="64">
        <v>73</v>
      </c>
    </row>
    <row r="998" spans="1:6" x14ac:dyDescent="0.25">
      <c r="A998" s="47" t="s">
        <v>3510</v>
      </c>
      <c r="B998" s="47" t="s">
        <v>3511</v>
      </c>
      <c r="C998" s="47" t="s">
        <v>3512</v>
      </c>
      <c r="D998" s="47"/>
      <c r="E998" s="64">
        <v>48540.000000000007</v>
      </c>
      <c r="F998" s="64">
        <v>100000000</v>
      </c>
    </row>
    <row r="999" spans="1:6" x14ac:dyDescent="0.25">
      <c r="A999" s="47" t="s">
        <v>3513</v>
      </c>
      <c r="B999" s="47" t="s">
        <v>3514</v>
      </c>
      <c r="C999" s="47" t="s">
        <v>3515</v>
      </c>
      <c r="D999" s="47"/>
      <c r="E999" s="64">
        <v>48540.000000000007</v>
      </c>
      <c r="F999" s="64">
        <v>100000000</v>
      </c>
    </row>
    <row r="1000" spans="1:6" x14ac:dyDescent="0.25">
      <c r="A1000" s="47" t="s">
        <v>3516</v>
      </c>
      <c r="B1000" s="47" t="s">
        <v>3517</v>
      </c>
      <c r="C1000" s="47" t="s">
        <v>3518</v>
      </c>
      <c r="D1000" s="47"/>
      <c r="E1000" s="64">
        <v>39959.482499999998</v>
      </c>
      <c r="F1000" s="64">
        <v>100000000</v>
      </c>
    </row>
    <row r="1001" spans="1:6" x14ac:dyDescent="0.25">
      <c r="A1001" s="47" t="s">
        <v>3519</v>
      </c>
      <c r="B1001" s="47" t="s">
        <v>3520</v>
      </c>
      <c r="C1001" s="47" t="s">
        <v>3521</v>
      </c>
      <c r="D1001" s="47" t="s">
        <v>3522</v>
      </c>
      <c r="E1001" s="64">
        <v>91366.840000000011</v>
      </c>
      <c r="F1001" s="64">
        <v>95.19583333333334</v>
      </c>
    </row>
    <row r="1002" spans="1:6" x14ac:dyDescent="0.25">
      <c r="A1002" s="47" t="s">
        <v>3523</v>
      </c>
      <c r="B1002" s="47" t="s">
        <v>3524</v>
      </c>
      <c r="C1002" s="47" t="s">
        <v>3525</v>
      </c>
      <c r="D1002" s="47" t="s">
        <v>2272</v>
      </c>
      <c r="E1002" s="64">
        <v>124433.76666666669</v>
      </c>
      <c r="F1002" s="64">
        <v>95.19583333333334</v>
      </c>
    </row>
    <row r="1003" spans="1:6" x14ac:dyDescent="0.25">
      <c r="A1003" s="47" t="s">
        <v>3526</v>
      </c>
      <c r="B1003" s="47" t="s">
        <v>3527</v>
      </c>
      <c r="C1003" s="47" t="s">
        <v>3528</v>
      </c>
      <c r="D1003" s="47"/>
      <c r="E1003" s="64">
        <v>39959.482499999998</v>
      </c>
      <c r="F1003" s="64">
        <v>100000000</v>
      </c>
    </row>
    <row r="1004" spans="1:6" x14ac:dyDescent="0.25">
      <c r="A1004" s="47" t="s">
        <v>3529</v>
      </c>
      <c r="B1004" s="47" t="s">
        <v>3530</v>
      </c>
      <c r="C1004" s="47" t="s">
        <v>3531</v>
      </c>
      <c r="D1004" s="47" t="s">
        <v>3532</v>
      </c>
      <c r="E1004" s="64">
        <v>140128.86500000002</v>
      </c>
      <c r="F1004" s="64">
        <v>95.19583333333334</v>
      </c>
    </row>
    <row r="1005" spans="1:6" x14ac:dyDescent="0.25">
      <c r="A1005" s="47" t="s">
        <v>3533</v>
      </c>
      <c r="B1005" s="47" t="s">
        <v>3534</v>
      </c>
      <c r="C1005" s="47" t="s">
        <v>3535</v>
      </c>
      <c r="D1005" s="47"/>
      <c r="E1005" s="64">
        <v>39959.482499999998</v>
      </c>
      <c r="F1005" s="64">
        <v>100000000</v>
      </c>
    </row>
    <row r="1006" spans="1:6" x14ac:dyDescent="0.25">
      <c r="A1006" s="47" t="s">
        <v>3536</v>
      </c>
      <c r="B1006" s="47" t="s">
        <v>3537</v>
      </c>
      <c r="C1006" s="47" t="s">
        <v>3538</v>
      </c>
      <c r="D1006" s="47" t="s">
        <v>3539</v>
      </c>
      <c r="E1006" s="64">
        <v>20729.05</v>
      </c>
      <c r="F1006" s="64">
        <v>23.6</v>
      </c>
    </row>
    <row r="1007" spans="1:6" x14ac:dyDescent="0.25">
      <c r="A1007" s="47" t="s">
        <v>3540</v>
      </c>
      <c r="B1007" s="47" t="s">
        <v>3541</v>
      </c>
      <c r="C1007" s="47" t="s">
        <v>3542</v>
      </c>
      <c r="D1007" s="47" t="s">
        <v>3543</v>
      </c>
      <c r="E1007" s="64">
        <v>153142.17000000001</v>
      </c>
      <c r="F1007" s="64">
        <v>95.19583333333334</v>
      </c>
    </row>
    <row r="1008" spans="1:6" x14ac:dyDescent="0.25">
      <c r="A1008" s="47" t="s">
        <v>3544</v>
      </c>
      <c r="B1008" s="47" t="s">
        <v>3545</v>
      </c>
      <c r="C1008" s="47" t="s">
        <v>3546</v>
      </c>
      <c r="D1008" s="47"/>
      <c r="E1008" s="64">
        <v>173139.45499999999</v>
      </c>
      <c r="F1008" s="64">
        <v>22</v>
      </c>
    </row>
    <row r="1009" spans="1:6" x14ac:dyDescent="0.25">
      <c r="A1009" s="47" t="s">
        <v>3547</v>
      </c>
      <c r="B1009" s="47" t="s">
        <v>3548</v>
      </c>
      <c r="C1009" s="47" t="s">
        <v>3549</v>
      </c>
      <c r="D1009" s="47"/>
      <c r="E1009" s="64">
        <v>59042.635000000009</v>
      </c>
      <c r="F1009" s="64">
        <v>22</v>
      </c>
    </row>
    <row r="1010" spans="1:6" x14ac:dyDescent="0.25">
      <c r="A1010" s="47" t="s">
        <v>3550</v>
      </c>
      <c r="B1010" s="47" t="s">
        <v>3551</v>
      </c>
      <c r="C1010" s="47" t="s">
        <v>3552</v>
      </c>
      <c r="D1010" s="47"/>
      <c r="E1010" s="64">
        <v>45435.139999999992</v>
      </c>
      <c r="F1010" s="64">
        <v>22</v>
      </c>
    </row>
    <row r="1011" spans="1:6" x14ac:dyDescent="0.25">
      <c r="A1011" s="47" t="s">
        <v>3553</v>
      </c>
      <c r="B1011" s="47" t="s">
        <v>3554</v>
      </c>
      <c r="C1011" s="47" t="s">
        <v>3555</v>
      </c>
      <c r="D1011" s="47"/>
      <c r="E1011" s="64">
        <v>46841.784999999996</v>
      </c>
      <c r="F1011" s="64">
        <v>22</v>
      </c>
    </row>
    <row r="1012" spans="1:6" x14ac:dyDescent="0.25">
      <c r="A1012" s="47" t="s">
        <v>3556</v>
      </c>
      <c r="B1012" s="47" t="s">
        <v>3557</v>
      </c>
      <c r="C1012" s="47" t="s">
        <v>3558</v>
      </c>
      <c r="D1012" s="47" t="s">
        <v>3559</v>
      </c>
      <c r="E1012" s="64">
        <v>173557.99000000002</v>
      </c>
      <c r="F1012" s="64">
        <v>95.19583333333334</v>
      </c>
    </row>
    <row r="1013" spans="1:6" x14ac:dyDescent="0.25">
      <c r="A1013" s="47" t="s">
        <v>3560</v>
      </c>
      <c r="B1013" s="47" t="s">
        <v>3561</v>
      </c>
      <c r="C1013" s="47" t="s">
        <v>3562</v>
      </c>
      <c r="D1013" s="47" t="s">
        <v>3559</v>
      </c>
      <c r="E1013" s="64">
        <v>173557.99000000002</v>
      </c>
      <c r="F1013" s="64">
        <v>95.19583333333334</v>
      </c>
    </row>
    <row r="1014" spans="1:6" x14ac:dyDescent="0.25">
      <c r="A1014" s="47" t="s">
        <v>3563</v>
      </c>
      <c r="B1014" s="47" t="s">
        <v>3564</v>
      </c>
      <c r="C1014" s="47" t="s">
        <v>3565</v>
      </c>
      <c r="D1014" s="47" t="s">
        <v>3559</v>
      </c>
      <c r="E1014" s="64">
        <v>173557.99000000002</v>
      </c>
      <c r="F1014" s="64">
        <v>95.19583333333334</v>
      </c>
    </row>
    <row r="1015" spans="1:6" x14ac:dyDescent="0.25">
      <c r="A1015" s="47" t="s">
        <v>3566</v>
      </c>
      <c r="B1015" s="47" t="s">
        <v>3567</v>
      </c>
      <c r="C1015" s="47" t="s">
        <v>3568</v>
      </c>
      <c r="D1015" s="47" t="s">
        <v>3559</v>
      </c>
      <c r="E1015" s="64">
        <v>173557.99000000002</v>
      </c>
      <c r="F1015" s="64">
        <v>95.19583333333334</v>
      </c>
    </row>
    <row r="1016" spans="1:6" x14ac:dyDescent="0.25">
      <c r="A1016" s="47" t="s">
        <v>3569</v>
      </c>
      <c r="B1016" s="47" t="s">
        <v>3570</v>
      </c>
      <c r="C1016" s="47" t="s">
        <v>3571</v>
      </c>
      <c r="D1016" s="47" t="s">
        <v>3559</v>
      </c>
      <c r="E1016" s="64">
        <v>173557.99000000002</v>
      </c>
      <c r="F1016" s="64">
        <v>95.19583333333334</v>
      </c>
    </row>
    <row r="1017" spans="1:6" x14ac:dyDescent="0.25">
      <c r="A1017" s="47" t="s">
        <v>3572</v>
      </c>
      <c r="B1017" s="47" t="s">
        <v>3573</v>
      </c>
      <c r="C1017" s="47" t="s">
        <v>3574</v>
      </c>
      <c r="D1017" s="47"/>
      <c r="E1017" s="64">
        <v>50605.240000000005</v>
      </c>
      <c r="F1017" s="64">
        <v>22</v>
      </c>
    </row>
    <row r="1018" spans="1:6" x14ac:dyDescent="0.25">
      <c r="A1018" s="47" t="s">
        <v>3575</v>
      </c>
      <c r="B1018" s="47" t="s">
        <v>3576</v>
      </c>
      <c r="C1018" s="47" t="s">
        <v>3577</v>
      </c>
      <c r="D1018" s="47" t="s">
        <v>3578</v>
      </c>
      <c r="E1018" s="64">
        <v>142309.13000000003</v>
      </c>
      <c r="F1018" s="64">
        <v>3204</v>
      </c>
    </row>
    <row r="1019" spans="1:6" x14ac:dyDescent="0.25">
      <c r="A1019" s="47" t="s">
        <v>3579</v>
      </c>
      <c r="B1019" s="47" t="s">
        <v>3580</v>
      </c>
      <c r="C1019" s="47" t="s">
        <v>3581</v>
      </c>
      <c r="D1019" s="47"/>
      <c r="E1019" s="64">
        <v>49568.47</v>
      </c>
      <c r="F1019" s="64">
        <v>22</v>
      </c>
    </row>
    <row r="1020" spans="1:6" x14ac:dyDescent="0.25">
      <c r="A1020" s="47" t="s">
        <v>3582</v>
      </c>
      <c r="B1020" s="47" t="s">
        <v>3583</v>
      </c>
      <c r="C1020" s="47" t="s">
        <v>3584</v>
      </c>
      <c r="D1020" s="47" t="s">
        <v>2303</v>
      </c>
      <c r="E1020" s="64">
        <v>90437.529999999984</v>
      </c>
      <c r="F1020" s="64">
        <v>95.19583333333334</v>
      </c>
    </row>
    <row r="1021" spans="1:6" x14ac:dyDescent="0.25">
      <c r="A1021" s="47" t="s">
        <v>3585</v>
      </c>
      <c r="B1021" s="47" t="s">
        <v>3586</v>
      </c>
      <c r="C1021" s="47" t="s">
        <v>3587</v>
      </c>
      <c r="D1021" s="47" t="s">
        <v>3588</v>
      </c>
      <c r="E1021" s="64">
        <v>53175.56</v>
      </c>
      <c r="F1021" s="64">
        <v>5.94</v>
      </c>
    </row>
    <row r="1022" spans="1:6" x14ac:dyDescent="0.25">
      <c r="A1022" s="47" t="s">
        <v>3589</v>
      </c>
      <c r="B1022" s="47" t="s">
        <v>3590</v>
      </c>
      <c r="C1022" s="47" t="s">
        <v>3591</v>
      </c>
      <c r="D1022" s="47"/>
      <c r="E1022" s="64">
        <v>37318.879999999997</v>
      </c>
      <c r="F1022" s="64">
        <v>22</v>
      </c>
    </row>
    <row r="1023" spans="1:6" x14ac:dyDescent="0.25">
      <c r="A1023" s="47" t="s">
        <v>3592</v>
      </c>
      <c r="B1023" s="47" t="s">
        <v>3593</v>
      </c>
      <c r="C1023" s="47" t="s">
        <v>3594</v>
      </c>
      <c r="D1023" s="47"/>
      <c r="E1023" s="64">
        <v>43476.590000000004</v>
      </c>
      <c r="F1023" s="64">
        <v>22</v>
      </c>
    </row>
    <row r="1024" spans="1:6" x14ac:dyDescent="0.25">
      <c r="A1024" s="47" t="s">
        <v>3595</v>
      </c>
      <c r="B1024" s="47" t="s">
        <v>3596</v>
      </c>
      <c r="C1024" s="47" t="s">
        <v>3597</v>
      </c>
      <c r="D1024" s="47"/>
      <c r="E1024" s="64">
        <v>46841.784999999996</v>
      </c>
      <c r="F1024" s="64">
        <v>22</v>
      </c>
    </row>
    <row r="1025" spans="1:6" x14ac:dyDescent="0.25">
      <c r="A1025" s="47" t="s">
        <v>3598</v>
      </c>
      <c r="B1025" s="47" t="s">
        <v>3599</v>
      </c>
      <c r="C1025" s="47" t="s">
        <v>3600</v>
      </c>
      <c r="D1025" s="47" t="s">
        <v>2375</v>
      </c>
      <c r="E1025" s="64">
        <v>139358.51666666666</v>
      </c>
      <c r="F1025" s="64">
        <v>72.779166666666654</v>
      </c>
    </row>
    <row r="1026" spans="1:6" x14ac:dyDescent="0.25">
      <c r="A1026" s="47" t="s">
        <v>3601</v>
      </c>
      <c r="B1026" s="47" t="s">
        <v>3602</v>
      </c>
      <c r="C1026" s="47" t="s">
        <v>3603</v>
      </c>
      <c r="D1026" s="47"/>
      <c r="E1026" s="64">
        <v>56726.99</v>
      </c>
      <c r="F1026" s="64">
        <v>22</v>
      </c>
    </row>
    <row r="1027" spans="1:6" x14ac:dyDescent="0.25">
      <c r="A1027" s="47" t="s">
        <v>3604</v>
      </c>
      <c r="B1027" s="47" t="s">
        <v>3605</v>
      </c>
      <c r="C1027" s="47" t="s">
        <v>3606</v>
      </c>
      <c r="D1027" s="47"/>
      <c r="E1027" s="64">
        <v>41354.76</v>
      </c>
      <c r="F1027" s="64">
        <v>22</v>
      </c>
    </row>
    <row r="1028" spans="1:6" x14ac:dyDescent="0.25">
      <c r="A1028" s="47" t="s">
        <v>3607</v>
      </c>
      <c r="B1028" s="47" t="s">
        <v>3608</v>
      </c>
      <c r="C1028" s="47" t="s">
        <v>3609</v>
      </c>
      <c r="D1028" s="47"/>
      <c r="E1028" s="64">
        <v>44513.67</v>
      </c>
      <c r="F1028" s="64">
        <v>30000</v>
      </c>
    </row>
    <row r="1029" spans="1:6" x14ac:dyDescent="0.25">
      <c r="A1029" s="47" t="s">
        <v>3610</v>
      </c>
      <c r="B1029" s="47" t="s">
        <v>3611</v>
      </c>
      <c r="C1029" s="47" t="s">
        <v>3612</v>
      </c>
      <c r="D1029" s="47"/>
      <c r="E1029" s="64">
        <v>26995.590000000004</v>
      </c>
      <c r="F1029" s="64">
        <v>22</v>
      </c>
    </row>
    <row r="1030" spans="1:6" x14ac:dyDescent="0.25">
      <c r="A1030" s="47" t="s">
        <v>3613</v>
      </c>
      <c r="B1030" s="47" t="s">
        <v>3614</v>
      </c>
      <c r="C1030" s="47" t="s">
        <v>3615</v>
      </c>
      <c r="D1030" s="47"/>
      <c r="E1030" s="64">
        <v>39126.909999999996</v>
      </c>
      <c r="F1030" s="64">
        <v>22</v>
      </c>
    </row>
    <row r="1031" spans="1:6" x14ac:dyDescent="0.25">
      <c r="A1031" s="47" t="s">
        <v>3616</v>
      </c>
      <c r="B1031" s="47" t="s">
        <v>3617</v>
      </c>
      <c r="C1031" s="47" t="s">
        <v>3618</v>
      </c>
      <c r="D1031" s="47"/>
      <c r="E1031" s="64">
        <v>49790.405000000013</v>
      </c>
      <c r="F1031" s="64">
        <v>22</v>
      </c>
    </row>
    <row r="1032" spans="1:6" x14ac:dyDescent="0.25">
      <c r="A1032" s="47" t="s">
        <v>3619</v>
      </c>
      <c r="B1032" s="47" t="s">
        <v>3620</v>
      </c>
      <c r="C1032" s="47" t="s">
        <v>3621</v>
      </c>
      <c r="D1032" s="47" t="s">
        <v>2428</v>
      </c>
      <c r="E1032" s="64">
        <v>108106.61</v>
      </c>
      <c r="F1032" s="64">
        <v>95.19583333333334</v>
      </c>
    </row>
    <row r="1033" spans="1:6" x14ac:dyDescent="0.25">
      <c r="A1033" s="47" t="s">
        <v>3622</v>
      </c>
      <c r="B1033" s="47" t="s">
        <v>3623</v>
      </c>
      <c r="C1033" s="47" t="s">
        <v>3624</v>
      </c>
      <c r="D1033" s="47" t="s">
        <v>3625</v>
      </c>
      <c r="E1033" s="64">
        <v>132436.29999999999</v>
      </c>
      <c r="F1033" s="64">
        <v>51.029166666666669</v>
      </c>
    </row>
    <row r="1034" spans="1:6" x14ac:dyDescent="0.25">
      <c r="A1034" s="47" t="s">
        <v>3626</v>
      </c>
      <c r="B1034" s="47" t="s">
        <v>3627</v>
      </c>
      <c r="C1034" s="47" t="s">
        <v>3628</v>
      </c>
      <c r="D1034" s="47"/>
      <c r="E1034" s="64">
        <v>51715.79</v>
      </c>
      <c r="F1034" s="64">
        <v>22</v>
      </c>
    </row>
    <row r="1035" spans="1:6" x14ac:dyDescent="0.25">
      <c r="A1035" s="47" t="s">
        <v>3629</v>
      </c>
      <c r="B1035" s="47" t="s">
        <v>3630</v>
      </c>
      <c r="C1035" s="47" t="s">
        <v>3631</v>
      </c>
      <c r="D1035" s="47" t="s">
        <v>3632</v>
      </c>
      <c r="E1035" s="64">
        <v>38568.089999999997</v>
      </c>
      <c r="F1035" s="64">
        <v>105.25040476190478</v>
      </c>
    </row>
    <row r="1036" spans="1:6" x14ac:dyDescent="0.25">
      <c r="A1036" s="47" t="s">
        <v>3633</v>
      </c>
      <c r="B1036" s="47" t="s">
        <v>3634</v>
      </c>
      <c r="C1036" s="47" t="s">
        <v>3635</v>
      </c>
      <c r="D1036" s="47" t="s">
        <v>2303</v>
      </c>
      <c r="E1036" s="64">
        <v>90437.529999999984</v>
      </c>
      <c r="F1036" s="64">
        <v>95.19583333333334</v>
      </c>
    </row>
    <row r="1037" spans="1:6" x14ac:dyDescent="0.25">
      <c r="A1037" s="47" t="s">
        <v>3636</v>
      </c>
      <c r="B1037" s="47" t="s">
        <v>3637</v>
      </c>
      <c r="C1037" s="47" t="s">
        <v>3638</v>
      </c>
      <c r="D1037" s="47" t="s">
        <v>3639</v>
      </c>
      <c r="E1037" s="64">
        <v>117765.67000000001</v>
      </c>
      <c r="F1037" s="64">
        <v>9.7333333333333327E-2</v>
      </c>
    </row>
    <row r="1038" spans="1:6" x14ac:dyDescent="0.25">
      <c r="A1038" s="47" t="s">
        <v>3640</v>
      </c>
      <c r="B1038" s="47" t="s">
        <v>3641</v>
      </c>
      <c r="C1038" s="47" t="s">
        <v>3642</v>
      </c>
      <c r="D1038" s="47"/>
      <c r="E1038" s="64">
        <v>52529.365000000005</v>
      </c>
      <c r="F1038" s="64">
        <v>22</v>
      </c>
    </row>
    <row r="1039" spans="1:6" x14ac:dyDescent="0.25">
      <c r="A1039" s="47" t="s">
        <v>3643</v>
      </c>
      <c r="B1039" s="47" t="s">
        <v>3644</v>
      </c>
      <c r="C1039" s="47" t="s">
        <v>3645</v>
      </c>
      <c r="D1039" s="47"/>
      <c r="E1039" s="64">
        <v>54342.78</v>
      </c>
      <c r="F1039" s="64">
        <v>22</v>
      </c>
    </row>
    <row r="1040" spans="1:6" x14ac:dyDescent="0.25">
      <c r="A1040" s="47" t="s">
        <v>3646</v>
      </c>
      <c r="B1040" s="47" t="s">
        <v>3647</v>
      </c>
      <c r="C1040" s="47" t="s">
        <v>3648</v>
      </c>
      <c r="D1040" s="47" t="s">
        <v>3649</v>
      </c>
      <c r="E1040" s="64">
        <v>144370.61666666667</v>
      </c>
      <c r="F1040" s="64">
        <v>95.19583333333334</v>
      </c>
    </row>
    <row r="1041" spans="1:6" x14ac:dyDescent="0.25">
      <c r="A1041" s="47" t="s">
        <v>3650</v>
      </c>
      <c r="B1041" s="47" t="s">
        <v>1452</v>
      </c>
      <c r="C1041" s="47" t="s">
        <v>3651</v>
      </c>
      <c r="D1041" s="47" t="s">
        <v>1454</v>
      </c>
      <c r="E1041" s="64">
        <v>36849.509999999995</v>
      </c>
      <c r="F1041" s="64">
        <v>24</v>
      </c>
    </row>
    <row r="1042" spans="1:6" x14ac:dyDescent="0.25">
      <c r="A1042" s="47" t="s">
        <v>3652</v>
      </c>
      <c r="B1042" s="47" t="s">
        <v>1913</v>
      </c>
      <c r="C1042" s="47" t="s">
        <v>3653</v>
      </c>
      <c r="D1042" s="47" t="s">
        <v>1454</v>
      </c>
      <c r="E1042" s="64">
        <v>36849.509999999995</v>
      </c>
      <c r="F1042" s="64">
        <v>0.33</v>
      </c>
    </row>
    <row r="1043" spans="1:6" x14ac:dyDescent="0.25">
      <c r="A1043" s="47" t="s">
        <v>3654</v>
      </c>
      <c r="B1043" s="47" t="s">
        <v>3655</v>
      </c>
      <c r="C1043" s="47" t="s">
        <v>3656</v>
      </c>
      <c r="D1043" s="47" t="s">
        <v>805</v>
      </c>
      <c r="E1043" s="64">
        <v>23814.985000000001</v>
      </c>
      <c r="F1043" s="64">
        <v>0.24</v>
      </c>
    </row>
    <row r="1044" spans="1:6" x14ac:dyDescent="0.25">
      <c r="A1044" s="47" t="s">
        <v>3657</v>
      </c>
      <c r="B1044" s="47" t="s">
        <v>3658</v>
      </c>
      <c r="C1044" s="47" t="s">
        <v>3659</v>
      </c>
      <c r="D1044" s="47"/>
      <c r="E1044" s="64">
        <v>150031.87000000002</v>
      </c>
      <c r="F1044" s="64">
        <v>22</v>
      </c>
    </row>
    <row r="1045" spans="1:6" x14ac:dyDescent="0.25">
      <c r="A1045" s="47" t="s">
        <v>3660</v>
      </c>
      <c r="B1045" s="47" t="s">
        <v>3661</v>
      </c>
      <c r="C1045" s="47" t="s">
        <v>3662</v>
      </c>
      <c r="D1045" s="47" t="s">
        <v>2368</v>
      </c>
      <c r="E1045" s="64">
        <v>91359.08</v>
      </c>
      <c r="F1045" s="64">
        <v>0.84499999999999997</v>
      </c>
    </row>
    <row r="1046" spans="1:6" x14ac:dyDescent="0.25">
      <c r="A1046" s="47" t="s">
        <v>3663</v>
      </c>
      <c r="B1046" s="47" t="s">
        <v>3664</v>
      </c>
      <c r="C1046" s="47" t="s">
        <v>3665</v>
      </c>
      <c r="D1046" s="47" t="s">
        <v>3639</v>
      </c>
      <c r="E1046" s="64">
        <v>117765.67000000001</v>
      </c>
      <c r="F1046" s="64">
        <v>9.7333333333333327E-2</v>
      </c>
    </row>
    <row r="1047" spans="1:6" x14ac:dyDescent="0.25">
      <c r="A1047" s="47" t="s">
        <v>3666</v>
      </c>
      <c r="B1047" s="47" t="s">
        <v>3667</v>
      </c>
      <c r="C1047" s="47" t="s">
        <v>3668</v>
      </c>
      <c r="D1047" s="47" t="s">
        <v>3639</v>
      </c>
      <c r="E1047" s="64">
        <v>117765.67000000001</v>
      </c>
      <c r="F1047" s="64">
        <v>9.7333333333333327E-2</v>
      </c>
    </row>
    <row r="1048" spans="1:6" x14ac:dyDescent="0.25">
      <c r="A1048" s="47" t="s">
        <v>3669</v>
      </c>
      <c r="B1048" s="47" t="s">
        <v>3670</v>
      </c>
      <c r="C1048" s="47" t="s">
        <v>3671</v>
      </c>
      <c r="D1048" s="47" t="s">
        <v>3672</v>
      </c>
      <c r="E1048" s="64">
        <v>16115.945</v>
      </c>
      <c r="F1048" s="64">
        <v>11.6</v>
      </c>
    </row>
    <row r="1049" spans="1:6" x14ac:dyDescent="0.25">
      <c r="A1049" s="47" t="s">
        <v>3673</v>
      </c>
      <c r="B1049" s="47" t="s">
        <v>3674</v>
      </c>
      <c r="C1049" s="47" t="s">
        <v>3675</v>
      </c>
      <c r="D1049" s="47" t="s">
        <v>3639</v>
      </c>
      <c r="E1049" s="64">
        <v>117765.67000000001</v>
      </c>
      <c r="F1049" s="64">
        <v>9.7333333333333327E-2</v>
      </c>
    </row>
    <row r="1050" spans="1:6" x14ac:dyDescent="0.25">
      <c r="A1050" s="47" t="s">
        <v>3676</v>
      </c>
      <c r="B1050" s="47" t="s">
        <v>3677</v>
      </c>
      <c r="C1050" s="47" t="s">
        <v>3678</v>
      </c>
      <c r="D1050" s="47" t="s">
        <v>3679</v>
      </c>
      <c r="E1050" s="64">
        <v>21038.21</v>
      </c>
      <c r="F1050" s="64">
        <v>911.7</v>
      </c>
    </row>
    <row r="1051" spans="1:6" x14ac:dyDescent="0.25">
      <c r="A1051" s="47" t="s">
        <v>3680</v>
      </c>
      <c r="B1051" s="47" t="s">
        <v>3681</v>
      </c>
      <c r="C1051" s="47" t="s">
        <v>3682</v>
      </c>
      <c r="D1051" s="47" t="s">
        <v>3679</v>
      </c>
      <c r="E1051" s="64">
        <v>21038.21</v>
      </c>
      <c r="F1051" s="64">
        <v>152.4</v>
      </c>
    </row>
    <row r="1052" spans="1:6" x14ac:dyDescent="0.25">
      <c r="A1052" s="47" t="s">
        <v>3683</v>
      </c>
      <c r="B1052" s="47" t="s">
        <v>3684</v>
      </c>
      <c r="C1052" s="47" t="s">
        <v>3685</v>
      </c>
      <c r="D1052" s="47" t="s">
        <v>3679</v>
      </c>
      <c r="E1052" s="64">
        <v>21038.21</v>
      </c>
      <c r="F1052" s="64">
        <v>1009</v>
      </c>
    </row>
    <row r="1053" spans="1:6" x14ac:dyDescent="0.25">
      <c r="A1053" s="47" t="s">
        <v>3686</v>
      </c>
      <c r="B1053" s="47" t="s">
        <v>1027</v>
      </c>
      <c r="C1053" s="47" t="s">
        <v>3687</v>
      </c>
      <c r="D1053" s="47" t="s">
        <v>3688</v>
      </c>
      <c r="E1053" s="64">
        <v>43462.375</v>
      </c>
      <c r="F1053" s="64">
        <v>171.94666666666669</v>
      </c>
    </row>
    <row r="1054" spans="1:6" x14ac:dyDescent="0.25">
      <c r="A1054" s="47" t="s">
        <v>3689</v>
      </c>
      <c r="B1054" s="47" t="s">
        <v>1390</v>
      </c>
      <c r="C1054" s="47" t="s">
        <v>3690</v>
      </c>
      <c r="D1054" s="47" t="s">
        <v>3688</v>
      </c>
      <c r="E1054" s="64">
        <v>43462.375</v>
      </c>
      <c r="F1054" s="64">
        <v>171.94666666666669</v>
      </c>
    </row>
    <row r="1055" spans="1:6" x14ac:dyDescent="0.25">
      <c r="A1055" s="47" t="s">
        <v>3691</v>
      </c>
      <c r="B1055" s="47" t="s">
        <v>796</v>
      </c>
      <c r="C1055" s="47" t="s">
        <v>3692</v>
      </c>
      <c r="D1055" s="47" t="s">
        <v>798</v>
      </c>
      <c r="E1055" s="64">
        <v>45453.963333333326</v>
      </c>
      <c r="F1055" s="64">
        <v>1.2</v>
      </c>
    </row>
    <row r="1056" spans="1:6" x14ac:dyDescent="0.25">
      <c r="A1056" s="47" t="s">
        <v>3693</v>
      </c>
      <c r="B1056" s="47" t="s">
        <v>3694</v>
      </c>
      <c r="C1056" s="47" t="s">
        <v>3695</v>
      </c>
      <c r="D1056" s="47" t="s">
        <v>798</v>
      </c>
      <c r="E1056" s="64">
        <v>43462.375</v>
      </c>
      <c r="F1056" s="64">
        <v>0.23</v>
      </c>
    </row>
    <row r="1057" spans="1:6" x14ac:dyDescent="0.25">
      <c r="A1057" s="47" t="s">
        <v>3696</v>
      </c>
      <c r="B1057" s="47" t="s">
        <v>800</v>
      </c>
      <c r="C1057" s="47" t="s">
        <v>3697</v>
      </c>
      <c r="D1057" s="47" t="s">
        <v>798</v>
      </c>
      <c r="E1057" s="64">
        <v>45453.963333333326</v>
      </c>
      <c r="F1057" s="64">
        <v>202</v>
      </c>
    </row>
    <row r="1058" spans="1:6" x14ac:dyDescent="0.25">
      <c r="A1058" s="47" t="s">
        <v>3698</v>
      </c>
      <c r="B1058" s="47" t="s">
        <v>803</v>
      </c>
      <c r="C1058" s="47" t="s">
        <v>3699</v>
      </c>
      <c r="D1058" s="47" t="s">
        <v>798</v>
      </c>
      <c r="E1058" s="64">
        <v>43462.375</v>
      </c>
      <c r="F1058" s="64">
        <v>0.19500000000000001</v>
      </c>
    </row>
    <row r="1059" spans="1:6" x14ac:dyDescent="0.25">
      <c r="A1059" s="47" t="s">
        <v>3700</v>
      </c>
      <c r="B1059" s="47" t="s">
        <v>807</v>
      </c>
      <c r="C1059" s="47" t="s">
        <v>3701</v>
      </c>
      <c r="D1059" s="47" t="s">
        <v>798</v>
      </c>
      <c r="E1059" s="64">
        <v>43462.375</v>
      </c>
      <c r="F1059" s="64">
        <v>0.3</v>
      </c>
    </row>
    <row r="1060" spans="1:6" x14ac:dyDescent="0.25">
      <c r="A1060" s="47" t="s">
        <v>3702</v>
      </c>
      <c r="B1060" s="47" t="s">
        <v>1393</v>
      </c>
      <c r="C1060" s="47" t="s">
        <v>3703</v>
      </c>
      <c r="D1060" s="47" t="s">
        <v>3289</v>
      </c>
      <c r="E1060" s="64">
        <v>45453.963333333326</v>
      </c>
      <c r="F1060" s="64">
        <v>577.5</v>
      </c>
    </row>
    <row r="1061" spans="1:6" x14ac:dyDescent="0.25">
      <c r="A1061" s="47" t="s">
        <v>3704</v>
      </c>
      <c r="B1061" s="47" t="s">
        <v>1024</v>
      </c>
      <c r="C1061" s="47" t="s">
        <v>3705</v>
      </c>
      <c r="D1061" s="47" t="s">
        <v>798</v>
      </c>
      <c r="E1061" s="64">
        <v>45453.963333333326</v>
      </c>
      <c r="F1061" s="64">
        <v>11</v>
      </c>
    </row>
    <row r="1062" spans="1:6" x14ac:dyDescent="0.25">
      <c r="A1062" s="47" t="s">
        <v>3706</v>
      </c>
      <c r="B1062" s="47" t="s">
        <v>3707</v>
      </c>
      <c r="C1062" s="47" t="s">
        <v>3708</v>
      </c>
      <c r="D1062" s="47" t="s">
        <v>3158</v>
      </c>
      <c r="E1062" s="64">
        <v>84375.94</v>
      </c>
      <c r="F1062" s="64">
        <v>12.4</v>
      </c>
    </row>
    <row r="1063" spans="1:6" x14ac:dyDescent="0.25">
      <c r="A1063" s="47" t="s">
        <v>3709</v>
      </c>
      <c r="B1063" s="47" t="s">
        <v>3710</v>
      </c>
      <c r="C1063" s="47" t="s">
        <v>3711</v>
      </c>
      <c r="D1063" s="47" t="s">
        <v>440</v>
      </c>
      <c r="E1063" s="64">
        <v>45681.520000000004</v>
      </c>
      <c r="F1063" s="64">
        <v>3.4799999999999998E-2</v>
      </c>
    </row>
    <row r="1064" spans="1:6" x14ac:dyDescent="0.25">
      <c r="A1064" s="47" t="s">
        <v>3712</v>
      </c>
      <c r="B1064" s="47" t="s">
        <v>3713</v>
      </c>
      <c r="C1064" s="47" t="s">
        <v>3714</v>
      </c>
      <c r="D1064" s="47"/>
      <c r="E1064" s="64">
        <v>39959.482499999998</v>
      </c>
      <c r="F1064" s="64">
        <v>100000000</v>
      </c>
    </row>
    <row r="1065" spans="1:6" x14ac:dyDescent="0.25">
      <c r="A1065" s="47" t="s">
        <v>3715</v>
      </c>
      <c r="B1065" s="47" t="s">
        <v>626</v>
      </c>
      <c r="C1065" s="47" t="s">
        <v>3716</v>
      </c>
      <c r="D1065" s="47" t="s">
        <v>628</v>
      </c>
      <c r="E1065" s="64">
        <v>73896.19</v>
      </c>
      <c r="F1065" s="64">
        <v>2.2966666666666664</v>
      </c>
    </row>
    <row r="1066" spans="1:6" x14ac:dyDescent="0.25">
      <c r="A1066" s="47" t="s">
        <v>3717</v>
      </c>
      <c r="B1066" s="47" t="s">
        <v>3718</v>
      </c>
      <c r="C1066" s="47" t="s">
        <v>3719</v>
      </c>
      <c r="D1066" s="47" t="s">
        <v>3720</v>
      </c>
      <c r="E1066" s="64">
        <v>16072.900000000001</v>
      </c>
      <c r="F1066" s="64">
        <v>2100</v>
      </c>
    </row>
    <row r="1067" spans="1:6" x14ac:dyDescent="0.25">
      <c r="A1067" s="47" t="s">
        <v>3721</v>
      </c>
      <c r="B1067" s="47" t="s">
        <v>3722</v>
      </c>
      <c r="C1067" s="47" t="s">
        <v>3723</v>
      </c>
      <c r="D1067" s="47" t="s">
        <v>3724</v>
      </c>
      <c r="E1067" s="64">
        <v>33820</v>
      </c>
      <c r="F1067" s="64">
        <v>14.804833333333335</v>
      </c>
    </row>
    <row r="1068" spans="1:6" x14ac:dyDescent="0.25">
      <c r="A1068" s="47" t="s">
        <v>3725</v>
      </c>
      <c r="B1068" s="47" t="s">
        <v>3726</v>
      </c>
      <c r="C1068" s="47" t="s">
        <v>3727</v>
      </c>
      <c r="D1068" s="47" t="s">
        <v>3728</v>
      </c>
      <c r="E1068" s="64">
        <v>26108.45</v>
      </c>
      <c r="F1068" s="64">
        <v>9201.8125</v>
      </c>
    </row>
    <row r="1069" spans="1:6" x14ac:dyDescent="0.25">
      <c r="A1069" s="47" t="s">
        <v>3729</v>
      </c>
      <c r="B1069" s="47" t="s">
        <v>3730</v>
      </c>
      <c r="C1069" s="47" t="s">
        <v>3731</v>
      </c>
      <c r="D1069" s="47"/>
      <c r="E1069" s="64">
        <v>39959.482499999998</v>
      </c>
      <c r="F1069" s="64">
        <v>100000000</v>
      </c>
    </row>
    <row r="1070" spans="1:6" x14ac:dyDescent="0.25">
      <c r="A1070" s="47" t="s">
        <v>3732</v>
      </c>
      <c r="B1070" s="47" t="s">
        <v>3733</v>
      </c>
      <c r="C1070" s="47" t="s">
        <v>3734</v>
      </c>
      <c r="D1070" s="47"/>
      <c r="E1070" s="64">
        <v>33587.89</v>
      </c>
      <c r="F1070" s="64">
        <v>100000000</v>
      </c>
    </row>
    <row r="1071" spans="1:6" x14ac:dyDescent="0.25">
      <c r="A1071" s="47" t="s">
        <v>3735</v>
      </c>
      <c r="B1071" s="47" t="s">
        <v>3736</v>
      </c>
      <c r="C1071" s="47" t="s">
        <v>3737</v>
      </c>
      <c r="D1071" s="47"/>
      <c r="E1071" s="64">
        <v>39959.482499999998</v>
      </c>
      <c r="F1071" s="64">
        <v>100000000</v>
      </c>
    </row>
    <row r="1072" spans="1:6" x14ac:dyDescent="0.25">
      <c r="A1072" s="47" t="s">
        <v>3738</v>
      </c>
      <c r="B1072" s="47" t="s">
        <v>3739</v>
      </c>
      <c r="C1072" s="47" t="s">
        <v>3740</v>
      </c>
      <c r="D1072" s="47"/>
      <c r="E1072" s="64">
        <v>39959.482499999998</v>
      </c>
      <c r="F1072" s="64">
        <v>100000000</v>
      </c>
    </row>
    <row r="1073" spans="1:6" x14ac:dyDescent="0.25">
      <c r="A1073" s="47" t="s">
        <v>3741</v>
      </c>
      <c r="B1073" s="47" t="s">
        <v>3742</v>
      </c>
      <c r="C1073" s="47" t="s">
        <v>3743</v>
      </c>
      <c r="D1073" s="47"/>
      <c r="E1073" s="64">
        <v>39959.482499999998</v>
      </c>
      <c r="F1073" s="64">
        <v>100000000</v>
      </c>
    </row>
    <row r="1074" spans="1:6" x14ac:dyDescent="0.25">
      <c r="A1074" s="47" t="s">
        <v>3744</v>
      </c>
      <c r="B1074" s="47" t="s">
        <v>3745</v>
      </c>
      <c r="C1074" s="47" t="s">
        <v>3746</v>
      </c>
      <c r="D1074" s="47"/>
      <c r="E1074" s="64">
        <v>39959.482499999998</v>
      </c>
      <c r="F1074" s="64">
        <v>100000000</v>
      </c>
    </row>
    <row r="1075" spans="1:6" x14ac:dyDescent="0.25">
      <c r="A1075" s="47" t="s">
        <v>3747</v>
      </c>
      <c r="B1075" s="47" t="s">
        <v>3748</v>
      </c>
      <c r="C1075" s="47" t="s">
        <v>3749</v>
      </c>
      <c r="D1075" s="47"/>
      <c r="E1075" s="64">
        <v>39959.482499999998</v>
      </c>
      <c r="F1075" s="64">
        <v>100000000</v>
      </c>
    </row>
    <row r="1076" spans="1:6" x14ac:dyDescent="0.25">
      <c r="A1076" s="47" t="s">
        <v>3750</v>
      </c>
      <c r="B1076" s="47" t="s">
        <v>3751</v>
      </c>
      <c r="C1076" s="47" t="s">
        <v>3752</v>
      </c>
      <c r="D1076" s="47"/>
      <c r="E1076" s="64">
        <v>39959.482499999998</v>
      </c>
      <c r="F1076" s="64">
        <v>100000000</v>
      </c>
    </row>
    <row r="1077" spans="1:6" x14ac:dyDescent="0.25">
      <c r="A1077" s="47" t="s">
        <v>3753</v>
      </c>
      <c r="B1077" s="47" t="s">
        <v>3754</v>
      </c>
      <c r="C1077" s="47" t="s">
        <v>3755</v>
      </c>
      <c r="D1077" s="47"/>
      <c r="E1077" s="64">
        <v>39959.482499999998</v>
      </c>
      <c r="F1077" s="64">
        <v>100000000</v>
      </c>
    </row>
    <row r="1078" spans="1:6" x14ac:dyDescent="0.25">
      <c r="A1078" s="47" t="s">
        <v>3756</v>
      </c>
      <c r="B1078" s="47" t="s">
        <v>3757</v>
      </c>
      <c r="C1078" s="47" t="s">
        <v>3758</v>
      </c>
      <c r="D1078" s="47"/>
      <c r="E1078" s="64">
        <v>39959.482499999998</v>
      </c>
      <c r="F1078" s="64">
        <v>100000000</v>
      </c>
    </row>
    <row r="1079" spans="1:6" x14ac:dyDescent="0.25">
      <c r="A1079" s="47" t="s">
        <v>3759</v>
      </c>
      <c r="B1079" s="47" t="s">
        <v>3760</v>
      </c>
      <c r="C1079" s="47" t="s">
        <v>3761</v>
      </c>
      <c r="D1079" s="47" t="s">
        <v>2173</v>
      </c>
      <c r="E1079" s="64">
        <v>61550.724999999984</v>
      </c>
      <c r="F1079" s="64">
        <v>2.9000000000000001E-2</v>
      </c>
    </row>
    <row r="1080" spans="1:6" x14ac:dyDescent="0.25">
      <c r="A1080" s="47" t="s">
        <v>3762</v>
      </c>
      <c r="B1080" s="47" t="s">
        <v>3763</v>
      </c>
      <c r="C1080" s="47" t="s">
        <v>3764</v>
      </c>
      <c r="D1080" s="47" t="s">
        <v>2331</v>
      </c>
      <c r="E1080" s="64">
        <v>139597.47666666668</v>
      </c>
      <c r="F1080" s="64">
        <v>95.19583333333334</v>
      </c>
    </row>
    <row r="1081" spans="1:6" x14ac:dyDescent="0.25">
      <c r="A1081" s="47" t="s">
        <v>3765</v>
      </c>
      <c r="B1081" s="47" t="s">
        <v>3766</v>
      </c>
      <c r="C1081" s="47" t="s">
        <v>3767</v>
      </c>
      <c r="D1081" s="47" t="s">
        <v>1943</v>
      </c>
      <c r="E1081" s="64">
        <v>40842.06</v>
      </c>
      <c r="F1081" s="64">
        <v>2.8</v>
      </c>
    </row>
    <row r="1082" spans="1:6" x14ac:dyDescent="0.25">
      <c r="A1082" s="47" t="s">
        <v>3768</v>
      </c>
      <c r="B1082" s="47" t="s">
        <v>3769</v>
      </c>
      <c r="C1082" s="47" t="s">
        <v>3770</v>
      </c>
      <c r="D1082" s="47" t="s">
        <v>1943</v>
      </c>
      <c r="E1082" s="64">
        <v>40842.06</v>
      </c>
      <c r="F1082" s="64">
        <v>3.3</v>
      </c>
    </row>
    <row r="1083" spans="1:6" x14ac:dyDescent="0.25">
      <c r="A1083" s="47" t="s">
        <v>3771</v>
      </c>
      <c r="B1083" s="47" t="s">
        <v>1945</v>
      </c>
      <c r="C1083" s="47" t="s">
        <v>3772</v>
      </c>
      <c r="D1083" s="47" t="s">
        <v>1943</v>
      </c>
      <c r="E1083" s="64">
        <v>40842.06</v>
      </c>
      <c r="F1083" s="64">
        <v>1.1000000000000001</v>
      </c>
    </row>
    <row r="1084" spans="1:6" x14ac:dyDescent="0.25">
      <c r="A1084" s="47" t="s">
        <v>3773</v>
      </c>
      <c r="B1084" s="47" t="s">
        <v>3774</v>
      </c>
      <c r="C1084" s="47" t="s">
        <v>3775</v>
      </c>
      <c r="D1084" s="47" t="s">
        <v>2173</v>
      </c>
      <c r="E1084" s="64">
        <v>61550.724999999984</v>
      </c>
      <c r="F1084" s="64">
        <v>2.9000000000000001E-2</v>
      </c>
    </row>
    <row r="1085" spans="1:6" x14ac:dyDescent="0.25">
      <c r="A1085" s="47" t="s">
        <v>3776</v>
      </c>
      <c r="B1085" s="47" t="s">
        <v>3777</v>
      </c>
      <c r="C1085" s="47" t="s">
        <v>3778</v>
      </c>
      <c r="D1085" s="47" t="s">
        <v>2173</v>
      </c>
      <c r="E1085" s="64">
        <v>61550.724999999984</v>
      </c>
      <c r="F1085" s="64">
        <v>2.9000000000000001E-2</v>
      </c>
    </row>
    <row r="1086" spans="1:6" x14ac:dyDescent="0.25">
      <c r="A1086" s="47" t="s">
        <v>3779</v>
      </c>
      <c r="B1086" s="47" t="s">
        <v>3780</v>
      </c>
      <c r="C1086" s="47" t="s">
        <v>3781</v>
      </c>
      <c r="D1086" s="47"/>
      <c r="E1086" s="64">
        <v>150031.87000000002</v>
      </c>
      <c r="F1086" s="64">
        <v>22</v>
      </c>
    </row>
    <row r="1087" spans="1:6" x14ac:dyDescent="0.25">
      <c r="A1087" s="47" t="s">
        <v>3782</v>
      </c>
      <c r="B1087" s="47" t="s">
        <v>3783</v>
      </c>
      <c r="C1087" s="47" t="s">
        <v>3784</v>
      </c>
      <c r="D1087" s="47" t="s">
        <v>3118</v>
      </c>
      <c r="E1087" s="64">
        <v>76837.899999999994</v>
      </c>
      <c r="F1087" s="64">
        <v>300</v>
      </c>
    </row>
    <row r="1088" spans="1:6" x14ac:dyDescent="0.25">
      <c r="A1088" s="47" t="s">
        <v>3785</v>
      </c>
      <c r="B1088" s="47" t="s">
        <v>3786</v>
      </c>
      <c r="C1088" s="47" t="s">
        <v>3787</v>
      </c>
      <c r="D1088" s="47" t="s">
        <v>3118</v>
      </c>
      <c r="E1088" s="64">
        <v>76837.899999999994</v>
      </c>
      <c r="F1088" s="64">
        <v>300</v>
      </c>
    </row>
    <row r="1089" spans="1:6" x14ac:dyDescent="0.25">
      <c r="A1089" s="47" t="s">
        <v>3788</v>
      </c>
      <c r="B1089" s="47" t="s">
        <v>3789</v>
      </c>
      <c r="C1089" s="47" t="s">
        <v>3790</v>
      </c>
      <c r="D1089" s="47" t="s">
        <v>3791</v>
      </c>
      <c r="E1089" s="64">
        <v>76837.899999999994</v>
      </c>
      <c r="F1089" s="64">
        <v>95.19583333333334</v>
      </c>
    </row>
    <row r="1090" spans="1:6" x14ac:dyDescent="0.25">
      <c r="A1090" s="47" t="s">
        <v>3792</v>
      </c>
      <c r="B1090" s="47" t="s">
        <v>3793</v>
      </c>
      <c r="C1090" s="47" t="s">
        <v>3794</v>
      </c>
      <c r="D1090" s="47" t="s">
        <v>3795</v>
      </c>
      <c r="E1090" s="64">
        <v>99463.67</v>
      </c>
      <c r="F1090" s="64">
        <v>95.19583333333334</v>
      </c>
    </row>
    <row r="1091" spans="1:6" x14ac:dyDescent="0.25">
      <c r="A1091" s="47" t="s">
        <v>3796</v>
      </c>
      <c r="B1091" s="47" t="s">
        <v>3797</v>
      </c>
      <c r="C1091" s="47" t="s">
        <v>3798</v>
      </c>
      <c r="D1091" s="47" t="s">
        <v>871</v>
      </c>
      <c r="E1091" s="64">
        <v>33421.96</v>
      </c>
      <c r="F1091" s="64">
        <v>0.38</v>
      </c>
    </row>
    <row r="1092" spans="1:6" x14ac:dyDescent="0.25">
      <c r="A1092" s="47" t="s">
        <v>3799</v>
      </c>
      <c r="B1092" s="47" t="s">
        <v>3800</v>
      </c>
      <c r="C1092" s="47" t="s">
        <v>3801</v>
      </c>
      <c r="D1092" s="47"/>
      <c r="E1092" s="64">
        <v>39959.482499999998</v>
      </c>
      <c r="F1092" s="64">
        <v>100000000</v>
      </c>
    </row>
    <row r="1093" spans="1:6" x14ac:dyDescent="0.25">
      <c r="A1093" s="47" t="s">
        <v>3802</v>
      </c>
      <c r="B1093" s="47" t="s">
        <v>3803</v>
      </c>
      <c r="C1093" s="47" t="s">
        <v>3804</v>
      </c>
      <c r="D1093" s="47"/>
      <c r="E1093" s="64">
        <v>39959.482499999998</v>
      </c>
      <c r="F1093" s="64">
        <v>100000000</v>
      </c>
    </row>
    <row r="1094" spans="1:6" x14ac:dyDescent="0.25">
      <c r="A1094" s="47" t="s">
        <v>3805</v>
      </c>
      <c r="B1094" s="47" t="s">
        <v>3806</v>
      </c>
      <c r="C1094" s="47" t="s">
        <v>3807</v>
      </c>
      <c r="D1094" s="47"/>
      <c r="E1094" s="64">
        <v>39959.482499999998</v>
      </c>
      <c r="F1094" s="64">
        <v>100000000</v>
      </c>
    </row>
    <row r="1095" spans="1:6" x14ac:dyDescent="0.25">
      <c r="A1095" s="47" t="s">
        <v>3808</v>
      </c>
      <c r="B1095" s="47" t="s">
        <v>3809</v>
      </c>
      <c r="C1095" s="47" t="s">
        <v>3810</v>
      </c>
      <c r="D1095" s="47"/>
      <c r="E1095" s="64">
        <v>39959.482499999998</v>
      </c>
      <c r="F1095" s="64">
        <v>100000000</v>
      </c>
    </row>
    <row r="1096" spans="1:6" x14ac:dyDescent="0.25">
      <c r="A1096" s="47" t="s">
        <v>3811</v>
      </c>
      <c r="B1096" s="47" t="s">
        <v>3812</v>
      </c>
      <c r="C1096" s="47" t="s">
        <v>3813</v>
      </c>
      <c r="D1096" s="47"/>
      <c r="E1096" s="64">
        <v>50524.500000000007</v>
      </c>
      <c r="F1096" s="64">
        <v>22</v>
      </c>
    </row>
    <row r="1097" spans="1:6" x14ac:dyDescent="0.25">
      <c r="A1097" s="47" t="s">
        <v>3814</v>
      </c>
      <c r="B1097" s="47" t="s">
        <v>3815</v>
      </c>
      <c r="C1097" s="47" t="s">
        <v>3816</v>
      </c>
      <c r="D1097" s="47"/>
      <c r="E1097" s="64">
        <v>39959.482499999998</v>
      </c>
      <c r="F1097" s="64">
        <v>100000000</v>
      </c>
    </row>
    <row r="1098" spans="1:6" x14ac:dyDescent="0.25">
      <c r="A1098" s="47" t="s">
        <v>3817</v>
      </c>
      <c r="B1098" s="47" t="s">
        <v>3818</v>
      </c>
      <c r="C1098" s="47" t="s">
        <v>3819</v>
      </c>
      <c r="D1098" s="47" t="s">
        <v>2303</v>
      </c>
      <c r="E1098" s="64">
        <v>78247.179999999993</v>
      </c>
      <c r="F1098" s="64">
        <v>95.19583333333334</v>
      </c>
    </row>
    <row r="1099" spans="1:6" x14ac:dyDescent="0.25">
      <c r="A1099" s="47" t="s">
        <v>3820</v>
      </c>
      <c r="B1099" s="47" t="s">
        <v>3821</v>
      </c>
      <c r="C1099" s="47" t="s">
        <v>3822</v>
      </c>
      <c r="D1099" s="47" t="s">
        <v>2428</v>
      </c>
      <c r="E1099" s="64">
        <v>112441.35</v>
      </c>
      <c r="F1099" s="64">
        <v>95.19583333333334</v>
      </c>
    </row>
    <row r="1100" spans="1:6" x14ac:dyDescent="0.25">
      <c r="A1100" s="47" t="s">
        <v>3823</v>
      </c>
      <c r="B1100" s="47" t="s">
        <v>3824</v>
      </c>
      <c r="C1100" s="47" t="s">
        <v>3825</v>
      </c>
      <c r="D1100" s="47"/>
      <c r="E1100" s="64">
        <v>55075.24</v>
      </c>
      <c r="F1100" s="64">
        <v>22</v>
      </c>
    </row>
    <row r="1101" spans="1:6" x14ac:dyDescent="0.25">
      <c r="A1101" s="47" t="s">
        <v>3826</v>
      </c>
      <c r="B1101" s="47" t="s">
        <v>3827</v>
      </c>
      <c r="C1101" s="47" t="s">
        <v>3828</v>
      </c>
      <c r="D1101" s="47"/>
      <c r="E1101" s="64">
        <v>47157.939999999995</v>
      </c>
      <c r="F1101" s="64">
        <v>22</v>
      </c>
    </row>
    <row r="1102" spans="1:6" x14ac:dyDescent="0.25">
      <c r="A1102" s="47" t="s">
        <v>3829</v>
      </c>
      <c r="B1102" s="47" t="s">
        <v>3830</v>
      </c>
      <c r="C1102" s="47" t="s">
        <v>3831</v>
      </c>
      <c r="D1102" s="47"/>
      <c r="E1102" s="64">
        <v>42424.1</v>
      </c>
      <c r="F1102" s="64">
        <v>22</v>
      </c>
    </row>
    <row r="1103" spans="1:6" x14ac:dyDescent="0.25">
      <c r="A1103" s="47" t="s">
        <v>3832</v>
      </c>
      <c r="B1103" s="47" t="s">
        <v>3833</v>
      </c>
      <c r="C1103" s="47" t="s">
        <v>3834</v>
      </c>
      <c r="D1103" s="47"/>
      <c r="E1103" s="64">
        <v>29779.22</v>
      </c>
      <c r="F1103" s="64">
        <v>100000000</v>
      </c>
    </row>
    <row r="1104" spans="1:6" x14ac:dyDescent="0.25">
      <c r="A1104" s="47" t="s">
        <v>3835</v>
      </c>
      <c r="B1104" s="47" t="s">
        <v>3836</v>
      </c>
      <c r="C1104" s="47" t="s">
        <v>3837</v>
      </c>
      <c r="D1104" s="47" t="s">
        <v>3838</v>
      </c>
      <c r="E1104" s="64">
        <v>27158.86</v>
      </c>
      <c r="F1104" s="64">
        <v>38.25</v>
      </c>
    </row>
    <row r="1105" spans="1:6" x14ac:dyDescent="0.25">
      <c r="A1105" s="47" t="s">
        <v>3839</v>
      </c>
      <c r="B1105" s="47" t="s">
        <v>3840</v>
      </c>
      <c r="C1105" s="47" t="s">
        <v>3841</v>
      </c>
      <c r="D1105" s="47"/>
      <c r="E1105" s="64">
        <v>42664.76</v>
      </c>
      <c r="F1105" s="64">
        <v>22</v>
      </c>
    </row>
    <row r="1106" spans="1:6" x14ac:dyDescent="0.25">
      <c r="A1106" s="47" t="s">
        <v>3842</v>
      </c>
      <c r="B1106" s="47" t="s">
        <v>3843</v>
      </c>
      <c r="C1106" s="47" t="s">
        <v>3844</v>
      </c>
      <c r="D1106" s="47"/>
      <c r="E1106" s="64">
        <v>42537.22</v>
      </c>
      <c r="F1106" s="64">
        <v>22</v>
      </c>
    </row>
    <row r="1107" spans="1:6" x14ac:dyDescent="0.25">
      <c r="A1107" s="47" t="s">
        <v>3845</v>
      </c>
      <c r="B1107" s="47" t="s">
        <v>3846</v>
      </c>
      <c r="C1107" s="47" t="s">
        <v>3847</v>
      </c>
      <c r="D1107" s="47" t="s">
        <v>3559</v>
      </c>
      <c r="E1107" s="64">
        <v>173557.99000000002</v>
      </c>
      <c r="F1107" s="64">
        <v>95.19583333333334</v>
      </c>
    </row>
    <row r="1108" spans="1:6" x14ac:dyDescent="0.25">
      <c r="A1108" s="47" t="s">
        <v>3848</v>
      </c>
      <c r="B1108" s="47" t="s">
        <v>3849</v>
      </c>
      <c r="C1108" s="47" t="s">
        <v>3850</v>
      </c>
      <c r="D1108" s="47" t="s">
        <v>3851</v>
      </c>
      <c r="E1108" s="64">
        <v>49910.62</v>
      </c>
      <c r="F1108" s="64">
        <v>100000000</v>
      </c>
    </row>
    <row r="1109" spans="1:6" x14ac:dyDescent="0.25">
      <c r="A1109" s="47" t="s">
        <v>3852</v>
      </c>
      <c r="B1109" s="47" t="s">
        <v>3853</v>
      </c>
      <c r="C1109" s="47" t="s">
        <v>3854</v>
      </c>
      <c r="D1109" s="47" t="s">
        <v>3855</v>
      </c>
      <c r="E1109" s="64">
        <v>14081.640000000003</v>
      </c>
      <c r="F1109" s="64">
        <v>933.67600000000004</v>
      </c>
    </row>
    <row r="1110" spans="1:6" x14ac:dyDescent="0.25">
      <c r="A1110" s="47" t="s">
        <v>3856</v>
      </c>
      <c r="B1110" s="47" t="s">
        <v>3857</v>
      </c>
      <c r="C1110" s="47" t="s">
        <v>3858</v>
      </c>
      <c r="D1110" s="47"/>
      <c r="E1110" s="64">
        <v>21890.199999999997</v>
      </c>
      <c r="F1110" s="64">
        <v>22</v>
      </c>
    </row>
    <row r="1111" spans="1:6" x14ac:dyDescent="0.25">
      <c r="A1111" s="47" t="s">
        <v>3859</v>
      </c>
      <c r="B1111" s="47" t="s">
        <v>3860</v>
      </c>
      <c r="C1111" s="47" t="s">
        <v>3861</v>
      </c>
      <c r="D1111" s="47"/>
      <c r="E1111" s="64">
        <v>21890.199999999997</v>
      </c>
      <c r="F1111" s="64">
        <v>22</v>
      </c>
    </row>
    <row r="1112" spans="1:6" x14ac:dyDescent="0.25">
      <c r="A1112" s="47" t="s">
        <v>3862</v>
      </c>
      <c r="B1112" s="47" t="s">
        <v>3863</v>
      </c>
      <c r="C1112" s="47" t="s">
        <v>3864</v>
      </c>
      <c r="D1112" s="47"/>
      <c r="E1112" s="64">
        <v>21890.199999999997</v>
      </c>
      <c r="F1112" s="64">
        <v>22</v>
      </c>
    </row>
    <row r="1113" spans="1:6" x14ac:dyDescent="0.25">
      <c r="A1113" s="47" t="s">
        <v>3865</v>
      </c>
      <c r="B1113" s="47" t="s">
        <v>3866</v>
      </c>
      <c r="C1113" s="47" t="s">
        <v>3867</v>
      </c>
      <c r="D1113" s="47" t="s">
        <v>3868</v>
      </c>
      <c r="E1113" s="64">
        <v>84334.189999999988</v>
      </c>
      <c r="F1113" s="64">
        <v>0.15</v>
      </c>
    </row>
    <row r="1114" spans="1:6" x14ac:dyDescent="0.25">
      <c r="A1114" s="47" t="s">
        <v>3869</v>
      </c>
      <c r="B1114" s="47" t="s">
        <v>3870</v>
      </c>
      <c r="C1114" s="47" t="s">
        <v>3871</v>
      </c>
      <c r="D1114" s="47" t="s">
        <v>3872</v>
      </c>
      <c r="E1114" s="64">
        <v>40184.239999999998</v>
      </c>
      <c r="F1114" s="64">
        <v>0.3</v>
      </c>
    </row>
    <row r="1115" spans="1:6" x14ac:dyDescent="0.25">
      <c r="A1115" s="47" t="s">
        <v>3873</v>
      </c>
      <c r="B1115" s="47" t="s">
        <v>3874</v>
      </c>
      <c r="C1115" s="47" t="s">
        <v>3875</v>
      </c>
      <c r="D1115" s="47"/>
      <c r="E1115" s="64">
        <v>39959.482499999998</v>
      </c>
      <c r="F1115" s="64">
        <v>100000000</v>
      </c>
    </row>
    <row r="1116" spans="1:6" x14ac:dyDescent="0.25">
      <c r="A1116" s="47" t="s">
        <v>3876</v>
      </c>
      <c r="B1116" s="47" t="s">
        <v>3877</v>
      </c>
      <c r="C1116" s="47" t="s">
        <v>3878</v>
      </c>
      <c r="D1116" s="47"/>
      <c r="E1116" s="64">
        <v>39959.482499999998</v>
      </c>
      <c r="F1116" s="64">
        <v>100000000</v>
      </c>
    </row>
    <row r="1117" spans="1:6" x14ac:dyDescent="0.25">
      <c r="A1117" s="47" t="s">
        <v>3879</v>
      </c>
      <c r="B1117" s="47" t="s">
        <v>3880</v>
      </c>
      <c r="C1117" s="47" t="s">
        <v>3881</v>
      </c>
      <c r="D1117" s="47"/>
      <c r="E1117" s="64">
        <v>47136.84</v>
      </c>
      <c r="F1117" s="64">
        <v>22</v>
      </c>
    </row>
    <row r="1118" spans="1:6" x14ac:dyDescent="0.25">
      <c r="A1118" s="47" t="s">
        <v>3882</v>
      </c>
      <c r="B1118" s="47" t="s">
        <v>3883</v>
      </c>
      <c r="C1118" s="47" t="s">
        <v>3884</v>
      </c>
      <c r="D1118" s="47"/>
      <c r="E1118" s="64">
        <v>39959.482499999998</v>
      </c>
      <c r="F1118" s="64">
        <v>100000000</v>
      </c>
    </row>
    <row r="1119" spans="1:6" x14ac:dyDescent="0.25">
      <c r="A1119" s="47" t="s">
        <v>3885</v>
      </c>
      <c r="B1119" s="47" t="s">
        <v>3886</v>
      </c>
      <c r="C1119" s="47" t="s">
        <v>3887</v>
      </c>
      <c r="D1119" s="47"/>
      <c r="E1119" s="64">
        <v>44958.559999999998</v>
      </c>
      <c r="F1119" s="64">
        <v>22</v>
      </c>
    </row>
    <row r="1120" spans="1:6" x14ac:dyDescent="0.25">
      <c r="A1120" s="47" t="s">
        <v>3888</v>
      </c>
      <c r="B1120" s="47" t="s">
        <v>3889</v>
      </c>
      <c r="C1120" s="47" t="s">
        <v>3890</v>
      </c>
      <c r="D1120" s="47" t="s">
        <v>3891</v>
      </c>
      <c r="E1120" s="64">
        <v>21674.399999999994</v>
      </c>
      <c r="F1120" s="64">
        <v>32.4876</v>
      </c>
    </row>
    <row r="1121" spans="1:6" x14ac:dyDescent="0.25">
      <c r="A1121" s="47" t="s">
        <v>3892</v>
      </c>
      <c r="B1121" s="47" t="s">
        <v>3893</v>
      </c>
      <c r="C1121" s="47" t="s">
        <v>3894</v>
      </c>
      <c r="D1121" s="47" t="s">
        <v>2993</v>
      </c>
      <c r="E1121" s="64">
        <v>37755.949999999997</v>
      </c>
      <c r="F1121" s="64">
        <v>3.2366666666666668</v>
      </c>
    </row>
    <row r="1122" spans="1:6" x14ac:dyDescent="0.25">
      <c r="A1122" s="47" t="s">
        <v>3895</v>
      </c>
      <c r="B1122" s="47" t="s">
        <v>3896</v>
      </c>
      <c r="C1122" s="47" t="s">
        <v>3897</v>
      </c>
      <c r="D1122" s="47"/>
      <c r="E1122" s="64">
        <v>45381.47</v>
      </c>
      <c r="F1122" s="64">
        <v>22</v>
      </c>
    </row>
    <row r="1123" spans="1:6" x14ac:dyDescent="0.25">
      <c r="A1123" s="47" t="s">
        <v>3898</v>
      </c>
      <c r="B1123" s="47" t="s">
        <v>2991</v>
      </c>
      <c r="C1123" s="47" t="s">
        <v>3899</v>
      </c>
      <c r="D1123" s="47" t="s">
        <v>2993</v>
      </c>
      <c r="E1123" s="64">
        <v>81178.789999999994</v>
      </c>
      <c r="F1123" s="64">
        <v>18.3185</v>
      </c>
    </row>
    <row r="1124" spans="1:6" x14ac:dyDescent="0.25">
      <c r="A1124" s="47" t="s">
        <v>3900</v>
      </c>
      <c r="B1124" s="47" t="s">
        <v>3901</v>
      </c>
      <c r="C1124" s="47" t="s">
        <v>3902</v>
      </c>
      <c r="D1124" s="47"/>
      <c r="E1124" s="64">
        <v>49074.31</v>
      </c>
      <c r="F1124" s="64">
        <v>22</v>
      </c>
    </row>
    <row r="1125" spans="1:6" x14ac:dyDescent="0.25">
      <c r="A1125" s="47" t="s">
        <v>3903</v>
      </c>
      <c r="B1125" s="47" t="s">
        <v>3904</v>
      </c>
      <c r="C1125" s="47" t="s">
        <v>3905</v>
      </c>
      <c r="D1125" s="47"/>
      <c r="E1125" s="64">
        <v>39959.482499999998</v>
      </c>
      <c r="F1125" s="64">
        <v>100000000</v>
      </c>
    </row>
    <row r="1126" spans="1:6" x14ac:dyDescent="0.25">
      <c r="A1126" s="47" t="s">
        <v>3906</v>
      </c>
      <c r="B1126" s="47" t="s">
        <v>3907</v>
      </c>
      <c r="C1126" s="47" t="s">
        <v>3908</v>
      </c>
      <c r="D1126" s="47" t="s">
        <v>3318</v>
      </c>
      <c r="E1126" s="64">
        <v>33566.570000000007</v>
      </c>
      <c r="F1126" s="64">
        <v>160</v>
      </c>
    </row>
    <row r="1127" spans="1:6" x14ac:dyDescent="0.25">
      <c r="A1127" s="47" t="s">
        <v>3909</v>
      </c>
      <c r="B1127" s="47" t="s">
        <v>3910</v>
      </c>
      <c r="C1127" s="47" t="s">
        <v>3911</v>
      </c>
      <c r="D1127" s="47" t="s">
        <v>3318</v>
      </c>
      <c r="E1127" s="64">
        <v>33566.570000000007</v>
      </c>
      <c r="F1127" s="64">
        <v>160</v>
      </c>
    </row>
    <row r="1128" spans="1:6" x14ac:dyDescent="0.25">
      <c r="A1128" s="47" t="s">
        <v>3912</v>
      </c>
      <c r="B1128" s="47" t="s">
        <v>3913</v>
      </c>
      <c r="C1128" s="47" t="s">
        <v>3914</v>
      </c>
      <c r="D1128" s="47" t="s">
        <v>3318</v>
      </c>
      <c r="E1128" s="64">
        <v>21039.15</v>
      </c>
      <c r="F1128" s="64">
        <v>160</v>
      </c>
    </row>
    <row r="1129" spans="1:6" x14ac:dyDescent="0.25">
      <c r="A1129" s="47" t="s">
        <v>3915</v>
      </c>
      <c r="B1129" s="47" t="s">
        <v>3916</v>
      </c>
      <c r="C1129" s="47" t="s">
        <v>3917</v>
      </c>
      <c r="D1129" s="47" t="s">
        <v>3918</v>
      </c>
      <c r="E1129" s="64">
        <v>39357.79</v>
      </c>
      <c r="F1129" s="64">
        <v>11.75</v>
      </c>
    </row>
    <row r="1130" spans="1:6" x14ac:dyDescent="0.25">
      <c r="A1130" s="47" t="s">
        <v>3919</v>
      </c>
      <c r="B1130" s="47" t="s">
        <v>3920</v>
      </c>
      <c r="C1130" s="47" t="s">
        <v>3921</v>
      </c>
      <c r="D1130" s="47" t="s">
        <v>3639</v>
      </c>
      <c r="E1130" s="64">
        <v>125697.59000000001</v>
      </c>
      <c r="F1130" s="64">
        <v>9.7333333333333327E-2</v>
      </c>
    </row>
    <row r="1131" spans="1:6" x14ac:dyDescent="0.25">
      <c r="A1131" s="47" t="s">
        <v>3922</v>
      </c>
      <c r="B1131" s="47" t="s">
        <v>3923</v>
      </c>
      <c r="C1131" s="47" t="s">
        <v>3924</v>
      </c>
      <c r="D1131" s="47"/>
      <c r="E1131" s="64">
        <v>50309.020000000004</v>
      </c>
      <c r="F1131" s="64">
        <v>22</v>
      </c>
    </row>
    <row r="1132" spans="1:6" x14ac:dyDescent="0.25">
      <c r="A1132" s="47" t="s">
        <v>3925</v>
      </c>
      <c r="B1132" s="47" t="s">
        <v>3926</v>
      </c>
      <c r="C1132" s="47" t="s">
        <v>3927</v>
      </c>
      <c r="D1132" s="47"/>
      <c r="E1132" s="64">
        <v>59195.62</v>
      </c>
      <c r="F1132" s="64">
        <v>22</v>
      </c>
    </row>
    <row r="1133" spans="1:6" x14ac:dyDescent="0.25">
      <c r="A1133" s="47" t="s">
        <v>3928</v>
      </c>
      <c r="B1133" s="47" t="s">
        <v>3929</v>
      </c>
      <c r="C1133" s="47" t="s">
        <v>3930</v>
      </c>
      <c r="D1133" s="47"/>
      <c r="E1133" s="64">
        <v>29779.22</v>
      </c>
      <c r="F1133" s="64">
        <v>22</v>
      </c>
    </row>
    <row r="1134" spans="1:6" x14ac:dyDescent="0.25">
      <c r="A1134" s="47" t="s">
        <v>3931</v>
      </c>
      <c r="B1134" s="47" t="s">
        <v>3932</v>
      </c>
      <c r="C1134" s="47" t="s">
        <v>3933</v>
      </c>
      <c r="D1134" s="47"/>
      <c r="E1134" s="64">
        <v>23702.22</v>
      </c>
      <c r="F1134" s="64">
        <v>100000000</v>
      </c>
    </row>
    <row r="1135" spans="1:6" x14ac:dyDescent="0.25">
      <c r="A1135" s="47" t="s">
        <v>3934</v>
      </c>
      <c r="B1135" s="47" t="s">
        <v>3935</v>
      </c>
      <c r="C1135" s="47" t="s">
        <v>3936</v>
      </c>
      <c r="D1135" s="47"/>
      <c r="E1135" s="64">
        <v>41549.749999999993</v>
      </c>
      <c r="F1135" s="64">
        <v>22</v>
      </c>
    </row>
    <row r="1136" spans="1:6" x14ac:dyDescent="0.25">
      <c r="A1136" s="47" t="s">
        <v>3937</v>
      </c>
      <c r="B1136" s="47" t="s">
        <v>3938</v>
      </c>
      <c r="C1136" s="47" t="s">
        <v>3939</v>
      </c>
      <c r="D1136" s="47" t="s">
        <v>2428</v>
      </c>
      <c r="E1136" s="64">
        <v>108598.34000000001</v>
      </c>
      <c r="F1136" s="64">
        <v>95.19583333333334</v>
      </c>
    </row>
    <row r="1137" spans="1:6" x14ac:dyDescent="0.25">
      <c r="A1137" s="47" t="s">
        <v>3940</v>
      </c>
      <c r="B1137" s="47" t="s">
        <v>3941</v>
      </c>
      <c r="C1137" s="47" t="s">
        <v>3942</v>
      </c>
      <c r="D1137" s="47"/>
      <c r="E1137" s="64">
        <v>49688.929999999993</v>
      </c>
      <c r="F1137" s="64">
        <v>22</v>
      </c>
    </row>
    <row r="1138" spans="1:6" x14ac:dyDescent="0.25">
      <c r="A1138" s="47" t="s">
        <v>3943</v>
      </c>
      <c r="B1138" s="47" t="s">
        <v>3944</v>
      </c>
      <c r="C1138" s="47" t="s">
        <v>3945</v>
      </c>
      <c r="D1138" s="47" t="s">
        <v>3328</v>
      </c>
      <c r="E1138" s="64">
        <v>21998.239999999998</v>
      </c>
      <c r="F1138" s="64">
        <v>0.03</v>
      </c>
    </row>
    <row r="1139" spans="1:6" x14ac:dyDescent="0.25">
      <c r="A1139" s="47" t="s">
        <v>3946</v>
      </c>
      <c r="B1139" s="47" t="s">
        <v>3947</v>
      </c>
      <c r="C1139" s="47" t="s">
        <v>3948</v>
      </c>
      <c r="D1139" s="47" t="s">
        <v>2428</v>
      </c>
      <c r="E1139" s="64">
        <v>108106.61</v>
      </c>
      <c r="F1139" s="64">
        <v>95.19583333333334</v>
      </c>
    </row>
    <row r="1140" spans="1:6" x14ac:dyDescent="0.25">
      <c r="A1140" s="47" t="s">
        <v>3949</v>
      </c>
      <c r="B1140" s="47" t="s">
        <v>3950</v>
      </c>
      <c r="C1140" s="47" t="s">
        <v>3951</v>
      </c>
      <c r="D1140" s="47"/>
      <c r="E1140" s="64">
        <v>39959.482499999998</v>
      </c>
      <c r="F1140" s="64">
        <v>100000000</v>
      </c>
    </row>
    <row r="1141" spans="1:6" x14ac:dyDescent="0.25">
      <c r="A1141" s="47" t="s">
        <v>3952</v>
      </c>
      <c r="B1141" s="47" t="s">
        <v>3953</v>
      </c>
      <c r="C1141" s="47" t="s">
        <v>3954</v>
      </c>
      <c r="D1141" s="47" t="s">
        <v>358</v>
      </c>
      <c r="E1141" s="64">
        <v>37977.269999999997</v>
      </c>
      <c r="F1141" s="64">
        <v>38.1</v>
      </c>
    </row>
    <row r="1142" spans="1:6" x14ac:dyDescent="0.25">
      <c r="A1142" s="47" t="s">
        <v>3955</v>
      </c>
      <c r="B1142" s="47" t="s">
        <v>3956</v>
      </c>
      <c r="C1142" s="47" t="s">
        <v>3957</v>
      </c>
      <c r="D1142" s="47" t="s">
        <v>798</v>
      </c>
      <c r="E1142" s="64">
        <v>43462.375</v>
      </c>
      <c r="F1142" s="64">
        <v>0.24</v>
      </c>
    </row>
    <row r="1143" spans="1:6" x14ac:dyDescent="0.25">
      <c r="A1143" s="47" t="s">
        <v>3958</v>
      </c>
      <c r="B1143" s="47" t="s">
        <v>3959</v>
      </c>
      <c r="C1143" s="47" t="s">
        <v>3960</v>
      </c>
      <c r="D1143" s="47" t="s">
        <v>3961</v>
      </c>
      <c r="E1143" s="64">
        <v>42516.950000000004</v>
      </c>
      <c r="F1143" s="64">
        <v>3.46</v>
      </c>
    </row>
    <row r="1144" spans="1:6" x14ac:dyDescent="0.25">
      <c r="A1144" s="47" t="s">
        <v>3962</v>
      </c>
      <c r="B1144" s="47" t="s">
        <v>3963</v>
      </c>
      <c r="C1144" s="47" t="s">
        <v>3964</v>
      </c>
      <c r="D1144" s="47"/>
      <c r="E1144" s="64">
        <v>39959.482499999998</v>
      </c>
      <c r="F1144" s="64">
        <v>100000000</v>
      </c>
    </row>
    <row r="1145" spans="1:6" x14ac:dyDescent="0.25">
      <c r="A1145" s="47" t="s">
        <v>3965</v>
      </c>
      <c r="B1145" s="47" t="s">
        <v>3966</v>
      </c>
      <c r="C1145" s="47" t="s">
        <v>3967</v>
      </c>
      <c r="D1145" s="47" t="s">
        <v>3968</v>
      </c>
      <c r="E1145" s="64">
        <v>60133.549999999988</v>
      </c>
      <c r="F1145" s="64">
        <v>9.84</v>
      </c>
    </row>
    <row r="1146" spans="1:6" x14ac:dyDescent="0.25">
      <c r="A1146" s="47" t="s">
        <v>3969</v>
      </c>
      <c r="B1146" s="47" t="s">
        <v>3970</v>
      </c>
      <c r="C1146" s="47" t="s">
        <v>3971</v>
      </c>
      <c r="D1146" s="47" t="s">
        <v>3968</v>
      </c>
      <c r="E1146" s="64">
        <v>56568.079999999987</v>
      </c>
      <c r="F1146" s="64">
        <v>5.93</v>
      </c>
    </row>
    <row r="1147" spans="1:6" x14ac:dyDescent="0.25">
      <c r="A1147" s="47" t="s">
        <v>3972</v>
      </c>
      <c r="B1147" s="47" t="s">
        <v>3973</v>
      </c>
      <c r="C1147" s="47" t="s">
        <v>3974</v>
      </c>
      <c r="D1147" s="47" t="s">
        <v>3975</v>
      </c>
      <c r="E1147" s="64">
        <v>60133.549999999988</v>
      </c>
      <c r="F1147" s="64">
        <v>16.823333333333334</v>
      </c>
    </row>
    <row r="1148" spans="1:6" x14ac:dyDescent="0.25">
      <c r="A1148" s="47" t="s">
        <v>3976</v>
      </c>
      <c r="B1148" s="47" t="s">
        <v>3977</v>
      </c>
      <c r="C1148" s="47" t="s">
        <v>3978</v>
      </c>
      <c r="D1148" s="47" t="s">
        <v>3975</v>
      </c>
      <c r="E1148" s="64">
        <v>60133.549999999988</v>
      </c>
      <c r="F1148" s="64">
        <v>16.823333333333334</v>
      </c>
    </row>
    <row r="1149" spans="1:6" x14ac:dyDescent="0.25">
      <c r="A1149" s="47" t="s">
        <v>3979</v>
      </c>
      <c r="B1149" s="47" t="s">
        <v>3980</v>
      </c>
      <c r="C1149" s="47" t="s">
        <v>3981</v>
      </c>
      <c r="D1149" s="47" t="s">
        <v>3463</v>
      </c>
      <c r="E1149" s="64">
        <v>70829.960000000006</v>
      </c>
      <c r="F1149" s="64">
        <v>7.63</v>
      </c>
    </row>
    <row r="1150" spans="1:6" x14ac:dyDescent="0.25">
      <c r="A1150" s="47" t="s">
        <v>3982</v>
      </c>
      <c r="B1150" s="47" t="s">
        <v>3983</v>
      </c>
      <c r="C1150" s="47" t="s">
        <v>3984</v>
      </c>
      <c r="D1150" s="47" t="s">
        <v>3985</v>
      </c>
      <c r="E1150" s="64">
        <v>99753.860000000015</v>
      </c>
      <c r="F1150" s="64">
        <v>3204</v>
      </c>
    </row>
    <row r="1151" spans="1:6" x14ac:dyDescent="0.25">
      <c r="A1151" s="47" t="s">
        <v>3986</v>
      </c>
      <c r="B1151" s="47" t="s">
        <v>3987</v>
      </c>
      <c r="C1151" s="47" t="s">
        <v>3988</v>
      </c>
      <c r="D1151" s="47"/>
      <c r="E1151" s="64">
        <v>46891.17</v>
      </c>
      <c r="F1151" s="64">
        <v>22</v>
      </c>
    </row>
    <row r="1152" spans="1:6" x14ac:dyDescent="0.25">
      <c r="A1152" s="47" t="s">
        <v>3989</v>
      </c>
      <c r="B1152" s="47" t="s">
        <v>3990</v>
      </c>
      <c r="C1152" s="47" t="s">
        <v>3991</v>
      </c>
      <c r="D1152" s="47"/>
      <c r="E1152" s="64">
        <v>46389.337500000009</v>
      </c>
      <c r="F1152" s="64">
        <v>22</v>
      </c>
    </row>
    <row r="1153" spans="1:6" x14ac:dyDescent="0.25">
      <c r="A1153" s="47" t="s">
        <v>3992</v>
      </c>
      <c r="B1153" s="47" t="s">
        <v>3993</v>
      </c>
      <c r="C1153" s="47" t="s">
        <v>3994</v>
      </c>
      <c r="D1153" s="47" t="s">
        <v>2375</v>
      </c>
      <c r="E1153" s="64">
        <v>151765.04666666666</v>
      </c>
      <c r="F1153" s="64">
        <v>73.8</v>
      </c>
    </row>
    <row r="1154" spans="1:6" x14ac:dyDescent="0.25">
      <c r="A1154" s="47" t="s">
        <v>3995</v>
      </c>
      <c r="B1154" s="47" t="s">
        <v>3996</v>
      </c>
      <c r="C1154" s="47" t="s">
        <v>3997</v>
      </c>
      <c r="D1154" s="47"/>
      <c r="E1154" s="64">
        <v>49074.31</v>
      </c>
      <c r="F1154" s="64">
        <v>22</v>
      </c>
    </row>
    <row r="1155" spans="1:6" x14ac:dyDescent="0.25">
      <c r="A1155" s="47" t="s">
        <v>3998</v>
      </c>
      <c r="B1155" s="47" t="s">
        <v>3999</v>
      </c>
      <c r="C1155" s="47" t="s">
        <v>4000</v>
      </c>
      <c r="D1155" s="47"/>
      <c r="E1155" s="64">
        <v>50981.17</v>
      </c>
      <c r="F1155" s="64">
        <v>22</v>
      </c>
    </row>
    <row r="1156" spans="1:6" x14ac:dyDescent="0.25">
      <c r="A1156" s="47" t="s">
        <v>4001</v>
      </c>
      <c r="B1156" s="47" t="s">
        <v>4002</v>
      </c>
      <c r="C1156" s="47" t="s">
        <v>4003</v>
      </c>
      <c r="D1156" s="47"/>
      <c r="E1156" s="64">
        <v>40279.79</v>
      </c>
      <c r="F1156" s="64">
        <v>22</v>
      </c>
    </row>
    <row r="1157" spans="1:6" x14ac:dyDescent="0.25">
      <c r="A1157" s="47" t="s">
        <v>4004</v>
      </c>
      <c r="B1157" s="47" t="s">
        <v>4005</v>
      </c>
      <c r="C1157" s="47" t="s">
        <v>4006</v>
      </c>
      <c r="D1157" s="47" t="s">
        <v>2268</v>
      </c>
      <c r="E1157" s="64">
        <v>140676.22999999998</v>
      </c>
      <c r="F1157" s="64">
        <v>3204</v>
      </c>
    </row>
    <row r="1158" spans="1:6" x14ac:dyDescent="0.25">
      <c r="A1158" s="47" t="s">
        <v>4007</v>
      </c>
      <c r="B1158" s="47" t="s">
        <v>4008</v>
      </c>
      <c r="C1158" s="47" t="s">
        <v>4009</v>
      </c>
      <c r="D1158" s="47" t="s">
        <v>4010</v>
      </c>
      <c r="E1158" s="64">
        <v>39359.020000000004</v>
      </c>
      <c r="F1158" s="64">
        <v>426</v>
      </c>
    </row>
    <row r="1159" spans="1:6" x14ac:dyDescent="0.25">
      <c r="A1159" s="47" t="s">
        <v>4011</v>
      </c>
      <c r="B1159" s="47" t="s">
        <v>4012</v>
      </c>
      <c r="C1159" s="47" t="s">
        <v>4013</v>
      </c>
      <c r="D1159" s="47" t="s">
        <v>4014</v>
      </c>
      <c r="E1159" s="64">
        <v>29891.189999999995</v>
      </c>
      <c r="F1159" s="64">
        <v>1.1000000000000001</v>
      </c>
    </row>
    <row r="1160" spans="1:6" x14ac:dyDescent="0.25">
      <c r="A1160" s="47" t="s">
        <v>4015</v>
      </c>
      <c r="B1160" s="47" t="s">
        <v>4016</v>
      </c>
      <c r="C1160" s="47" t="s">
        <v>4017</v>
      </c>
      <c r="D1160" s="47" t="s">
        <v>4018</v>
      </c>
      <c r="E1160" s="64">
        <v>29005.140000000003</v>
      </c>
      <c r="F1160" s="64">
        <v>5.2468399999999998E-2</v>
      </c>
    </row>
    <row r="1161" spans="1:6" x14ac:dyDescent="0.25">
      <c r="A1161" s="47" t="s">
        <v>4019</v>
      </c>
      <c r="B1161" s="47" t="s">
        <v>4020</v>
      </c>
      <c r="C1161" s="47" t="s">
        <v>4021</v>
      </c>
      <c r="D1161" s="47"/>
      <c r="E1161" s="64">
        <v>39959.482499999998</v>
      </c>
      <c r="F1161" s="64">
        <v>100000000</v>
      </c>
    </row>
    <row r="1162" spans="1:6" x14ac:dyDescent="0.25">
      <c r="A1162" s="47" t="s">
        <v>4022</v>
      </c>
      <c r="B1162" s="47" t="s">
        <v>4023</v>
      </c>
      <c r="C1162" s="47" t="s">
        <v>4024</v>
      </c>
      <c r="D1162" s="47" t="s">
        <v>4025</v>
      </c>
      <c r="E1162" s="64">
        <v>20273.010000000002</v>
      </c>
      <c r="F1162" s="64">
        <v>9.4</v>
      </c>
    </row>
    <row r="1163" spans="1:6" x14ac:dyDescent="0.25">
      <c r="A1163" s="47" t="s">
        <v>4026</v>
      </c>
      <c r="B1163" s="47" t="s">
        <v>4027</v>
      </c>
      <c r="C1163" s="47" t="s">
        <v>4028</v>
      </c>
      <c r="D1163" s="47" t="s">
        <v>4029</v>
      </c>
      <c r="E1163" s="64">
        <v>33850.860000000008</v>
      </c>
      <c r="F1163" s="64">
        <v>0.25</v>
      </c>
    </row>
    <row r="1164" spans="1:6" x14ac:dyDescent="0.25">
      <c r="A1164" s="47" t="s">
        <v>4030</v>
      </c>
      <c r="B1164" s="47" t="s">
        <v>4031</v>
      </c>
      <c r="C1164" s="47" t="s">
        <v>4032</v>
      </c>
      <c r="D1164" s="47" t="s">
        <v>4033</v>
      </c>
      <c r="E1164" s="64">
        <v>54067.499999999993</v>
      </c>
      <c r="F1164" s="64">
        <v>14.804833333333335</v>
      </c>
    </row>
    <row r="1165" spans="1:6" x14ac:dyDescent="0.25">
      <c r="A1165" s="47" t="s">
        <v>4034</v>
      </c>
      <c r="B1165" s="47" t="s">
        <v>4035</v>
      </c>
      <c r="C1165" s="47" t="s">
        <v>4036</v>
      </c>
      <c r="D1165" s="47" t="s">
        <v>4037</v>
      </c>
      <c r="E1165" s="64">
        <v>389303.79000000004</v>
      </c>
      <c r="F1165" s="64">
        <v>112.5575</v>
      </c>
    </row>
    <row r="1166" spans="1:6" x14ac:dyDescent="0.25">
      <c r="A1166" s="47" t="s">
        <v>4038</v>
      </c>
      <c r="B1166" s="47" t="s">
        <v>4039</v>
      </c>
      <c r="C1166" s="47" t="s">
        <v>4040</v>
      </c>
      <c r="D1166" s="47" t="s">
        <v>4041</v>
      </c>
      <c r="E1166" s="64">
        <v>25736.55</v>
      </c>
      <c r="F1166" s="64">
        <v>51.25</v>
      </c>
    </row>
    <row r="1167" spans="1:6" x14ac:dyDescent="0.25">
      <c r="A1167" s="47" t="s">
        <v>4042</v>
      </c>
      <c r="B1167" s="47" t="s">
        <v>4043</v>
      </c>
      <c r="C1167" s="47" t="s">
        <v>4044</v>
      </c>
      <c r="D1167" s="47" t="s">
        <v>4045</v>
      </c>
      <c r="E1167" s="64">
        <v>131933.76500000001</v>
      </c>
      <c r="F1167" s="64">
        <v>37.299999999999997</v>
      </c>
    </row>
    <row r="1168" spans="1:6" x14ac:dyDescent="0.25">
      <c r="A1168" s="47" t="s">
        <v>4046</v>
      </c>
      <c r="B1168" s="47" t="s">
        <v>4047</v>
      </c>
      <c r="C1168" s="47" t="s">
        <v>4048</v>
      </c>
      <c r="D1168" s="47" t="s">
        <v>3118</v>
      </c>
      <c r="E1168" s="64">
        <v>76837.899999999994</v>
      </c>
      <c r="F1168" s="64">
        <v>300</v>
      </c>
    </row>
    <row r="1169" spans="1:6" x14ac:dyDescent="0.25">
      <c r="A1169" s="47" t="s">
        <v>4049</v>
      </c>
      <c r="B1169" s="47" t="s">
        <v>4050</v>
      </c>
      <c r="C1169" s="47" t="s">
        <v>4051</v>
      </c>
      <c r="D1169" s="47" t="s">
        <v>1015</v>
      </c>
      <c r="E1169" s="64">
        <v>35368.444999999992</v>
      </c>
      <c r="F1169" s="64">
        <v>24.55</v>
      </c>
    </row>
    <row r="1170" spans="1:6" x14ac:dyDescent="0.25">
      <c r="A1170" s="47" t="s">
        <v>4052</v>
      </c>
      <c r="B1170" s="47" t="s">
        <v>4053</v>
      </c>
      <c r="C1170" s="47" t="s">
        <v>4054</v>
      </c>
      <c r="D1170" s="47" t="s">
        <v>4055</v>
      </c>
      <c r="E1170" s="64">
        <v>80922.685000000012</v>
      </c>
      <c r="F1170" s="64">
        <v>30</v>
      </c>
    </row>
    <row r="1171" spans="1:6" x14ac:dyDescent="0.25">
      <c r="A1171" s="47" t="s">
        <v>4056</v>
      </c>
      <c r="B1171" s="47" t="s">
        <v>4057</v>
      </c>
      <c r="C1171" s="47" t="s">
        <v>4058</v>
      </c>
      <c r="D1171" s="47" t="s">
        <v>4059</v>
      </c>
      <c r="E1171" s="64">
        <v>47605.88</v>
      </c>
      <c r="F1171" s="64">
        <v>0.74</v>
      </c>
    </row>
    <row r="1172" spans="1:6" x14ac:dyDescent="0.25">
      <c r="A1172" s="47" t="s">
        <v>4060</v>
      </c>
      <c r="B1172" s="47" t="s">
        <v>4061</v>
      </c>
      <c r="C1172" s="47" t="s">
        <v>4062</v>
      </c>
      <c r="D1172" s="47"/>
      <c r="E1172" s="64">
        <v>29779.22</v>
      </c>
      <c r="F1172" s="64">
        <v>100000000</v>
      </c>
    </row>
    <row r="1173" spans="1:6" x14ac:dyDescent="0.25">
      <c r="A1173" s="47" t="s">
        <v>4063</v>
      </c>
      <c r="B1173" s="47" t="s">
        <v>4064</v>
      </c>
      <c r="C1173" s="47" t="s">
        <v>4065</v>
      </c>
      <c r="D1173" s="47"/>
      <c r="E1173" s="64">
        <v>49910.073333333341</v>
      </c>
      <c r="F1173" s="64">
        <v>22</v>
      </c>
    </row>
    <row r="1174" spans="1:6" x14ac:dyDescent="0.25">
      <c r="A1174" s="47" t="s">
        <v>4066</v>
      </c>
      <c r="B1174" s="47" t="s">
        <v>4067</v>
      </c>
      <c r="C1174" s="47" t="s">
        <v>4068</v>
      </c>
      <c r="D1174" s="47" t="s">
        <v>4069</v>
      </c>
      <c r="E1174" s="64">
        <v>152677.46000000002</v>
      </c>
      <c r="F1174" s="64">
        <v>95.19583333333334</v>
      </c>
    </row>
    <row r="1175" spans="1:6" x14ac:dyDescent="0.25">
      <c r="A1175" s="47" t="s">
        <v>4070</v>
      </c>
      <c r="B1175" s="47" t="s">
        <v>4071</v>
      </c>
      <c r="C1175" s="47" t="s">
        <v>4072</v>
      </c>
      <c r="D1175" s="47"/>
      <c r="E1175" s="64">
        <v>41591.730000000003</v>
      </c>
      <c r="F1175" s="64">
        <v>22</v>
      </c>
    </row>
    <row r="1176" spans="1:6" x14ac:dyDescent="0.25">
      <c r="A1176" s="47" t="s">
        <v>4073</v>
      </c>
      <c r="B1176" s="47" t="s">
        <v>4074</v>
      </c>
      <c r="C1176" s="47" t="s">
        <v>4075</v>
      </c>
      <c r="D1176" s="47"/>
      <c r="E1176" s="64">
        <v>46493.590000000004</v>
      </c>
      <c r="F1176" s="64">
        <v>22</v>
      </c>
    </row>
    <row r="1177" spans="1:6" x14ac:dyDescent="0.25">
      <c r="A1177" s="47" t="s">
        <v>4076</v>
      </c>
      <c r="B1177" s="47" t="s">
        <v>4077</v>
      </c>
      <c r="C1177" s="47" t="s">
        <v>4078</v>
      </c>
      <c r="D1177" s="47" t="s">
        <v>3649</v>
      </c>
      <c r="E1177" s="64">
        <v>142184.80500000002</v>
      </c>
      <c r="F1177" s="64">
        <v>95.19583333333334</v>
      </c>
    </row>
    <row r="1178" spans="1:6" x14ac:dyDescent="0.25">
      <c r="A1178" s="47" t="s">
        <v>4079</v>
      </c>
      <c r="B1178" s="47" t="s">
        <v>4080</v>
      </c>
      <c r="C1178" s="47" t="s">
        <v>4081</v>
      </c>
      <c r="D1178" s="47"/>
      <c r="E1178" s="64">
        <v>39959.482499999998</v>
      </c>
      <c r="F1178" s="64">
        <v>100000000</v>
      </c>
    </row>
    <row r="1179" spans="1:6" x14ac:dyDescent="0.25">
      <c r="A1179" s="47" t="s">
        <v>4082</v>
      </c>
      <c r="B1179" s="47" t="s">
        <v>4083</v>
      </c>
      <c r="C1179" s="47" t="s">
        <v>4084</v>
      </c>
      <c r="D1179" s="47" t="s">
        <v>3672</v>
      </c>
      <c r="E1179" s="64">
        <v>23858.32</v>
      </c>
      <c r="F1179" s="64">
        <v>4.59</v>
      </c>
    </row>
    <row r="1180" spans="1:6" x14ac:dyDescent="0.25">
      <c r="A1180" s="47" t="s">
        <v>4085</v>
      </c>
      <c r="B1180" s="47" t="s">
        <v>4086</v>
      </c>
      <c r="C1180" s="47" t="s">
        <v>4087</v>
      </c>
      <c r="D1180" s="47"/>
      <c r="E1180" s="64">
        <v>0</v>
      </c>
      <c r="F1180" s="64">
        <v>22</v>
      </c>
    </row>
    <row r="1181" spans="1:6" x14ac:dyDescent="0.25">
      <c r="A1181" s="47" t="s">
        <v>4088</v>
      </c>
      <c r="B1181" s="47" t="s">
        <v>3694</v>
      </c>
      <c r="C1181" s="47" t="s">
        <v>4089</v>
      </c>
      <c r="D1181" s="47" t="s">
        <v>805</v>
      </c>
      <c r="E1181" s="64">
        <v>23287.273333333331</v>
      </c>
      <c r="F1181" s="64">
        <v>0.23</v>
      </c>
    </row>
    <row r="1182" spans="1:6" x14ac:dyDescent="0.25">
      <c r="A1182" s="47" t="s">
        <v>4090</v>
      </c>
      <c r="B1182" s="47" t="s">
        <v>4091</v>
      </c>
      <c r="C1182" s="47" t="s">
        <v>4092</v>
      </c>
      <c r="D1182" s="47" t="s">
        <v>4093</v>
      </c>
      <c r="E1182" s="64">
        <v>28433.54</v>
      </c>
      <c r="F1182" s="64">
        <v>780</v>
      </c>
    </row>
    <row r="1183" spans="1:6" x14ac:dyDescent="0.25">
      <c r="A1183" s="47" t="s">
        <v>4094</v>
      </c>
      <c r="B1183" s="47" t="s">
        <v>4095</v>
      </c>
      <c r="C1183" s="47" t="s">
        <v>4096</v>
      </c>
      <c r="D1183" s="47"/>
      <c r="E1183" s="64">
        <v>33587.89</v>
      </c>
      <c r="F1183" s="64">
        <v>100000000</v>
      </c>
    </row>
    <row r="1184" spans="1:6" x14ac:dyDescent="0.25">
      <c r="A1184" s="47" t="s">
        <v>4097</v>
      </c>
      <c r="B1184" s="47" t="s">
        <v>4098</v>
      </c>
      <c r="C1184" s="47" t="s">
        <v>4099</v>
      </c>
      <c r="D1184" s="47"/>
      <c r="E1184" s="64">
        <v>39959.482499999998</v>
      </c>
      <c r="F1184" s="64">
        <v>100000000</v>
      </c>
    </row>
    <row r="1185" spans="1:6" x14ac:dyDescent="0.25">
      <c r="A1185" s="47" t="s">
        <v>4100</v>
      </c>
      <c r="B1185" s="47" t="s">
        <v>4101</v>
      </c>
      <c r="C1185" s="47" t="s">
        <v>4102</v>
      </c>
      <c r="D1185" s="47"/>
      <c r="E1185" s="64">
        <v>39959.482499999998</v>
      </c>
      <c r="F1185" s="64">
        <v>100000000</v>
      </c>
    </row>
    <row r="1186" spans="1:6" x14ac:dyDescent="0.25">
      <c r="A1186" s="47" t="s">
        <v>4103</v>
      </c>
      <c r="B1186" s="47" t="s">
        <v>4104</v>
      </c>
      <c r="C1186" s="47" t="s">
        <v>4105</v>
      </c>
      <c r="D1186" s="47" t="s">
        <v>3473</v>
      </c>
      <c r="E1186" s="64">
        <v>40900.75</v>
      </c>
      <c r="F1186" s="64">
        <v>18.899999999999999</v>
      </c>
    </row>
    <row r="1187" spans="1:6" x14ac:dyDescent="0.25">
      <c r="A1187" s="47" t="s">
        <v>4106</v>
      </c>
      <c r="B1187" s="47" t="s">
        <v>4107</v>
      </c>
      <c r="C1187" s="47" t="s">
        <v>4108</v>
      </c>
      <c r="D1187" s="47" t="s">
        <v>3318</v>
      </c>
      <c r="E1187" s="64">
        <v>21039.15</v>
      </c>
      <c r="F1187" s="64">
        <v>160</v>
      </c>
    </row>
    <row r="1188" spans="1:6" x14ac:dyDescent="0.25">
      <c r="A1188" s="47" t="s">
        <v>4109</v>
      </c>
      <c r="B1188" s="47" t="s">
        <v>4110</v>
      </c>
      <c r="C1188" s="47" t="s">
        <v>4111</v>
      </c>
      <c r="D1188" s="47" t="s">
        <v>4112</v>
      </c>
      <c r="E1188" s="64">
        <v>54869.73</v>
      </c>
      <c r="F1188" s="64">
        <v>2.3E-2</v>
      </c>
    </row>
    <row r="1189" spans="1:6" x14ac:dyDescent="0.25">
      <c r="A1189" s="47" t="s">
        <v>4113</v>
      </c>
      <c r="B1189" s="47" t="s">
        <v>4114</v>
      </c>
      <c r="C1189" s="47" t="s">
        <v>4115</v>
      </c>
      <c r="D1189" s="47" t="s">
        <v>521</v>
      </c>
      <c r="E1189" s="64">
        <v>142932.79499999998</v>
      </c>
      <c r="F1189" s="64">
        <v>8.1150000000000002</v>
      </c>
    </row>
    <row r="1190" spans="1:6" x14ac:dyDescent="0.25">
      <c r="A1190" s="47" t="s">
        <v>4116</v>
      </c>
      <c r="B1190" s="47" t="s">
        <v>4117</v>
      </c>
      <c r="C1190" s="47" t="s">
        <v>4118</v>
      </c>
      <c r="D1190" s="47" t="s">
        <v>4119</v>
      </c>
      <c r="E1190" s="64">
        <v>129759.62999999998</v>
      </c>
      <c r="F1190" s="64">
        <v>69</v>
      </c>
    </row>
    <row r="1191" spans="1:6" x14ac:dyDescent="0.25">
      <c r="A1191" s="47" t="s">
        <v>4120</v>
      </c>
      <c r="B1191" s="47" t="s">
        <v>4121</v>
      </c>
      <c r="C1191" s="47" t="s">
        <v>4122</v>
      </c>
      <c r="D1191" s="47" t="s">
        <v>699</v>
      </c>
      <c r="E1191" s="64">
        <v>78330.794999999998</v>
      </c>
      <c r="F1191" s="64">
        <v>229</v>
      </c>
    </row>
    <row r="1192" spans="1:6" x14ac:dyDescent="0.25">
      <c r="A1192" s="47" t="s">
        <v>4123</v>
      </c>
      <c r="B1192" s="47" t="s">
        <v>4124</v>
      </c>
      <c r="C1192" s="47" t="s">
        <v>4125</v>
      </c>
      <c r="D1192" s="47"/>
      <c r="E1192" s="64">
        <v>39959.482499999998</v>
      </c>
      <c r="F1192" s="64">
        <v>100000000</v>
      </c>
    </row>
    <row r="1193" spans="1:6" x14ac:dyDescent="0.25">
      <c r="A1193" s="47" t="s">
        <v>4126</v>
      </c>
      <c r="B1193" s="47" t="s">
        <v>4127</v>
      </c>
      <c r="C1193" s="47" t="s">
        <v>4128</v>
      </c>
      <c r="D1193" s="47"/>
      <c r="E1193" s="64">
        <v>35861.956666666665</v>
      </c>
      <c r="F1193" s="64">
        <v>100000000</v>
      </c>
    </row>
    <row r="1194" spans="1:6" x14ac:dyDescent="0.25">
      <c r="A1194" s="47" t="s">
        <v>4129</v>
      </c>
      <c r="B1194" s="47" t="s">
        <v>4130</v>
      </c>
      <c r="C1194" s="47" t="s">
        <v>4131</v>
      </c>
      <c r="D1194" s="47" t="s">
        <v>2364</v>
      </c>
      <c r="E1194" s="64">
        <v>132268.33000000002</v>
      </c>
      <c r="F1194" s="64">
        <v>95.19583333333334</v>
      </c>
    </row>
    <row r="1195" spans="1:6" x14ac:dyDescent="0.25">
      <c r="A1195" s="47" t="s">
        <v>4132</v>
      </c>
      <c r="B1195" s="47" t="s">
        <v>4133</v>
      </c>
      <c r="C1195" s="47" t="s">
        <v>4134</v>
      </c>
      <c r="D1195" s="47" t="s">
        <v>4135</v>
      </c>
      <c r="E1195" s="64">
        <v>36986.039999999994</v>
      </c>
      <c r="F1195" s="64">
        <v>1.6</v>
      </c>
    </row>
    <row r="1196" spans="1:6" x14ac:dyDescent="0.25">
      <c r="A1196" s="47" t="s">
        <v>4136</v>
      </c>
      <c r="B1196" s="47" t="s">
        <v>4137</v>
      </c>
      <c r="C1196" s="47" t="s">
        <v>4138</v>
      </c>
      <c r="D1196" s="47" t="s">
        <v>4139</v>
      </c>
      <c r="E1196" s="64">
        <v>40904.485000000001</v>
      </c>
      <c r="F1196" s="64">
        <v>3.55</v>
      </c>
    </row>
    <row r="1197" spans="1:6" x14ac:dyDescent="0.25">
      <c r="A1197" s="47" t="s">
        <v>4140</v>
      </c>
      <c r="B1197" s="47" t="s">
        <v>4141</v>
      </c>
      <c r="C1197" s="47" t="s">
        <v>4142</v>
      </c>
      <c r="D1197" s="47" t="s">
        <v>4143</v>
      </c>
      <c r="E1197" s="64">
        <v>45496.36</v>
      </c>
      <c r="F1197" s="64">
        <v>95.19583333333334</v>
      </c>
    </row>
    <row r="1198" spans="1:6" x14ac:dyDescent="0.25">
      <c r="A1198" s="47" t="s">
        <v>4144</v>
      </c>
      <c r="B1198" s="47" t="s">
        <v>4145</v>
      </c>
      <c r="C1198" s="47" t="s">
        <v>4146</v>
      </c>
      <c r="D1198" s="47"/>
      <c r="E1198" s="64">
        <v>39959.482499999998</v>
      </c>
      <c r="F1198" s="64">
        <v>100000000</v>
      </c>
    </row>
    <row r="1199" spans="1:6" x14ac:dyDescent="0.25">
      <c r="A1199" s="47" t="s">
        <v>4147</v>
      </c>
      <c r="B1199" s="47" t="s">
        <v>2779</v>
      </c>
      <c r="C1199" s="47" t="s">
        <v>4148</v>
      </c>
      <c r="D1199" s="47" t="s">
        <v>2781</v>
      </c>
      <c r="E1199" s="64">
        <v>80428.969999999987</v>
      </c>
      <c r="F1199" s="64">
        <v>23.6</v>
      </c>
    </row>
    <row r="1200" spans="1:6" x14ac:dyDescent="0.25">
      <c r="A1200" s="47" t="s">
        <v>4149</v>
      </c>
      <c r="B1200" s="47" t="s">
        <v>4150</v>
      </c>
      <c r="C1200" s="47" t="s">
        <v>4151</v>
      </c>
      <c r="D1200" s="47" t="s">
        <v>4152</v>
      </c>
      <c r="E1200" s="64">
        <v>50828.54</v>
      </c>
      <c r="F1200" s="64">
        <v>7.7</v>
      </c>
    </row>
    <row r="1201" spans="1:6" x14ac:dyDescent="0.25">
      <c r="A1201" s="47" t="s">
        <v>4153</v>
      </c>
      <c r="B1201" s="47" t="s">
        <v>4154</v>
      </c>
      <c r="C1201" s="47" t="s">
        <v>4155</v>
      </c>
      <c r="D1201" s="47" t="s">
        <v>4156</v>
      </c>
      <c r="E1201" s="64">
        <v>36414.825000000004</v>
      </c>
      <c r="F1201" s="64">
        <v>20</v>
      </c>
    </row>
    <row r="1202" spans="1:6" x14ac:dyDescent="0.25">
      <c r="A1202" s="47" t="s">
        <v>4157</v>
      </c>
      <c r="B1202" s="47" t="s">
        <v>4158</v>
      </c>
      <c r="C1202" s="47" t="s">
        <v>4159</v>
      </c>
      <c r="D1202" s="47" t="s">
        <v>4160</v>
      </c>
      <c r="E1202" s="64">
        <v>50087.82</v>
      </c>
      <c r="F1202" s="64">
        <v>138</v>
      </c>
    </row>
    <row r="1203" spans="1:6" x14ac:dyDescent="0.25">
      <c r="A1203" s="47" t="s">
        <v>4161</v>
      </c>
      <c r="B1203" s="47" t="s">
        <v>4162</v>
      </c>
      <c r="C1203" s="47" t="s">
        <v>4163</v>
      </c>
      <c r="D1203" s="47" t="s">
        <v>734</v>
      </c>
      <c r="E1203" s="64">
        <v>23585.280000000002</v>
      </c>
      <c r="F1203" s="64">
        <v>879</v>
      </c>
    </row>
    <row r="1204" spans="1:6" x14ac:dyDescent="0.25">
      <c r="A1204" s="47" t="s">
        <v>4164</v>
      </c>
      <c r="B1204" s="47" t="s">
        <v>4165</v>
      </c>
      <c r="C1204" s="47" t="s">
        <v>4166</v>
      </c>
      <c r="D1204" s="47" t="s">
        <v>4167</v>
      </c>
      <c r="E1204" s="64">
        <v>16262.605000000001</v>
      </c>
      <c r="F1204" s="64">
        <v>58.3</v>
      </c>
    </row>
    <row r="1205" spans="1:6" x14ac:dyDescent="0.25">
      <c r="A1205" s="47" t="s">
        <v>4168</v>
      </c>
      <c r="B1205" s="47" t="s">
        <v>4169</v>
      </c>
      <c r="C1205" s="47" t="s">
        <v>4170</v>
      </c>
      <c r="D1205" s="47" t="s">
        <v>408</v>
      </c>
      <c r="E1205" s="64">
        <v>39192.050000000003</v>
      </c>
      <c r="F1205" s="64">
        <v>449.17</v>
      </c>
    </row>
    <row r="1206" spans="1:6" x14ac:dyDescent="0.25">
      <c r="A1206" s="47" t="s">
        <v>4171</v>
      </c>
      <c r="B1206" s="47" t="s">
        <v>4172</v>
      </c>
      <c r="C1206" s="47" t="s">
        <v>4173</v>
      </c>
      <c r="D1206" s="47"/>
      <c r="E1206" s="64">
        <v>30776.9</v>
      </c>
      <c r="F1206" s="64">
        <v>22</v>
      </c>
    </row>
    <row r="1207" spans="1:6" x14ac:dyDescent="0.25">
      <c r="A1207" s="47" t="s">
        <v>4174</v>
      </c>
      <c r="B1207" s="47" t="s">
        <v>4175</v>
      </c>
      <c r="C1207" s="47" t="s">
        <v>4176</v>
      </c>
      <c r="D1207" s="47" t="s">
        <v>1830</v>
      </c>
      <c r="E1207" s="64">
        <v>24353.350000000002</v>
      </c>
      <c r="F1207" s="64">
        <v>4</v>
      </c>
    </row>
    <row r="1208" spans="1:6" x14ac:dyDescent="0.25">
      <c r="A1208" s="47" t="s">
        <v>4177</v>
      </c>
      <c r="B1208" s="47" t="s">
        <v>4178</v>
      </c>
      <c r="C1208" s="47" t="s">
        <v>4179</v>
      </c>
      <c r="D1208" s="47" t="s">
        <v>4180</v>
      </c>
      <c r="E1208" s="64">
        <v>43968.66</v>
      </c>
      <c r="F1208" s="64">
        <v>12.56</v>
      </c>
    </row>
    <row r="1209" spans="1:6" x14ac:dyDescent="0.25">
      <c r="A1209" s="47" t="s">
        <v>4181</v>
      </c>
      <c r="B1209" s="47" t="s">
        <v>4182</v>
      </c>
      <c r="C1209" s="47" t="s">
        <v>4183</v>
      </c>
      <c r="D1209" s="47" t="s">
        <v>4184</v>
      </c>
      <c r="E1209" s="64">
        <v>45712.479999999996</v>
      </c>
      <c r="F1209" s="64">
        <v>5.2</v>
      </c>
    </row>
    <row r="1210" spans="1:6" x14ac:dyDescent="0.25">
      <c r="A1210" s="47" t="s">
        <v>4185</v>
      </c>
      <c r="B1210" s="47" t="s">
        <v>4186</v>
      </c>
      <c r="C1210" s="47" t="s">
        <v>4187</v>
      </c>
      <c r="D1210" s="47"/>
      <c r="E1210" s="64">
        <v>39959.482499999998</v>
      </c>
      <c r="F1210" s="64">
        <v>100000000</v>
      </c>
    </row>
    <row r="1211" spans="1:6" x14ac:dyDescent="0.25">
      <c r="A1211" s="47" t="s">
        <v>4188</v>
      </c>
      <c r="B1211" s="47" t="s">
        <v>4189</v>
      </c>
      <c r="C1211" s="47" t="s">
        <v>4190</v>
      </c>
      <c r="D1211" s="47" t="s">
        <v>4191</v>
      </c>
      <c r="E1211" s="64">
        <v>45895.880000000005</v>
      </c>
      <c r="F1211" s="64">
        <v>0.158</v>
      </c>
    </row>
    <row r="1212" spans="1:6" x14ac:dyDescent="0.25">
      <c r="A1212" s="47" t="s">
        <v>4192</v>
      </c>
      <c r="B1212" s="47" t="s">
        <v>4193</v>
      </c>
      <c r="C1212" s="47" t="s">
        <v>4194</v>
      </c>
      <c r="D1212" s="47" t="s">
        <v>4195</v>
      </c>
      <c r="E1212" s="64">
        <v>36686.200000000004</v>
      </c>
      <c r="F1212" s="64">
        <v>0.25</v>
      </c>
    </row>
    <row r="1213" spans="1:6" x14ac:dyDescent="0.25">
      <c r="A1213" s="47" t="s">
        <v>4196</v>
      </c>
      <c r="B1213" s="47" t="s">
        <v>4197</v>
      </c>
      <c r="C1213" s="47" t="s">
        <v>4198</v>
      </c>
      <c r="D1213" s="47" t="s">
        <v>1209</v>
      </c>
      <c r="E1213" s="64">
        <v>28189.389999999996</v>
      </c>
      <c r="F1213" s="64">
        <v>368.48649999999998</v>
      </c>
    </row>
    <row r="1214" spans="1:6" x14ac:dyDescent="0.25">
      <c r="A1214" s="47" t="s">
        <v>4199</v>
      </c>
      <c r="B1214" s="47" t="s">
        <v>4200</v>
      </c>
      <c r="C1214" s="47" t="s">
        <v>4201</v>
      </c>
      <c r="D1214" s="47" t="s">
        <v>2331</v>
      </c>
      <c r="E1214" s="64">
        <v>143910.63</v>
      </c>
      <c r="F1214" s="64">
        <v>95.19583333333334</v>
      </c>
    </row>
    <row r="1215" spans="1:6" x14ac:dyDescent="0.25">
      <c r="A1215" s="47" t="s">
        <v>4202</v>
      </c>
      <c r="B1215" s="47" t="s">
        <v>4203</v>
      </c>
      <c r="C1215" s="47" t="s">
        <v>4204</v>
      </c>
      <c r="D1215" s="47"/>
      <c r="E1215" s="64">
        <v>59042.635000000009</v>
      </c>
      <c r="F1215" s="64">
        <v>22</v>
      </c>
    </row>
    <row r="1216" spans="1:6" x14ac:dyDescent="0.25">
      <c r="A1216" s="47" t="s">
        <v>4205</v>
      </c>
      <c r="B1216" s="47" t="s">
        <v>4206</v>
      </c>
      <c r="C1216" s="47" t="s">
        <v>4207</v>
      </c>
      <c r="D1216" s="47"/>
      <c r="E1216" s="64">
        <v>48866.79</v>
      </c>
      <c r="F1216" s="64">
        <v>22</v>
      </c>
    </row>
    <row r="1217" spans="1:6" x14ac:dyDescent="0.25">
      <c r="A1217" s="47" t="s">
        <v>4208</v>
      </c>
      <c r="B1217" s="47" t="s">
        <v>4209</v>
      </c>
      <c r="C1217" s="47" t="s">
        <v>4210</v>
      </c>
      <c r="D1217" s="47"/>
      <c r="E1217" s="64">
        <v>41549.749999999993</v>
      </c>
      <c r="F1217" s="64">
        <v>22</v>
      </c>
    </row>
    <row r="1218" spans="1:6" x14ac:dyDescent="0.25">
      <c r="A1218" s="47" t="s">
        <v>4211</v>
      </c>
      <c r="B1218" s="47" t="s">
        <v>4212</v>
      </c>
      <c r="C1218" s="47" t="s">
        <v>4213</v>
      </c>
      <c r="D1218" s="47" t="s">
        <v>4214</v>
      </c>
      <c r="E1218" s="64">
        <v>39495.19</v>
      </c>
      <c r="F1218" s="64">
        <v>7000</v>
      </c>
    </row>
    <row r="1219" spans="1:6" x14ac:dyDescent="0.25">
      <c r="A1219" s="47" t="s">
        <v>4215</v>
      </c>
      <c r="B1219" s="47" t="s">
        <v>4216</v>
      </c>
      <c r="C1219" s="47" t="s">
        <v>4217</v>
      </c>
      <c r="D1219" s="47" t="s">
        <v>4218</v>
      </c>
      <c r="E1219" s="64">
        <v>22173.189999999995</v>
      </c>
      <c r="F1219" s="64">
        <v>21.75</v>
      </c>
    </row>
    <row r="1220" spans="1:6" x14ac:dyDescent="0.25">
      <c r="A1220" s="47" t="s">
        <v>4219</v>
      </c>
      <c r="B1220" s="47" t="s">
        <v>4220</v>
      </c>
      <c r="C1220" s="47" t="s">
        <v>4221</v>
      </c>
      <c r="D1220" s="47" t="s">
        <v>4222</v>
      </c>
      <c r="E1220" s="64">
        <v>49490.98</v>
      </c>
      <c r="F1220" s="64">
        <v>36</v>
      </c>
    </row>
    <row r="1221" spans="1:6" x14ac:dyDescent="0.25">
      <c r="A1221" s="47" t="s">
        <v>4223</v>
      </c>
      <c r="B1221" s="47" t="s">
        <v>4224</v>
      </c>
      <c r="C1221" s="47" t="s">
        <v>4225</v>
      </c>
      <c r="D1221" s="47" t="s">
        <v>1950</v>
      </c>
      <c r="E1221" s="64">
        <v>40400.393333333333</v>
      </c>
      <c r="F1221" s="64">
        <v>153.85</v>
      </c>
    </row>
    <row r="1222" spans="1:6" x14ac:dyDescent="0.25">
      <c r="A1222" s="47" t="s">
        <v>4226</v>
      </c>
      <c r="B1222" s="47" t="s">
        <v>4227</v>
      </c>
      <c r="C1222" s="47" t="s">
        <v>4228</v>
      </c>
      <c r="D1222" s="47" t="s">
        <v>4229</v>
      </c>
      <c r="E1222" s="64">
        <v>19343.855</v>
      </c>
      <c r="F1222" s="64">
        <v>35</v>
      </c>
    </row>
    <row r="1223" spans="1:6" x14ac:dyDescent="0.25">
      <c r="A1223" s="47" t="s">
        <v>4230</v>
      </c>
      <c r="B1223" s="47" t="s">
        <v>4231</v>
      </c>
      <c r="C1223" s="47" t="s">
        <v>4232</v>
      </c>
      <c r="D1223" s="47" t="s">
        <v>4233</v>
      </c>
      <c r="E1223" s="64">
        <v>49297.06</v>
      </c>
      <c r="F1223" s="64">
        <v>3.2</v>
      </c>
    </row>
    <row r="1224" spans="1:6" x14ac:dyDescent="0.25">
      <c r="A1224" s="47" t="s">
        <v>4234</v>
      </c>
      <c r="B1224" s="47" t="s">
        <v>4235</v>
      </c>
      <c r="C1224" s="47" t="s">
        <v>4236</v>
      </c>
      <c r="D1224" s="47" t="s">
        <v>4237</v>
      </c>
      <c r="E1224" s="64">
        <v>215287.59000000003</v>
      </c>
      <c r="F1224" s="64">
        <v>4.3499999999999996</v>
      </c>
    </row>
    <row r="1225" spans="1:6" x14ac:dyDescent="0.25">
      <c r="A1225" s="47" t="s">
        <v>4238</v>
      </c>
      <c r="B1225" s="47" t="s">
        <v>4239</v>
      </c>
      <c r="C1225" s="47" t="s">
        <v>4240</v>
      </c>
      <c r="D1225" s="47" t="s">
        <v>177</v>
      </c>
      <c r="E1225" s="64">
        <v>18542.310000000001</v>
      </c>
      <c r="F1225" s="64">
        <v>112</v>
      </c>
    </row>
    <row r="1226" spans="1:6" x14ac:dyDescent="0.25">
      <c r="A1226" s="47" t="s">
        <v>4241</v>
      </c>
      <c r="B1226" s="47" t="s">
        <v>4242</v>
      </c>
      <c r="C1226" s="47" t="s">
        <v>4243</v>
      </c>
      <c r="D1226" s="47" t="s">
        <v>4244</v>
      </c>
      <c r="E1226" s="64">
        <v>216410.50000000003</v>
      </c>
      <c r="F1226" s="64">
        <v>66.45</v>
      </c>
    </row>
    <row r="1227" spans="1:6" x14ac:dyDescent="0.25">
      <c r="A1227" s="47" t="s">
        <v>4245</v>
      </c>
      <c r="B1227" s="47" t="s">
        <v>4246</v>
      </c>
      <c r="C1227" s="47" t="s">
        <v>4247</v>
      </c>
      <c r="D1227" s="47" t="s">
        <v>2208</v>
      </c>
      <c r="E1227" s="64">
        <v>129228.67999999998</v>
      </c>
      <c r="F1227" s="64">
        <v>40.200000000000003</v>
      </c>
    </row>
    <row r="1228" spans="1:6" x14ac:dyDescent="0.25">
      <c r="A1228" s="47" t="s">
        <v>4248</v>
      </c>
      <c r="B1228" s="47" t="s">
        <v>4249</v>
      </c>
      <c r="C1228" s="47" t="s">
        <v>4250</v>
      </c>
      <c r="D1228" s="47" t="s">
        <v>2548</v>
      </c>
      <c r="E1228" s="64">
        <v>158090.44</v>
      </c>
      <c r="F1228" s="64">
        <v>1500</v>
      </c>
    </row>
    <row r="1229" spans="1:6" x14ac:dyDescent="0.25">
      <c r="A1229" s="47" t="s">
        <v>4251</v>
      </c>
      <c r="B1229" s="47" t="s">
        <v>4252</v>
      </c>
      <c r="C1229" s="47" t="s">
        <v>4253</v>
      </c>
      <c r="D1229" s="47" t="s">
        <v>2194</v>
      </c>
      <c r="E1229" s="64">
        <v>250670.715</v>
      </c>
      <c r="F1229" s="64">
        <v>68</v>
      </c>
    </row>
    <row r="1230" spans="1:6" x14ac:dyDescent="0.25">
      <c r="A1230" s="47" t="s">
        <v>4254</v>
      </c>
      <c r="B1230" s="47" t="s">
        <v>4255</v>
      </c>
      <c r="C1230" s="47" t="s">
        <v>4256</v>
      </c>
      <c r="D1230" s="47" t="s">
        <v>1003</v>
      </c>
      <c r="E1230" s="64">
        <v>89318.79</v>
      </c>
      <c r="F1230" s="64">
        <v>21.94</v>
      </c>
    </row>
    <row r="1231" spans="1:6" x14ac:dyDescent="0.25">
      <c r="A1231" s="47" t="s">
        <v>4257</v>
      </c>
      <c r="B1231" s="47" t="s">
        <v>4258</v>
      </c>
      <c r="C1231" s="47" t="s">
        <v>4259</v>
      </c>
      <c r="D1231" s="47" t="s">
        <v>2379</v>
      </c>
      <c r="E1231" s="64">
        <v>166243.38999999998</v>
      </c>
      <c r="F1231" s="64">
        <v>1068.0783333333334</v>
      </c>
    </row>
    <row r="1232" spans="1:6" x14ac:dyDescent="0.25">
      <c r="A1232" s="47" t="s">
        <v>4260</v>
      </c>
      <c r="B1232" s="47" t="s">
        <v>2466</v>
      </c>
      <c r="C1232" s="47" t="s">
        <v>4261</v>
      </c>
      <c r="D1232" s="47" t="s">
        <v>805</v>
      </c>
      <c r="E1232" s="64">
        <v>23814.985000000001</v>
      </c>
      <c r="F1232" s="64">
        <v>2.1599999999999997</v>
      </c>
    </row>
    <row r="1233" spans="1:6" x14ac:dyDescent="0.25">
      <c r="A1233" s="47" t="s">
        <v>4262</v>
      </c>
      <c r="B1233" s="47" t="s">
        <v>4263</v>
      </c>
      <c r="C1233" s="47" t="s">
        <v>4264</v>
      </c>
      <c r="D1233" s="47" t="s">
        <v>4265</v>
      </c>
      <c r="E1233" s="64">
        <v>56399.919999999984</v>
      </c>
      <c r="F1233" s="64">
        <v>22</v>
      </c>
    </row>
    <row r="1234" spans="1:6" x14ac:dyDescent="0.25">
      <c r="A1234" s="47" t="s">
        <v>4266</v>
      </c>
      <c r="B1234" s="47" t="s">
        <v>4267</v>
      </c>
      <c r="C1234" s="47" t="s">
        <v>4268</v>
      </c>
      <c r="D1234" s="47" t="s">
        <v>1331</v>
      </c>
      <c r="E1234" s="64">
        <v>69038.91</v>
      </c>
      <c r="F1234" s="64">
        <v>845</v>
      </c>
    </row>
    <row r="1235" spans="1:6" x14ac:dyDescent="0.25">
      <c r="A1235" s="47" t="s">
        <v>4269</v>
      </c>
      <c r="B1235" s="47" t="s">
        <v>4270</v>
      </c>
      <c r="C1235" s="47" t="s">
        <v>4271</v>
      </c>
      <c r="D1235" s="47" t="s">
        <v>4272</v>
      </c>
      <c r="E1235" s="64">
        <v>74286.670000000013</v>
      </c>
      <c r="F1235" s="64">
        <v>0.30249999999999999</v>
      </c>
    </row>
    <row r="1236" spans="1:6" x14ac:dyDescent="0.25">
      <c r="A1236" s="47" t="s">
        <v>4273</v>
      </c>
      <c r="B1236" s="47" t="s">
        <v>4274</v>
      </c>
      <c r="C1236" s="47" t="s">
        <v>4275</v>
      </c>
      <c r="D1236" s="47" t="s">
        <v>511</v>
      </c>
      <c r="E1236" s="64">
        <v>27891.445000000003</v>
      </c>
      <c r="F1236" s="64">
        <v>44.93</v>
      </c>
    </row>
    <row r="1237" spans="1:6" x14ac:dyDescent="0.25">
      <c r="A1237" s="47" t="s">
        <v>4276</v>
      </c>
      <c r="B1237" s="47" t="s">
        <v>4277</v>
      </c>
      <c r="C1237" s="47" t="s">
        <v>4278</v>
      </c>
      <c r="D1237" s="47" t="s">
        <v>4279</v>
      </c>
      <c r="E1237" s="64">
        <v>47334.3</v>
      </c>
      <c r="F1237" s="64">
        <v>0.28299999999999997</v>
      </c>
    </row>
    <row r="1238" spans="1:6" x14ac:dyDescent="0.25">
      <c r="A1238" s="47" t="s">
        <v>4280</v>
      </c>
      <c r="B1238" s="47" t="s">
        <v>4281</v>
      </c>
      <c r="C1238" s="47" t="s">
        <v>4282</v>
      </c>
      <c r="D1238" s="47"/>
      <c r="E1238" s="64">
        <v>49500.32</v>
      </c>
      <c r="F1238" s="64">
        <v>22</v>
      </c>
    </row>
    <row r="1239" spans="1:6" x14ac:dyDescent="0.25">
      <c r="A1239" s="47" t="s">
        <v>4283</v>
      </c>
      <c r="B1239" s="47" t="s">
        <v>4284</v>
      </c>
      <c r="C1239" s="47" t="s">
        <v>4285</v>
      </c>
      <c r="D1239" s="47" t="s">
        <v>798</v>
      </c>
      <c r="E1239" s="64">
        <v>43462.375</v>
      </c>
      <c r="F1239" s="64">
        <v>104</v>
      </c>
    </row>
    <row r="1240" spans="1:6" x14ac:dyDescent="0.25">
      <c r="A1240" s="47" t="s">
        <v>4286</v>
      </c>
      <c r="B1240" s="47" t="s">
        <v>4287</v>
      </c>
      <c r="C1240" s="47" t="s">
        <v>4288</v>
      </c>
      <c r="D1240" s="47" t="s">
        <v>1015</v>
      </c>
      <c r="E1240" s="64">
        <v>35394.530000000006</v>
      </c>
      <c r="F1240" s="64">
        <v>60503.775000000001</v>
      </c>
    </row>
    <row r="1241" spans="1:6" x14ac:dyDescent="0.25">
      <c r="A1241" s="47" t="s">
        <v>4289</v>
      </c>
      <c r="B1241" s="47" t="s">
        <v>4290</v>
      </c>
      <c r="C1241" s="47" t="s">
        <v>4291</v>
      </c>
      <c r="D1241" s="47" t="s">
        <v>4292</v>
      </c>
      <c r="E1241" s="64">
        <v>49193.739999999991</v>
      </c>
      <c r="F1241" s="64">
        <v>200</v>
      </c>
    </row>
    <row r="1242" spans="1:6" x14ac:dyDescent="0.25">
      <c r="A1242" s="47" t="s">
        <v>4293</v>
      </c>
      <c r="B1242" s="47" t="s">
        <v>4294</v>
      </c>
      <c r="C1242" s="47" t="s">
        <v>4295</v>
      </c>
      <c r="D1242" s="47" t="s">
        <v>4296</v>
      </c>
      <c r="E1242" s="64">
        <v>60597.45</v>
      </c>
      <c r="F1242" s="64">
        <v>9.4500000000000009E-4</v>
      </c>
    </row>
    <row r="1243" spans="1:6" x14ac:dyDescent="0.25">
      <c r="A1243" s="47" t="s">
        <v>4297</v>
      </c>
      <c r="B1243" s="47" t="s">
        <v>4298</v>
      </c>
      <c r="C1243" s="47" t="s">
        <v>4299</v>
      </c>
      <c r="D1243" s="47" t="s">
        <v>4300</v>
      </c>
      <c r="E1243" s="64">
        <v>53950.16</v>
      </c>
      <c r="F1243" s="64">
        <v>368.48649999999998</v>
      </c>
    </row>
    <row r="1244" spans="1:6" x14ac:dyDescent="0.25">
      <c r="A1244" s="47" t="s">
        <v>4301</v>
      </c>
      <c r="B1244" s="47" t="s">
        <v>4302</v>
      </c>
      <c r="C1244" s="47" t="s">
        <v>4303</v>
      </c>
      <c r="D1244" s="47"/>
      <c r="E1244" s="64">
        <v>39959.482499999998</v>
      </c>
      <c r="F1244" s="64">
        <v>100000000</v>
      </c>
    </row>
    <row r="1245" spans="1:6" x14ac:dyDescent="0.25">
      <c r="A1245" s="47" t="s">
        <v>4304</v>
      </c>
      <c r="B1245" s="47" t="s">
        <v>4305</v>
      </c>
      <c r="C1245" s="47" t="s">
        <v>4306</v>
      </c>
      <c r="D1245" s="47" t="s">
        <v>3002</v>
      </c>
      <c r="E1245" s="64">
        <v>20095.39</v>
      </c>
      <c r="F1245" s="64">
        <v>32.4876</v>
      </c>
    </row>
    <row r="1246" spans="1:6" x14ac:dyDescent="0.25">
      <c r="A1246" s="47" t="s">
        <v>4307</v>
      </c>
      <c r="B1246" s="47" t="s">
        <v>4308</v>
      </c>
      <c r="C1246" s="47" t="s">
        <v>4309</v>
      </c>
      <c r="D1246" s="47" t="s">
        <v>4310</v>
      </c>
      <c r="E1246" s="64">
        <v>36076.700000000004</v>
      </c>
      <c r="F1246" s="64">
        <v>14.7</v>
      </c>
    </row>
    <row r="1247" spans="1:6" x14ac:dyDescent="0.25">
      <c r="A1247" s="47" t="s">
        <v>4311</v>
      </c>
      <c r="B1247" s="47" t="s">
        <v>4312</v>
      </c>
      <c r="C1247" s="47" t="s">
        <v>4313</v>
      </c>
      <c r="D1247" s="47"/>
      <c r="E1247" s="64">
        <v>39959.482499999998</v>
      </c>
      <c r="F1247" s="64">
        <v>100000000</v>
      </c>
    </row>
    <row r="1248" spans="1:6" x14ac:dyDescent="0.25">
      <c r="A1248" s="47" t="s">
        <v>4314</v>
      </c>
      <c r="B1248" s="47" t="s">
        <v>4315</v>
      </c>
      <c r="C1248" s="47" t="s">
        <v>4316</v>
      </c>
      <c r="D1248" s="47" t="s">
        <v>2375</v>
      </c>
      <c r="E1248" s="64">
        <v>134389.76000000001</v>
      </c>
      <c r="F1248" s="64">
        <v>72.779166666666654</v>
      </c>
    </row>
    <row r="1249" spans="1:6" x14ac:dyDescent="0.25">
      <c r="A1249" s="47" t="s">
        <v>4317</v>
      </c>
      <c r="B1249" s="47" t="s">
        <v>4318</v>
      </c>
      <c r="C1249" s="47" t="s">
        <v>4319</v>
      </c>
      <c r="D1249" s="47" t="s">
        <v>4320</v>
      </c>
      <c r="E1249" s="64">
        <v>42585.246666666666</v>
      </c>
      <c r="F1249" s="64">
        <v>1.4</v>
      </c>
    </row>
    <row r="1250" spans="1:6" x14ac:dyDescent="0.25">
      <c r="A1250" s="47" t="s">
        <v>4321</v>
      </c>
      <c r="B1250" s="47" t="s">
        <v>4322</v>
      </c>
      <c r="C1250" s="47" t="s">
        <v>4323</v>
      </c>
      <c r="D1250" s="47" t="s">
        <v>4324</v>
      </c>
      <c r="E1250" s="64">
        <v>147501.04</v>
      </c>
      <c r="F1250" s="64">
        <v>3204</v>
      </c>
    </row>
    <row r="1251" spans="1:6" x14ac:dyDescent="0.25">
      <c r="A1251" s="47" t="s">
        <v>4325</v>
      </c>
      <c r="B1251" s="47" t="s">
        <v>4326</v>
      </c>
      <c r="C1251" s="47" t="s">
        <v>4327</v>
      </c>
      <c r="D1251" s="47" t="s">
        <v>3118</v>
      </c>
      <c r="E1251" s="64">
        <v>76837.899999999994</v>
      </c>
      <c r="F1251" s="64">
        <v>300</v>
      </c>
    </row>
    <row r="1252" spans="1:6" x14ac:dyDescent="0.25">
      <c r="A1252" s="47" t="s">
        <v>4328</v>
      </c>
      <c r="B1252" s="47" t="s">
        <v>4329</v>
      </c>
      <c r="C1252" s="47" t="s">
        <v>4330</v>
      </c>
      <c r="D1252" s="47" t="s">
        <v>3390</v>
      </c>
      <c r="E1252" s="64">
        <v>37769.895000000004</v>
      </c>
      <c r="F1252" s="64">
        <v>1831</v>
      </c>
    </row>
    <row r="1253" spans="1:6" x14ac:dyDescent="0.25">
      <c r="A1253" s="47" t="s">
        <v>4331</v>
      </c>
      <c r="B1253" s="47" t="s">
        <v>4332</v>
      </c>
      <c r="C1253" s="47" t="s">
        <v>4333</v>
      </c>
      <c r="D1253" s="47"/>
      <c r="E1253" s="64">
        <v>54422.720000000001</v>
      </c>
      <c r="F1253" s="64">
        <v>22</v>
      </c>
    </row>
    <row r="1254" spans="1:6" x14ac:dyDescent="0.25">
      <c r="A1254" s="47" t="s">
        <v>4334</v>
      </c>
      <c r="B1254" s="47" t="s">
        <v>4335</v>
      </c>
      <c r="C1254" s="47" t="s">
        <v>4336</v>
      </c>
      <c r="D1254" s="47" t="s">
        <v>3181</v>
      </c>
      <c r="E1254" s="64">
        <v>39024.860000000008</v>
      </c>
      <c r="F1254" s="64">
        <v>25</v>
      </c>
    </row>
    <row r="1255" spans="1:6" x14ac:dyDescent="0.25">
      <c r="A1255" s="47" t="s">
        <v>4337</v>
      </c>
      <c r="B1255" s="47" t="s">
        <v>4338</v>
      </c>
      <c r="C1255" s="47" t="s">
        <v>4339</v>
      </c>
      <c r="D1255" s="47" t="s">
        <v>4340</v>
      </c>
      <c r="E1255" s="64">
        <v>71150.159999999989</v>
      </c>
      <c r="F1255" s="64">
        <v>26.21</v>
      </c>
    </row>
    <row r="1256" spans="1:6" x14ac:dyDescent="0.25">
      <c r="A1256" s="47" t="s">
        <v>4341</v>
      </c>
      <c r="B1256" s="47" t="s">
        <v>4342</v>
      </c>
      <c r="C1256" s="47" t="s">
        <v>4087</v>
      </c>
      <c r="D1256" s="47" t="s">
        <v>408</v>
      </c>
      <c r="E1256" s="64">
        <v>50588.19999999999</v>
      </c>
      <c r="F1256" s="64">
        <v>8.6094999999999988</v>
      </c>
    </row>
    <row r="1257" spans="1:6" x14ac:dyDescent="0.25">
      <c r="A1257" s="47" t="s">
        <v>4343</v>
      </c>
      <c r="B1257" s="47" t="s">
        <v>4344</v>
      </c>
      <c r="C1257" s="47" t="s">
        <v>4345</v>
      </c>
      <c r="D1257" s="47" t="s">
        <v>4346</v>
      </c>
      <c r="E1257" s="64">
        <v>41440.92</v>
      </c>
      <c r="F1257" s="64">
        <v>63.61999999999999</v>
      </c>
    </row>
    <row r="1258" spans="1:6" x14ac:dyDescent="0.25">
      <c r="A1258" s="47" t="s">
        <v>4347</v>
      </c>
      <c r="B1258" s="47" t="s">
        <v>4348</v>
      </c>
      <c r="C1258" s="47" t="s">
        <v>4349</v>
      </c>
      <c r="D1258" s="47" t="s">
        <v>4350</v>
      </c>
      <c r="E1258" s="64">
        <v>31596.720000000001</v>
      </c>
      <c r="F1258" s="64">
        <v>1.3999999999999997</v>
      </c>
    </row>
    <row r="1259" spans="1:6" x14ac:dyDescent="0.25">
      <c r="A1259" s="47" t="s">
        <v>4351</v>
      </c>
      <c r="B1259" s="47" t="s">
        <v>4352</v>
      </c>
      <c r="C1259" s="47" t="s">
        <v>4353</v>
      </c>
      <c r="D1259" s="47" t="s">
        <v>4354</v>
      </c>
      <c r="E1259" s="64">
        <v>32908.989999999991</v>
      </c>
      <c r="F1259" s="64">
        <v>8.3300000000000006E-3</v>
      </c>
    </row>
    <row r="1260" spans="1:6" x14ac:dyDescent="0.25">
      <c r="A1260" s="47" t="s">
        <v>4355</v>
      </c>
      <c r="B1260" s="47" t="s">
        <v>4356</v>
      </c>
      <c r="C1260" s="47" t="s">
        <v>4357</v>
      </c>
      <c r="D1260" s="47" t="s">
        <v>4358</v>
      </c>
      <c r="E1260" s="64">
        <v>38879.9</v>
      </c>
      <c r="F1260" s="64">
        <v>16</v>
      </c>
    </row>
    <row r="1261" spans="1:6" x14ac:dyDescent="0.25">
      <c r="A1261" s="47" t="s">
        <v>4359</v>
      </c>
      <c r="B1261" s="47" t="s">
        <v>4360</v>
      </c>
      <c r="C1261" s="47" t="s">
        <v>4361</v>
      </c>
      <c r="D1261" s="47" t="s">
        <v>2283</v>
      </c>
      <c r="E1261" s="64">
        <v>44174.560000000005</v>
      </c>
      <c r="F1261" s="64">
        <v>13.5</v>
      </c>
    </row>
    <row r="1262" spans="1:6" x14ac:dyDescent="0.25">
      <c r="A1262" s="47" t="s">
        <v>4362</v>
      </c>
      <c r="B1262" s="47" t="s">
        <v>4363</v>
      </c>
      <c r="C1262" s="47" t="s">
        <v>4364</v>
      </c>
      <c r="D1262" s="47" t="s">
        <v>507</v>
      </c>
      <c r="E1262" s="64">
        <v>51541.290000000008</v>
      </c>
      <c r="F1262" s="64">
        <v>5.8</v>
      </c>
    </row>
    <row r="1263" spans="1:6" x14ac:dyDescent="0.25">
      <c r="A1263" s="47" t="s">
        <v>4365</v>
      </c>
      <c r="B1263" s="47" t="s">
        <v>4366</v>
      </c>
      <c r="C1263" s="47" t="s">
        <v>4367</v>
      </c>
      <c r="D1263" s="47" t="s">
        <v>4368</v>
      </c>
      <c r="E1263" s="64">
        <v>47899.18</v>
      </c>
      <c r="F1263" s="64">
        <v>118</v>
      </c>
    </row>
    <row r="1264" spans="1:6" x14ac:dyDescent="0.25">
      <c r="A1264" s="47" t="s">
        <v>4369</v>
      </c>
      <c r="B1264" s="47" t="s">
        <v>4370</v>
      </c>
      <c r="C1264" s="47" t="s">
        <v>4371</v>
      </c>
      <c r="D1264" s="47" t="s">
        <v>4372</v>
      </c>
      <c r="E1264" s="64">
        <v>57327.489999999991</v>
      </c>
      <c r="F1264" s="64">
        <v>13.5</v>
      </c>
    </row>
    <row r="1265" spans="1:6" x14ac:dyDescent="0.25">
      <c r="A1265" s="47" t="s">
        <v>4373</v>
      </c>
      <c r="B1265" s="47" t="s">
        <v>4374</v>
      </c>
      <c r="C1265" s="47" t="s">
        <v>4375</v>
      </c>
      <c r="D1265" s="47" t="s">
        <v>2379</v>
      </c>
      <c r="E1265" s="64">
        <v>166243.38999999998</v>
      </c>
      <c r="F1265" s="64">
        <v>806.33124999999995</v>
      </c>
    </row>
    <row r="1266" spans="1:6" x14ac:dyDescent="0.25">
      <c r="A1266" s="47" t="s">
        <v>4376</v>
      </c>
      <c r="B1266" s="47" t="s">
        <v>4377</v>
      </c>
      <c r="C1266" s="47" t="s">
        <v>4378</v>
      </c>
      <c r="D1266" s="47"/>
      <c r="E1266" s="64">
        <v>50605.240000000005</v>
      </c>
      <c r="F1266" s="64">
        <v>22</v>
      </c>
    </row>
    <row r="1267" spans="1:6" x14ac:dyDescent="0.25">
      <c r="A1267" s="47" t="s">
        <v>4379</v>
      </c>
      <c r="B1267" s="47" t="s">
        <v>4380</v>
      </c>
      <c r="C1267" s="47" t="s">
        <v>4381</v>
      </c>
      <c r="D1267" s="47"/>
      <c r="E1267" s="64">
        <v>39959.482499999998</v>
      </c>
      <c r="F1267" s="64">
        <v>100000000</v>
      </c>
    </row>
    <row r="1268" spans="1:6" x14ac:dyDescent="0.25">
      <c r="A1268" s="47" t="s">
        <v>4382</v>
      </c>
      <c r="B1268" s="47" t="s">
        <v>4383</v>
      </c>
      <c r="C1268" s="47" t="s">
        <v>4384</v>
      </c>
      <c r="D1268" s="47"/>
      <c r="E1268" s="64">
        <v>39959.482499999998</v>
      </c>
      <c r="F1268" s="64">
        <v>100000000</v>
      </c>
    </row>
    <row r="1269" spans="1:6" x14ac:dyDescent="0.25">
      <c r="A1269" s="47" t="s">
        <v>4385</v>
      </c>
      <c r="B1269" s="47" t="s">
        <v>939</v>
      </c>
      <c r="C1269" s="47" t="s">
        <v>4386</v>
      </c>
      <c r="D1269" s="47" t="s">
        <v>70</v>
      </c>
      <c r="E1269" s="64">
        <v>33648.025000000001</v>
      </c>
      <c r="F1269" s="64">
        <v>79.8</v>
      </c>
    </row>
    <row r="1270" spans="1:6" x14ac:dyDescent="0.25">
      <c r="A1270" s="47" t="s">
        <v>4387</v>
      </c>
      <c r="B1270" s="47" t="s">
        <v>4388</v>
      </c>
      <c r="C1270" s="47" t="s">
        <v>4389</v>
      </c>
      <c r="D1270" s="47" t="s">
        <v>4390</v>
      </c>
      <c r="E1270" s="64">
        <v>42373.855000000003</v>
      </c>
      <c r="F1270" s="64">
        <v>14</v>
      </c>
    </row>
    <row r="1271" spans="1:6" x14ac:dyDescent="0.25">
      <c r="A1271" s="47" t="s">
        <v>4391</v>
      </c>
      <c r="B1271" s="47" t="s">
        <v>4392</v>
      </c>
      <c r="C1271" s="47" t="s">
        <v>4393</v>
      </c>
      <c r="D1271" s="47" t="s">
        <v>4394</v>
      </c>
      <c r="E1271" s="64">
        <v>26971.149999999994</v>
      </c>
      <c r="F1271" s="64">
        <v>327</v>
      </c>
    </row>
    <row r="1272" spans="1:6" x14ac:dyDescent="0.25">
      <c r="A1272" s="47" t="s">
        <v>4395</v>
      </c>
      <c r="B1272" s="47" t="s">
        <v>4396</v>
      </c>
      <c r="C1272" s="47" t="s">
        <v>4397</v>
      </c>
      <c r="D1272" s="47" t="s">
        <v>3720</v>
      </c>
      <c r="E1272" s="64">
        <v>19466.330000000002</v>
      </c>
      <c r="F1272" s="64">
        <v>1076</v>
      </c>
    </row>
    <row r="1273" spans="1:6" x14ac:dyDescent="0.25">
      <c r="A1273" s="47" t="s">
        <v>4398</v>
      </c>
      <c r="B1273" s="47" t="s">
        <v>4399</v>
      </c>
      <c r="C1273" s="47" t="s">
        <v>4400</v>
      </c>
      <c r="D1273" s="47" t="s">
        <v>4401</v>
      </c>
      <c r="E1273" s="64">
        <v>41366.409999999996</v>
      </c>
      <c r="F1273" s="64">
        <v>1.4</v>
      </c>
    </row>
    <row r="1274" spans="1:6" x14ac:dyDescent="0.25">
      <c r="A1274" s="47" t="s">
        <v>4402</v>
      </c>
      <c r="B1274" s="47" t="s">
        <v>4403</v>
      </c>
      <c r="C1274" s="47" t="s">
        <v>4404</v>
      </c>
      <c r="D1274" s="47" t="s">
        <v>592</v>
      </c>
      <c r="E1274" s="64">
        <v>30846.5</v>
      </c>
      <c r="F1274" s="64">
        <v>0.55000000000000004</v>
      </c>
    </row>
    <row r="1275" spans="1:6" x14ac:dyDescent="0.25">
      <c r="A1275" s="47" t="s">
        <v>4405</v>
      </c>
      <c r="B1275" s="47" t="s">
        <v>4406</v>
      </c>
      <c r="C1275" s="47" t="s">
        <v>4407</v>
      </c>
      <c r="D1275" s="47"/>
      <c r="E1275" s="64">
        <v>39959.482499999998</v>
      </c>
      <c r="F1275" s="64">
        <v>100000000</v>
      </c>
    </row>
    <row r="1276" spans="1:6" x14ac:dyDescent="0.25">
      <c r="A1276" s="47" t="s">
        <v>4408</v>
      </c>
      <c r="B1276" s="47" t="s">
        <v>4409</v>
      </c>
      <c r="C1276" s="47" t="s">
        <v>4410</v>
      </c>
      <c r="D1276" s="47"/>
      <c r="E1276" s="64">
        <v>39959.482499999998</v>
      </c>
      <c r="F1276" s="64">
        <v>100000000</v>
      </c>
    </row>
    <row r="1277" spans="1:6" x14ac:dyDescent="0.25">
      <c r="A1277" s="47" t="s">
        <v>4411</v>
      </c>
      <c r="B1277" s="47" t="s">
        <v>4412</v>
      </c>
      <c r="C1277" s="47" t="s">
        <v>4413</v>
      </c>
      <c r="D1277" s="47"/>
      <c r="E1277" s="64">
        <v>39959.482499999998</v>
      </c>
      <c r="F1277" s="64">
        <v>100000000</v>
      </c>
    </row>
    <row r="1278" spans="1:6" x14ac:dyDescent="0.25">
      <c r="A1278" s="47" t="s">
        <v>4414</v>
      </c>
      <c r="B1278" s="47" t="s">
        <v>4415</v>
      </c>
      <c r="C1278" s="47" t="s">
        <v>4416</v>
      </c>
      <c r="D1278" s="47" t="s">
        <v>2364</v>
      </c>
      <c r="E1278" s="64">
        <v>132268.33000000002</v>
      </c>
      <c r="F1278" s="64">
        <v>95.19583333333334</v>
      </c>
    </row>
    <row r="1279" spans="1:6" x14ac:dyDescent="0.25">
      <c r="A1279" s="47" t="s">
        <v>4417</v>
      </c>
      <c r="B1279" s="47" t="s">
        <v>1211</v>
      </c>
      <c r="C1279" s="47" t="s">
        <v>4418</v>
      </c>
      <c r="D1279" s="47" t="s">
        <v>1343</v>
      </c>
      <c r="E1279" s="64">
        <v>130245.97000000002</v>
      </c>
      <c r="F1279" s="64">
        <v>247.03571428571428</v>
      </c>
    </row>
    <row r="1280" spans="1:6" x14ac:dyDescent="0.25">
      <c r="A1280" s="47" t="s">
        <v>4419</v>
      </c>
      <c r="B1280" s="47" t="s">
        <v>4294</v>
      </c>
      <c r="C1280" s="47" t="s">
        <v>4420</v>
      </c>
      <c r="D1280" s="47" t="s">
        <v>4421</v>
      </c>
      <c r="E1280" s="64">
        <v>90257.739999999991</v>
      </c>
      <c r="F1280" s="64">
        <v>3.6333333333333335E-4</v>
      </c>
    </row>
    <row r="1281" spans="1:6" x14ac:dyDescent="0.25">
      <c r="A1281" s="47" t="s">
        <v>4422</v>
      </c>
      <c r="B1281" s="47" t="s">
        <v>4423</v>
      </c>
      <c r="C1281" s="47" t="s">
        <v>4424</v>
      </c>
      <c r="D1281" s="47" t="s">
        <v>4425</v>
      </c>
      <c r="E1281" s="64">
        <v>37593.57</v>
      </c>
      <c r="F1281" s="64">
        <v>185.2</v>
      </c>
    </row>
    <row r="1282" spans="1:6" x14ac:dyDescent="0.25">
      <c r="A1282" s="47" t="s">
        <v>4426</v>
      </c>
      <c r="B1282" s="47" t="s">
        <v>4427</v>
      </c>
      <c r="C1282" s="47" t="s">
        <v>4428</v>
      </c>
      <c r="D1282" s="47" t="s">
        <v>3181</v>
      </c>
      <c r="E1282" s="64">
        <v>20535.53</v>
      </c>
      <c r="F1282" s="64">
        <v>25</v>
      </c>
    </row>
    <row r="1283" spans="1:6" x14ac:dyDescent="0.25">
      <c r="A1283" s="47" t="s">
        <v>4429</v>
      </c>
      <c r="B1283" s="47" t="s">
        <v>4430</v>
      </c>
      <c r="C1283" s="47" t="s">
        <v>4431</v>
      </c>
      <c r="D1283" s="47" t="s">
        <v>4432</v>
      </c>
      <c r="E1283" s="64">
        <v>27248.15</v>
      </c>
      <c r="F1283" s="64">
        <v>5.76</v>
      </c>
    </row>
    <row r="1284" spans="1:6" x14ac:dyDescent="0.25">
      <c r="A1284" s="47" t="s">
        <v>4433</v>
      </c>
      <c r="B1284" s="47" t="s">
        <v>4434</v>
      </c>
      <c r="C1284" s="47" t="s">
        <v>4435</v>
      </c>
      <c r="D1284" s="47" t="s">
        <v>4432</v>
      </c>
      <c r="E1284" s="64">
        <v>27248.15</v>
      </c>
      <c r="F1284" s="64">
        <v>4.2</v>
      </c>
    </row>
    <row r="1285" spans="1:6" x14ac:dyDescent="0.25">
      <c r="A1285" s="47" t="s">
        <v>4436</v>
      </c>
      <c r="B1285" s="47" t="s">
        <v>4437</v>
      </c>
      <c r="C1285" s="47" t="s">
        <v>4438</v>
      </c>
      <c r="D1285" s="47" t="s">
        <v>4432</v>
      </c>
      <c r="E1285" s="64">
        <v>27248.15</v>
      </c>
      <c r="F1285" s="64">
        <v>3.5</v>
      </c>
    </row>
    <row r="1286" spans="1:6" x14ac:dyDescent="0.25">
      <c r="A1286" s="47" t="s">
        <v>4439</v>
      </c>
      <c r="B1286" s="47" t="s">
        <v>4440</v>
      </c>
      <c r="C1286" s="47" t="s">
        <v>4441</v>
      </c>
      <c r="D1286" s="47" t="s">
        <v>444</v>
      </c>
      <c r="E1286" s="64">
        <v>118487.91999999998</v>
      </c>
      <c r="F1286" s="64">
        <v>4.0649999999999995</v>
      </c>
    </row>
    <row r="1287" spans="1:6" x14ac:dyDescent="0.25">
      <c r="A1287" s="47" t="s">
        <v>4442</v>
      </c>
      <c r="B1287" s="47" t="s">
        <v>4443</v>
      </c>
      <c r="C1287" s="47" t="s">
        <v>4444</v>
      </c>
      <c r="D1287" s="47"/>
      <c r="E1287" s="64">
        <v>26820.639999999999</v>
      </c>
      <c r="F1287" s="64">
        <v>22</v>
      </c>
    </row>
    <row r="1288" spans="1:6" x14ac:dyDescent="0.25">
      <c r="A1288" s="47" t="s">
        <v>4445</v>
      </c>
      <c r="B1288" s="47" t="s">
        <v>4446</v>
      </c>
      <c r="C1288" s="47" t="s">
        <v>4447</v>
      </c>
      <c r="D1288" s="47" t="s">
        <v>3477</v>
      </c>
      <c r="E1288" s="64">
        <v>27708.550000000003</v>
      </c>
      <c r="F1288" s="64">
        <v>2.4900000000000002</v>
      </c>
    </row>
    <row r="1289" spans="1:6" x14ac:dyDescent="0.25">
      <c r="A1289" s="47" t="s">
        <v>4448</v>
      </c>
      <c r="B1289" s="47" t="s">
        <v>4449</v>
      </c>
      <c r="C1289" s="47" t="s">
        <v>4450</v>
      </c>
      <c r="D1289" s="47" t="s">
        <v>4451</v>
      </c>
      <c r="E1289" s="64">
        <v>29171.69</v>
      </c>
      <c r="F1289" s="64">
        <v>1.71</v>
      </c>
    </row>
    <row r="1290" spans="1:6" x14ac:dyDescent="0.25">
      <c r="A1290" s="47" t="s">
        <v>4452</v>
      </c>
      <c r="B1290" s="47" t="s">
        <v>4453</v>
      </c>
      <c r="C1290" s="47" t="s">
        <v>4454</v>
      </c>
      <c r="D1290" s="47" t="s">
        <v>4455</v>
      </c>
      <c r="E1290" s="64">
        <v>51902.06</v>
      </c>
      <c r="F1290" s="64">
        <v>50</v>
      </c>
    </row>
    <row r="1291" spans="1:6" x14ac:dyDescent="0.25">
      <c r="A1291" s="47" t="s">
        <v>4456</v>
      </c>
      <c r="B1291" s="47" t="s">
        <v>4457</v>
      </c>
      <c r="C1291" s="47" t="s">
        <v>4458</v>
      </c>
      <c r="D1291" s="47"/>
      <c r="E1291" s="64">
        <v>39959.482499999998</v>
      </c>
      <c r="F1291" s="64">
        <v>100000000</v>
      </c>
    </row>
    <row r="1292" spans="1:6" x14ac:dyDescent="0.25">
      <c r="A1292" s="47" t="s">
        <v>4459</v>
      </c>
      <c r="B1292" s="47" t="s">
        <v>4460</v>
      </c>
      <c r="C1292" s="47" t="s">
        <v>4461</v>
      </c>
      <c r="D1292" s="47" t="s">
        <v>4462</v>
      </c>
      <c r="E1292" s="64">
        <v>35559.83</v>
      </c>
      <c r="F1292" s="64">
        <v>6.7520000000000007</v>
      </c>
    </row>
    <row r="1293" spans="1:6" x14ac:dyDescent="0.25">
      <c r="A1293" s="47" t="s">
        <v>4463</v>
      </c>
      <c r="B1293" s="47" t="s">
        <v>4464</v>
      </c>
      <c r="C1293" s="47" t="s">
        <v>4465</v>
      </c>
      <c r="D1293" s="47"/>
      <c r="E1293" s="64">
        <v>39959.482499999998</v>
      </c>
      <c r="F1293" s="64">
        <v>100000000</v>
      </c>
    </row>
    <row r="1294" spans="1:6" x14ac:dyDescent="0.25">
      <c r="A1294" s="47" t="s">
        <v>4466</v>
      </c>
      <c r="B1294" s="47" t="s">
        <v>4467</v>
      </c>
      <c r="C1294" s="47" t="s">
        <v>4468</v>
      </c>
      <c r="D1294" s="47"/>
      <c r="E1294" s="64">
        <v>39959.482499999998</v>
      </c>
      <c r="F1294" s="64">
        <v>100000000</v>
      </c>
    </row>
    <row r="1295" spans="1:6" x14ac:dyDescent="0.25">
      <c r="A1295" s="47" t="s">
        <v>4469</v>
      </c>
      <c r="B1295" s="47" t="s">
        <v>4470</v>
      </c>
      <c r="C1295" s="47" t="s">
        <v>4471</v>
      </c>
      <c r="D1295" s="47"/>
      <c r="E1295" s="64">
        <v>39959.482499999998</v>
      </c>
      <c r="F1295" s="64">
        <v>100000000</v>
      </c>
    </row>
    <row r="1296" spans="1:6" x14ac:dyDescent="0.25">
      <c r="A1296" s="47" t="s">
        <v>4472</v>
      </c>
      <c r="B1296" s="47" t="s">
        <v>4473</v>
      </c>
      <c r="C1296" s="47" t="s">
        <v>4474</v>
      </c>
      <c r="D1296" s="47"/>
      <c r="E1296" s="64">
        <v>39959.482499999998</v>
      </c>
      <c r="F1296" s="64">
        <v>100000000</v>
      </c>
    </row>
    <row r="1297" spans="1:6" x14ac:dyDescent="0.25">
      <c r="A1297" s="47" t="s">
        <v>4475</v>
      </c>
      <c r="B1297" s="47" t="s">
        <v>4476</v>
      </c>
      <c r="C1297" s="47" t="s">
        <v>4477</v>
      </c>
      <c r="D1297" s="47"/>
      <c r="E1297" s="64">
        <v>39959.482499999998</v>
      </c>
      <c r="F1297" s="64">
        <v>100000000</v>
      </c>
    </row>
    <row r="1298" spans="1:6" x14ac:dyDescent="0.25">
      <c r="A1298" s="47" t="s">
        <v>4478</v>
      </c>
      <c r="B1298" s="47" t="s">
        <v>4479</v>
      </c>
      <c r="C1298" s="47" t="s">
        <v>4480</v>
      </c>
      <c r="D1298" s="47" t="s">
        <v>4481</v>
      </c>
      <c r="E1298" s="64">
        <v>41648.74</v>
      </c>
      <c r="F1298" s="64">
        <v>339.90499999999997</v>
      </c>
    </row>
    <row r="1299" spans="1:6" x14ac:dyDescent="0.25">
      <c r="A1299" s="47" t="s">
        <v>4482</v>
      </c>
      <c r="B1299" s="47" t="s">
        <v>4483</v>
      </c>
      <c r="C1299" s="47" t="s">
        <v>4484</v>
      </c>
      <c r="D1299" s="47" t="s">
        <v>4485</v>
      </c>
      <c r="E1299" s="64">
        <v>74286.670000000013</v>
      </c>
      <c r="F1299" s="64">
        <v>13.5</v>
      </c>
    </row>
    <row r="1300" spans="1:6" x14ac:dyDescent="0.25">
      <c r="A1300" s="47" t="s">
        <v>4486</v>
      </c>
      <c r="B1300" s="47" t="s">
        <v>4487</v>
      </c>
      <c r="C1300" s="47" t="s">
        <v>4488</v>
      </c>
      <c r="D1300" s="47" t="s">
        <v>4489</v>
      </c>
      <c r="E1300" s="64">
        <v>36338.07</v>
      </c>
      <c r="F1300" s="64">
        <v>24.053062500000006</v>
      </c>
    </row>
    <row r="1301" spans="1:6" x14ac:dyDescent="0.25">
      <c r="A1301" s="47" t="s">
        <v>4490</v>
      </c>
      <c r="B1301" s="47" t="s">
        <v>4491</v>
      </c>
      <c r="C1301" s="47" t="s">
        <v>4492</v>
      </c>
      <c r="D1301" s="47" t="s">
        <v>4493</v>
      </c>
      <c r="E1301" s="64">
        <v>33110.859999999993</v>
      </c>
      <c r="F1301" s="64">
        <v>111.86944444444447</v>
      </c>
    </row>
    <row r="1302" spans="1:6" x14ac:dyDescent="0.25">
      <c r="A1302" s="47" t="s">
        <v>4494</v>
      </c>
      <c r="B1302" s="47" t="s">
        <v>4495</v>
      </c>
      <c r="C1302" s="47" t="s">
        <v>4496</v>
      </c>
      <c r="D1302" s="47"/>
      <c r="E1302" s="64">
        <v>26258.590000000004</v>
      </c>
      <c r="F1302" s="64">
        <v>22</v>
      </c>
    </row>
    <row r="1303" spans="1:6" x14ac:dyDescent="0.25">
      <c r="A1303" s="47" t="s">
        <v>4497</v>
      </c>
      <c r="B1303" s="47" t="s">
        <v>4498</v>
      </c>
      <c r="C1303" s="47" t="s">
        <v>4499</v>
      </c>
      <c r="D1303" s="47" t="s">
        <v>4500</v>
      </c>
      <c r="E1303" s="64">
        <v>35542.789999999994</v>
      </c>
      <c r="F1303" s="64">
        <v>79.479493763392853</v>
      </c>
    </row>
    <row r="1304" spans="1:6" x14ac:dyDescent="0.25">
      <c r="A1304" s="47" t="s">
        <v>4501</v>
      </c>
      <c r="B1304" s="47" t="s">
        <v>4502</v>
      </c>
      <c r="C1304" s="47" t="s">
        <v>4503</v>
      </c>
      <c r="D1304" s="47"/>
      <c r="E1304" s="64">
        <v>39959.482499999998</v>
      </c>
      <c r="F1304" s="64">
        <v>100000000</v>
      </c>
    </row>
    <row r="1305" spans="1:6" x14ac:dyDescent="0.25">
      <c r="A1305" s="47" t="s">
        <v>4504</v>
      </c>
      <c r="B1305" s="47" t="s">
        <v>4505</v>
      </c>
      <c r="C1305" s="47" t="s">
        <v>4506</v>
      </c>
      <c r="D1305" s="47" t="s">
        <v>4507</v>
      </c>
      <c r="E1305" s="64">
        <v>32590.407499999998</v>
      </c>
      <c r="F1305" s="64">
        <v>45.923333333333325</v>
      </c>
    </row>
    <row r="1306" spans="1:6" x14ac:dyDescent="0.25">
      <c r="A1306" s="47" t="s">
        <v>4508</v>
      </c>
      <c r="B1306" s="47" t="s">
        <v>4509</v>
      </c>
      <c r="C1306" s="47" t="s">
        <v>4510</v>
      </c>
      <c r="D1306" s="47" t="s">
        <v>1083</v>
      </c>
      <c r="E1306" s="64">
        <v>78501.150000000009</v>
      </c>
      <c r="F1306" s="64">
        <v>1.3</v>
      </c>
    </row>
    <row r="1307" spans="1:6" x14ac:dyDescent="0.25">
      <c r="A1307" s="47" t="s">
        <v>4511</v>
      </c>
      <c r="B1307" s="47" t="s">
        <v>4512</v>
      </c>
      <c r="C1307" s="47" t="s">
        <v>4513</v>
      </c>
      <c r="D1307" s="47" t="s">
        <v>612</v>
      </c>
      <c r="E1307" s="64">
        <v>90519.87999999999</v>
      </c>
      <c r="F1307" s="64">
        <v>47</v>
      </c>
    </row>
    <row r="1308" spans="1:6" x14ac:dyDescent="0.25">
      <c r="A1308" s="47" t="s">
        <v>4514</v>
      </c>
      <c r="B1308" s="47" t="s">
        <v>4515</v>
      </c>
      <c r="C1308" s="47" t="s">
        <v>4516</v>
      </c>
      <c r="D1308" s="47" t="s">
        <v>4500</v>
      </c>
      <c r="E1308" s="64">
        <v>39041.039999999994</v>
      </c>
      <c r="F1308" s="64">
        <v>79.479493763392853</v>
      </c>
    </row>
    <row r="1309" spans="1:6" x14ac:dyDescent="0.25">
      <c r="A1309" s="47" t="s">
        <v>4517</v>
      </c>
      <c r="B1309" s="47" t="s">
        <v>4518</v>
      </c>
      <c r="C1309" s="47" t="s">
        <v>4519</v>
      </c>
      <c r="D1309" s="47"/>
      <c r="E1309" s="64">
        <v>39959.482499999998</v>
      </c>
      <c r="F1309" s="64">
        <v>100000000</v>
      </c>
    </row>
    <row r="1310" spans="1:6" x14ac:dyDescent="0.25">
      <c r="A1310" s="47" t="s">
        <v>4520</v>
      </c>
      <c r="B1310" s="47" t="s">
        <v>4521</v>
      </c>
      <c r="C1310" s="47" t="s">
        <v>4522</v>
      </c>
      <c r="D1310" s="47" t="s">
        <v>4119</v>
      </c>
      <c r="E1310" s="64">
        <v>129759.62999999998</v>
      </c>
      <c r="F1310" s="64">
        <v>30</v>
      </c>
    </row>
    <row r="1311" spans="1:6" x14ac:dyDescent="0.25">
      <c r="A1311" s="47" t="s">
        <v>4523</v>
      </c>
      <c r="B1311" s="47" t="s">
        <v>4524</v>
      </c>
      <c r="C1311" s="47" t="s">
        <v>4525</v>
      </c>
      <c r="D1311" s="47"/>
      <c r="E1311" s="64">
        <v>39959.482499999998</v>
      </c>
      <c r="F1311" s="64">
        <v>100000000</v>
      </c>
    </row>
    <row r="1312" spans="1:6" x14ac:dyDescent="0.25">
      <c r="A1312" s="47" t="s">
        <v>4526</v>
      </c>
      <c r="B1312" s="47" t="s">
        <v>4527</v>
      </c>
      <c r="C1312" s="47" t="s">
        <v>4528</v>
      </c>
      <c r="D1312" s="47"/>
      <c r="E1312" s="64">
        <v>39959.482499999998</v>
      </c>
      <c r="F1312" s="64">
        <v>100000000</v>
      </c>
    </row>
    <row r="1313" spans="1:6" x14ac:dyDescent="0.25">
      <c r="A1313" s="47" t="s">
        <v>4529</v>
      </c>
      <c r="B1313" s="47" t="s">
        <v>4530</v>
      </c>
      <c r="C1313" s="47" t="s">
        <v>4531</v>
      </c>
      <c r="D1313" s="47"/>
      <c r="E1313" s="64">
        <v>39959.482499999998</v>
      </c>
      <c r="F1313" s="64">
        <v>100000000</v>
      </c>
    </row>
    <row r="1314" spans="1:6" x14ac:dyDescent="0.25">
      <c r="A1314" s="47" t="s">
        <v>4532</v>
      </c>
      <c r="B1314" s="47" t="s">
        <v>4533</v>
      </c>
      <c r="C1314" s="47" t="s">
        <v>4534</v>
      </c>
      <c r="D1314" s="47"/>
      <c r="E1314" s="64">
        <v>39959.482499999998</v>
      </c>
      <c r="F1314" s="64">
        <v>100000000</v>
      </c>
    </row>
    <row r="1315" spans="1:6" x14ac:dyDescent="0.25">
      <c r="A1315" s="47" t="s">
        <v>4535</v>
      </c>
      <c r="B1315" s="47" t="s">
        <v>4536</v>
      </c>
      <c r="C1315" s="47" t="s">
        <v>4537</v>
      </c>
      <c r="D1315" s="47" t="s">
        <v>4538</v>
      </c>
      <c r="E1315" s="64">
        <v>32919.010000000009</v>
      </c>
      <c r="F1315" s="64">
        <v>2.8666666666666667</v>
      </c>
    </row>
    <row r="1316" spans="1:6" x14ac:dyDescent="0.25">
      <c r="A1316" s="47" t="s">
        <v>4539</v>
      </c>
      <c r="B1316" s="47" t="s">
        <v>4540</v>
      </c>
      <c r="C1316" s="47" t="s">
        <v>4541</v>
      </c>
      <c r="D1316" s="47" t="s">
        <v>2993</v>
      </c>
      <c r="E1316" s="64">
        <v>36729.33</v>
      </c>
      <c r="F1316" s="64">
        <v>18.3185</v>
      </c>
    </row>
    <row r="1317" spans="1:6" x14ac:dyDescent="0.25">
      <c r="A1317" s="47" t="s">
        <v>4542</v>
      </c>
      <c r="B1317" s="47" t="s">
        <v>4543</v>
      </c>
      <c r="C1317" s="47" t="s">
        <v>4544</v>
      </c>
      <c r="D1317" s="47" t="s">
        <v>2331</v>
      </c>
      <c r="E1317" s="64">
        <v>127638.35</v>
      </c>
      <c r="F1317" s="64">
        <v>95.19583333333334</v>
      </c>
    </row>
    <row r="1318" spans="1:6" x14ac:dyDescent="0.25">
      <c r="A1318" s="47" t="s">
        <v>4545</v>
      </c>
      <c r="B1318" s="47" t="s">
        <v>4546</v>
      </c>
      <c r="C1318" s="47" t="s">
        <v>4547</v>
      </c>
      <c r="D1318" s="47" t="s">
        <v>2993</v>
      </c>
      <c r="E1318" s="64">
        <v>40824.709999999992</v>
      </c>
      <c r="F1318" s="64">
        <v>4.3575458106060605</v>
      </c>
    </row>
    <row r="1319" spans="1:6" x14ac:dyDescent="0.25">
      <c r="A1319" s="47" t="s">
        <v>4548</v>
      </c>
      <c r="B1319" s="47" t="s">
        <v>4549</v>
      </c>
      <c r="C1319" s="47" t="s">
        <v>4550</v>
      </c>
      <c r="D1319" s="47" t="s">
        <v>4551</v>
      </c>
      <c r="E1319" s="64">
        <v>39422.050000000003</v>
      </c>
      <c r="F1319" s="64">
        <v>4.3575458106060605</v>
      </c>
    </row>
    <row r="1320" spans="1:6" x14ac:dyDescent="0.25">
      <c r="A1320" s="47" t="s">
        <v>4552</v>
      </c>
      <c r="B1320" s="47" t="s">
        <v>4553</v>
      </c>
      <c r="C1320" s="47" t="s">
        <v>4554</v>
      </c>
      <c r="D1320" s="47" t="s">
        <v>3279</v>
      </c>
      <c r="E1320" s="64">
        <v>60822.099999999991</v>
      </c>
      <c r="F1320" s="64">
        <v>71</v>
      </c>
    </row>
    <row r="1321" spans="1:6" x14ac:dyDescent="0.25">
      <c r="A1321" s="47" t="s">
        <v>4555</v>
      </c>
      <c r="B1321" s="47" t="s">
        <v>4556</v>
      </c>
      <c r="C1321" s="47" t="s">
        <v>4557</v>
      </c>
      <c r="D1321" s="47" t="s">
        <v>4558</v>
      </c>
      <c r="E1321" s="64">
        <v>21225.620000000003</v>
      </c>
      <c r="F1321" s="64">
        <v>0.29199999999999998</v>
      </c>
    </row>
    <row r="1322" spans="1:6" x14ac:dyDescent="0.25">
      <c r="A1322" s="47" t="s">
        <v>4559</v>
      </c>
      <c r="B1322" s="47" t="s">
        <v>4560</v>
      </c>
      <c r="C1322" s="47" t="s">
        <v>4561</v>
      </c>
      <c r="D1322" s="47"/>
      <c r="E1322" s="64">
        <v>39959.482499999998</v>
      </c>
      <c r="F1322" s="64">
        <v>100000000</v>
      </c>
    </row>
    <row r="1323" spans="1:6" x14ac:dyDescent="0.25">
      <c r="A1323" s="47" t="s">
        <v>4562</v>
      </c>
      <c r="B1323" s="47" t="s">
        <v>4563</v>
      </c>
      <c r="C1323" s="47" t="s">
        <v>4564</v>
      </c>
      <c r="D1323" s="47"/>
      <c r="E1323" s="64">
        <v>39959.482499999998</v>
      </c>
      <c r="F1323" s="64">
        <v>100000000</v>
      </c>
    </row>
    <row r="1324" spans="1:6" x14ac:dyDescent="0.25">
      <c r="A1324" s="47" t="s">
        <v>4565</v>
      </c>
      <c r="B1324" s="47" t="s">
        <v>4566</v>
      </c>
      <c r="C1324" s="47" t="s">
        <v>4567</v>
      </c>
      <c r="D1324" s="47"/>
      <c r="E1324" s="64">
        <v>39959.482499999998</v>
      </c>
      <c r="F1324" s="64">
        <v>100000000</v>
      </c>
    </row>
    <row r="1325" spans="1:6" x14ac:dyDescent="0.25">
      <c r="A1325" s="47" t="s">
        <v>4568</v>
      </c>
      <c r="B1325" s="47" t="s">
        <v>4569</v>
      </c>
      <c r="C1325" s="47" t="s">
        <v>4570</v>
      </c>
      <c r="D1325" s="47"/>
      <c r="E1325" s="64">
        <v>39959.482499999998</v>
      </c>
      <c r="F1325" s="64">
        <v>100000000</v>
      </c>
    </row>
    <row r="1326" spans="1:6" x14ac:dyDescent="0.25">
      <c r="A1326" s="47" t="s">
        <v>4571</v>
      </c>
      <c r="B1326" s="47" t="s">
        <v>4572</v>
      </c>
      <c r="C1326" s="47" t="s">
        <v>4573</v>
      </c>
      <c r="D1326" s="47"/>
      <c r="E1326" s="64">
        <v>39959.482499999998</v>
      </c>
      <c r="F1326" s="64">
        <v>100000000</v>
      </c>
    </row>
    <row r="1327" spans="1:6" x14ac:dyDescent="0.25">
      <c r="A1327" s="47" t="s">
        <v>4574</v>
      </c>
      <c r="B1327" s="47" t="s">
        <v>4575</v>
      </c>
      <c r="C1327" s="47" t="s">
        <v>4576</v>
      </c>
      <c r="D1327" s="47"/>
      <c r="E1327" s="64">
        <v>39959.482499999998</v>
      </c>
      <c r="F1327" s="64">
        <v>100000000</v>
      </c>
    </row>
    <row r="1328" spans="1:6" x14ac:dyDescent="0.25">
      <c r="A1328" s="47" t="s">
        <v>4577</v>
      </c>
      <c r="B1328" s="47" t="s">
        <v>4578</v>
      </c>
      <c r="C1328" s="47" t="s">
        <v>4579</v>
      </c>
      <c r="D1328" s="47"/>
      <c r="E1328" s="64">
        <v>39959.482499999998</v>
      </c>
      <c r="F1328" s="64">
        <v>100000000</v>
      </c>
    </row>
    <row r="1329" spans="1:6" x14ac:dyDescent="0.25">
      <c r="A1329" s="47" t="s">
        <v>4580</v>
      </c>
      <c r="B1329" s="47" t="s">
        <v>4581</v>
      </c>
      <c r="C1329" s="47" t="s">
        <v>4582</v>
      </c>
      <c r="D1329" s="47"/>
      <c r="E1329" s="64">
        <v>39959.482499999998</v>
      </c>
      <c r="F1329" s="64">
        <v>100000000</v>
      </c>
    </row>
    <row r="1330" spans="1:6" x14ac:dyDescent="0.25">
      <c r="A1330" s="47" t="s">
        <v>4583</v>
      </c>
      <c r="B1330" s="47" t="s">
        <v>4584</v>
      </c>
      <c r="C1330" s="47" t="s">
        <v>4585</v>
      </c>
      <c r="D1330" s="47" t="s">
        <v>734</v>
      </c>
      <c r="E1330" s="64">
        <v>23585.280000000002</v>
      </c>
      <c r="F1330" s="64">
        <v>879</v>
      </c>
    </row>
    <row r="1331" spans="1:6" x14ac:dyDescent="0.25">
      <c r="A1331" s="47" t="s">
        <v>4586</v>
      </c>
      <c r="B1331" s="47" t="s">
        <v>4587</v>
      </c>
      <c r="C1331" s="47" t="s">
        <v>4588</v>
      </c>
      <c r="D1331" s="47"/>
      <c r="E1331" s="64">
        <v>221472.41000000003</v>
      </c>
      <c r="F1331" s="64">
        <v>22</v>
      </c>
    </row>
    <row r="1332" spans="1:6" x14ac:dyDescent="0.25">
      <c r="A1332" s="47" t="s">
        <v>4589</v>
      </c>
      <c r="B1332" s="47" t="s">
        <v>4590</v>
      </c>
      <c r="C1332" s="47" t="s">
        <v>4591</v>
      </c>
      <c r="D1332" s="47"/>
      <c r="E1332" s="64">
        <v>33801.954999999994</v>
      </c>
      <c r="F1332" s="64">
        <v>22</v>
      </c>
    </row>
    <row r="1333" spans="1:6" x14ac:dyDescent="0.25">
      <c r="A1333" s="47" t="s">
        <v>4592</v>
      </c>
      <c r="B1333" s="47" t="s">
        <v>4593</v>
      </c>
      <c r="C1333" s="47" t="s">
        <v>4594</v>
      </c>
      <c r="D1333" s="47"/>
      <c r="E1333" s="64">
        <v>39959.482499999998</v>
      </c>
      <c r="F1333" s="64">
        <v>100000000</v>
      </c>
    </row>
    <row r="1334" spans="1:6" x14ac:dyDescent="0.25">
      <c r="A1334" s="47" t="s">
        <v>4595</v>
      </c>
      <c r="B1334" s="47" t="s">
        <v>4596</v>
      </c>
      <c r="C1334" s="47" t="s">
        <v>4597</v>
      </c>
      <c r="D1334" s="47"/>
      <c r="E1334" s="64">
        <v>44192.630000000005</v>
      </c>
      <c r="F1334" s="64">
        <v>22</v>
      </c>
    </row>
    <row r="1335" spans="1:6" x14ac:dyDescent="0.25">
      <c r="A1335" s="47" t="s">
        <v>4598</v>
      </c>
      <c r="B1335" s="47" t="s">
        <v>4599</v>
      </c>
      <c r="C1335" s="47" t="s">
        <v>4600</v>
      </c>
      <c r="D1335" s="47"/>
      <c r="E1335" s="64">
        <v>39959.482499999998</v>
      </c>
      <c r="F1335" s="64">
        <v>100000000</v>
      </c>
    </row>
    <row r="1336" spans="1:6" x14ac:dyDescent="0.25">
      <c r="A1336" s="47" t="s">
        <v>4601</v>
      </c>
      <c r="B1336" s="47" t="s">
        <v>4602</v>
      </c>
      <c r="C1336" s="47" t="s">
        <v>4603</v>
      </c>
      <c r="D1336" s="47"/>
      <c r="E1336" s="64">
        <v>39959.482499999998</v>
      </c>
      <c r="F1336" s="64">
        <v>100000000</v>
      </c>
    </row>
    <row r="1337" spans="1:6" x14ac:dyDescent="0.25">
      <c r="A1337" s="47" t="s">
        <v>4604</v>
      </c>
      <c r="B1337" s="47" t="s">
        <v>4605</v>
      </c>
      <c r="C1337" s="47" t="s">
        <v>4606</v>
      </c>
      <c r="D1337" s="47"/>
      <c r="E1337" s="64">
        <v>39959.482499999998</v>
      </c>
      <c r="F1337" s="64">
        <v>100000000</v>
      </c>
    </row>
    <row r="1338" spans="1:6" x14ac:dyDescent="0.25">
      <c r="A1338" s="47" t="s">
        <v>4607</v>
      </c>
      <c r="B1338" s="47" t="s">
        <v>4608</v>
      </c>
      <c r="C1338" s="47" t="s">
        <v>4609</v>
      </c>
      <c r="D1338" s="47" t="s">
        <v>4610</v>
      </c>
      <c r="E1338" s="64">
        <v>30871.4</v>
      </c>
      <c r="F1338" s="64">
        <v>14.804833333333335</v>
      </c>
    </row>
    <row r="1339" spans="1:6" x14ac:dyDescent="0.25">
      <c r="A1339" s="47" t="s">
        <v>4611</v>
      </c>
      <c r="B1339" s="47" t="s">
        <v>4612</v>
      </c>
      <c r="C1339" s="47" t="s">
        <v>4613</v>
      </c>
      <c r="D1339" s="47" t="s">
        <v>4500</v>
      </c>
      <c r="E1339" s="64">
        <v>38729.56</v>
      </c>
      <c r="F1339" s="64">
        <v>79.479493763392853</v>
      </c>
    </row>
    <row r="1340" spans="1:6" x14ac:dyDescent="0.25">
      <c r="A1340" s="47" t="s">
        <v>4614</v>
      </c>
      <c r="B1340" s="47" t="s">
        <v>4615</v>
      </c>
      <c r="C1340" s="47" t="s">
        <v>4616</v>
      </c>
      <c r="D1340" s="47" t="s">
        <v>4610</v>
      </c>
      <c r="E1340" s="64">
        <v>27460.090000000004</v>
      </c>
      <c r="F1340" s="64">
        <v>14.804833333333335</v>
      </c>
    </row>
    <row r="1341" spans="1:6" x14ac:dyDescent="0.25">
      <c r="A1341" s="47" t="s">
        <v>4617</v>
      </c>
      <c r="B1341" s="47" t="s">
        <v>4618</v>
      </c>
      <c r="C1341" s="47" t="s">
        <v>4619</v>
      </c>
      <c r="D1341" s="47" t="s">
        <v>358</v>
      </c>
      <c r="E1341" s="64">
        <v>44967.116666666669</v>
      </c>
      <c r="F1341" s="64">
        <v>45.1</v>
      </c>
    </row>
    <row r="1342" spans="1:6" x14ac:dyDescent="0.25">
      <c r="A1342" s="47" t="s">
        <v>4620</v>
      </c>
      <c r="B1342" s="47" t="s">
        <v>3382</v>
      </c>
      <c r="C1342" s="47" t="s">
        <v>4621</v>
      </c>
      <c r="D1342" s="47" t="s">
        <v>798</v>
      </c>
      <c r="E1342" s="64">
        <v>26216.124</v>
      </c>
      <c r="F1342" s="64">
        <v>9.84</v>
      </c>
    </row>
    <row r="1343" spans="1:6" x14ac:dyDescent="0.25">
      <c r="A1343" s="47" t="s">
        <v>4622</v>
      </c>
      <c r="B1343" s="47" t="s">
        <v>4623</v>
      </c>
      <c r="C1343" s="47" t="s">
        <v>4624</v>
      </c>
      <c r="D1343" s="47" t="s">
        <v>4625</v>
      </c>
      <c r="E1343" s="64">
        <v>43832.744999999995</v>
      </c>
      <c r="F1343" s="64">
        <v>3.3</v>
      </c>
    </row>
    <row r="1344" spans="1:6" x14ac:dyDescent="0.25">
      <c r="A1344" s="47" t="s">
        <v>4626</v>
      </c>
      <c r="B1344" s="47" t="s">
        <v>4627</v>
      </c>
      <c r="C1344" s="47" t="s">
        <v>4628</v>
      </c>
      <c r="D1344" s="47" t="s">
        <v>4629</v>
      </c>
      <c r="E1344" s="64">
        <v>52727.520000000004</v>
      </c>
      <c r="F1344" s="64">
        <v>900</v>
      </c>
    </row>
    <row r="1345" spans="1:6" x14ac:dyDescent="0.25">
      <c r="A1345" s="47" t="s">
        <v>4630</v>
      </c>
      <c r="B1345" s="47" t="s">
        <v>4631</v>
      </c>
      <c r="C1345" s="47" t="s">
        <v>4632</v>
      </c>
      <c r="D1345" s="47" t="s">
        <v>4425</v>
      </c>
      <c r="E1345" s="64">
        <v>37593.57</v>
      </c>
      <c r="F1345" s="64">
        <v>185.2</v>
      </c>
    </row>
    <row r="1346" spans="1:6" x14ac:dyDescent="0.25">
      <c r="A1346" s="47" t="s">
        <v>4633</v>
      </c>
      <c r="B1346" s="47" t="s">
        <v>4634</v>
      </c>
      <c r="C1346" s="47" t="s">
        <v>4635</v>
      </c>
      <c r="D1346" s="47"/>
      <c r="E1346" s="64">
        <v>26797.005000000005</v>
      </c>
      <c r="F1346" s="64">
        <v>22</v>
      </c>
    </row>
    <row r="1347" spans="1:6" x14ac:dyDescent="0.25">
      <c r="A1347" s="47" t="s">
        <v>4636</v>
      </c>
      <c r="B1347" s="47" t="s">
        <v>4637</v>
      </c>
      <c r="C1347" s="47" t="s">
        <v>4638</v>
      </c>
      <c r="D1347" s="47"/>
      <c r="E1347" s="64">
        <v>39959.482499999998</v>
      </c>
      <c r="F1347" s="64">
        <v>100000000</v>
      </c>
    </row>
    <row r="1348" spans="1:6" x14ac:dyDescent="0.25">
      <c r="A1348" s="47" t="s">
        <v>4639</v>
      </c>
      <c r="B1348" s="47" t="s">
        <v>4640</v>
      </c>
      <c r="C1348" s="47" t="s">
        <v>4641</v>
      </c>
      <c r="D1348" s="47"/>
      <c r="E1348" s="64">
        <v>39959.482499999998</v>
      </c>
      <c r="F1348" s="64">
        <v>100000000</v>
      </c>
    </row>
    <row r="1349" spans="1:6" x14ac:dyDescent="0.25">
      <c r="A1349" s="47" t="s">
        <v>4642</v>
      </c>
      <c r="B1349" s="47" t="s">
        <v>4643</v>
      </c>
      <c r="C1349" s="47" t="s">
        <v>4644</v>
      </c>
      <c r="D1349" s="47" t="s">
        <v>4645</v>
      </c>
      <c r="E1349" s="64">
        <v>64610.30000000001</v>
      </c>
      <c r="F1349" s="64">
        <v>3011</v>
      </c>
    </row>
    <row r="1350" spans="1:6" x14ac:dyDescent="0.25">
      <c r="A1350" s="47" t="s">
        <v>4646</v>
      </c>
      <c r="B1350" s="47" t="s">
        <v>4647</v>
      </c>
      <c r="C1350" s="47" t="s">
        <v>4648</v>
      </c>
      <c r="D1350" s="47" t="s">
        <v>4649</v>
      </c>
      <c r="E1350" s="64">
        <v>49950</v>
      </c>
      <c r="F1350" s="64">
        <v>3.3999999999999996E-2</v>
      </c>
    </row>
    <row r="1351" spans="1:6" x14ac:dyDescent="0.25">
      <c r="A1351" s="47" t="s">
        <v>4650</v>
      </c>
      <c r="B1351" s="47" t="s">
        <v>4651</v>
      </c>
      <c r="C1351" s="47" t="s">
        <v>4652</v>
      </c>
      <c r="D1351" s="47" t="s">
        <v>4653</v>
      </c>
      <c r="E1351" s="64">
        <v>50183.289999999994</v>
      </c>
      <c r="F1351" s="64">
        <v>2.62</v>
      </c>
    </row>
    <row r="1352" spans="1:6" x14ac:dyDescent="0.25">
      <c r="A1352" s="47" t="s">
        <v>4654</v>
      </c>
      <c r="B1352" s="47" t="s">
        <v>4655</v>
      </c>
      <c r="C1352" s="47" t="s">
        <v>4656</v>
      </c>
      <c r="D1352" s="47" t="s">
        <v>4657</v>
      </c>
      <c r="E1352" s="64">
        <v>35152.36</v>
      </c>
      <c r="F1352" s="64">
        <v>72</v>
      </c>
    </row>
    <row r="1353" spans="1:6" x14ac:dyDescent="0.25">
      <c r="A1353" s="47" t="s">
        <v>4658</v>
      </c>
      <c r="B1353" s="47" t="s">
        <v>4659</v>
      </c>
      <c r="C1353" s="47" t="s">
        <v>4660</v>
      </c>
      <c r="D1353" s="47"/>
      <c r="E1353" s="64">
        <v>26785.61</v>
      </c>
      <c r="F1353" s="64">
        <v>22</v>
      </c>
    </row>
    <row r="1354" spans="1:6" x14ac:dyDescent="0.25">
      <c r="A1354" s="47" t="s">
        <v>4661</v>
      </c>
      <c r="B1354" s="47" t="s">
        <v>4662</v>
      </c>
      <c r="C1354" s="47" t="s">
        <v>4663</v>
      </c>
      <c r="D1354" s="47"/>
      <c r="E1354" s="64">
        <v>26785.61</v>
      </c>
      <c r="F1354" s="64">
        <v>22</v>
      </c>
    </row>
    <row r="1355" spans="1:6" x14ac:dyDescent="0.25">
      <c r="A1355" s="47" t="s">
        <v>4664</v>
      </c>
      <c r="B1355" s="47" t="s">
        <v>4665</v>
      </c>
      <c r="C1355" s="47" t="s">
        <v>4666</v>
      </c>
      <c r="D1355" s="47"/>
      <c r="E1355" s="64">
        <v>39959.482499999998</v>
      </c>
      <c r="F1355" s="64">
        <v>100000000</v>
      </c>
    </row>
    <row r="1356" spans="1:6" x14ac:dyDescent="0.25">
      <c r="A1356" s="47" t="s">
        <v>4667</v>
      </c>
      <c r="B1356" s="47" t="s">
        <v>4668</v>
      </c>
      <c r="C1356" s="47" t="s">
        <v>4669</v>
      </c>
      <c r="D1356" s="47" t="s">
        <v>408</v>
      </c>
      <c r="E1356" s="64">
        <v>28702.090000000004</v>
      </c>
      <c r="F1356" s="64">
        <v>226.64240000000001</v>
      </c>
    </row>
    <row r="1357" spans="1:6" x14ac:dyDescent="0.25">
      <c r="A1357" s="47" t="s">
        <v>4670</v>
      </c>
      <c r="B1357" s="47" t="s">
        <v>4671</v>
      </c>
      <c r="C1357" s="47" t="s">
        <v>4672</v>
      </c>
      <c r="D1357" s="47" t="s">
        <v>4673</v>
      </c>
      <c r="E1357" s="64">
        <v>36852.93</v>
      </c>
      <c r="F1357" s="64">
        <v>1.08</v>
      </c>
    </row>
    <row r="1358" spans="1:6" x14ac:dyDescent="0.25">
      <c r="A1358" s="47" t="s">
        <v>4674</v>
      </c>
      <c r="B1358" s="47" t="s">
        <v>4675</v>
      </c>
      <c r="C1358" s="47" t="s">
        <v>4676</v>
      </c>
      <c r="D1358" s="47" t="s">
        <v>911</v>
      </c>
      <c r="E1358" s="64">
        <v>36140.07</v>
      </c>
      <c r="F1358" s="64">
        <v>0.75</v>
      </c>
    </row>
    <row r="1359" spans="1:6" x14ac:dyDescent="0.25">
      <c r="A1359" s="47" t="s">
        <v>4677</v>
      </c>
      <c r="B1359" s="47" t="s">
        <v>3769</v>
      </c>
      <c r="C1359" s="47" t="s">
        <v>4678</v>
      </c>
      <c r="D1359" s="47" t="s">
        <v>1943</v>
      </c>
      <c r="E1359" s="64">
        <v>27408.809999999998</v>
      </c>
      <c r="F1359" s="64">
        <v>3.3</v>
      </c>
    </row>
    <row r="1360" spans="1:6" x14ac:dyDescent="0.25">
      <c r="A1360" s="47" t="s">
        <v>4679</v>
      </c>
      <c r="B1360" s="47" t="s">
        <v>4680</v>
      </c>
      <c r="C1360" s="47" t="s">
        <v>4681</v>
      </c>
      <c r="D1360" s="47" t="s">
        <v>4682</v>
      </c>
      <c r="E1360" s="64">
        <v>38977.050000000003</v>
      </c>
      <c r="F1360" s="64">
        <v>1016</v>
      </c>
    </row>
    <row r="1361" spans="1:6" x14ac:dyDescent="0.25">
      <c r="A1361" s="47" t="s">
        <v>4683</v>
      </c>
      <c r="B1361" s="47" t="s">
        <v>4684</v>
      </c>
      <c r="C1361" s="47" t="s">
        <v>4685</v>
      </c>
      <c r="D1361" s="47" t="s">
        <v>4682</v>
      </c>
      <c r="E1361" s="64">
        <v>38977.050000000003</v>
      </c>
      <c r="F1361" s="64">
        <v>1016</v>
      </c>
    </row>
    <row r="1362" spans="1:6" x14ac:dyDescent="0.25">
      <c r="A1362" s="47" t="s">
        <v>4686</v>
      </c>
      <c r="B1362" s="47" t="s">
        <v>4687</v>
      </c>
      <c r="C1362" s="47" t="s">
        <v>4688</v>
      </c>
      <c r="D1362" s="47" t="s">
        <v>4682</v>
      </c>
      <c r="E1362" s="64">
        <v>38977.050000000003</v>
      </c>
      <c r="F1362" s="64">
        <v>1016</v>
      </c>
    </row>
    <row r="1363" spans="1:6" x14ac:dyDescent="0.25">
      <c r="A1363" s="47" t="s">
        <v>4689</v>
      </c>
      <c r="B1363" s="47" t="s">
        <v>4690</v>
      </c>
      <c r="C1363" s="47" t="s">
        <v>4691</v>
      </c>
      <c r="D1363" s="47" t="s">
        <v>4682</v>
      </c>
      <c r="E1363" s="64">
        <v>38977.050000000003</v>
      </c>
      <c r="F1363" s="64">
        <v>1016</v>
      </c>
    </row>
    <row r="1364" spans="1:6" x14ac:dyDescent="0.25">
      <c r="A1364" s="47" t="s">
        <v>4692</v>
      </c>
      <c r="B1364" s="47" t="s">
        <v>4693</v>
      </c>
      <c r="C1364" s="47" t="s">
        <v>4694</v>
      </c>
      <c r="D1364" s="47"/>
      <c r="E1364" s="64">
        <v>41654.650000000009</v>
      </c>
      <c r="F1364" s="64">
        <v>100000000</v>
      </c>
    </row>
    <row r="1365" spans="1:6" x14ac:dyDescent="0.25">
      <c r="A1365" s="47" t="s">
        <v>4695</v>
      </c>
      <c r="B1365" s="47" t="s">
        <v>4696</v>
      </c>
      <c r="C1365" s="47" t="s">
        <v>4697</v>
      </c>
      <c r="D1365" s="47" t="s">
        <v>1003</v>
      </c>
      <c r="E1365" s="64">
        <v>89318.79</v>
      </c>
      <c r="F1365" s="64">
        <v>21.94</v>
      </c>
    </row>
    <row r="1366" spans="1:6" x14ac:dyDescent="0.25">
      <c r="A1366" s="47" t="s">
        <v>4698</v>
      </c>
      <c r="B1366" s="47" t="s">
        <v>4699</v>
      </c>
      <c r="C1366" s="47" t="s">
        <v>4700</v>
      </c>
      <c r="D1366" s="47" t="s">
        <v>1003</v>
      </c>
      <c r="E1366" s="64">
        <v>89318.79</v>
      </c>
      <c r="F1366" s="64">
        <v>21.94</v>
      </c>
    </row>
    <row r="1367" spans="1:6" x14ac:dyDescent="0.25">
      <c r="A1367" s="47" t="s">
        <v>4701</v>
      </c>
      <c r="B1367" s="47" t="s">
        <v>4702</v>
      </c>
      <c r="C1367" s="47" t="s">
        <v>4703</v>
      </c>
      <c r="D1367" s="47" t="s">
        <v>4069</v>
      </c>
      <c r="E1367" s="64">
        <v>152677.46000000002</v>
      </c>
      <c r="F1367" s="64">
        <v>95.19583333333334</v>
      </c>
    </row>
    <row r="1368" spans="1:6" x14ac:dyDescent="0.25">
      <c r="A1368" s="47" t="s">
        <v>4704</v>
      </c>
      <c r="B1368" s="47" t="s">
        <v>4705</v>
      </c>
      <c r="C1368" s="47" t="s">
        <v>4706</v>
      </c>
      <c r="D1368" s="47" t="s">
        <v>4069</v>
      </c>
      <c r="E1368" s="64">
        <v>152677.46000000002</v>
      </c>
      <c r="F1368" s="64">
        <v>95.19583333333334</v>
      </c>
    </row>
    <row r="1369" spans="1:6" x14ac:dyDescent="0.25">
      <c r="A1369" s="47" t="s">
        <v>4707</v>
      </c>
      <c r="B1369" s="47" t="s">
        <v>4708</v>
      </c>
      <c r="C1369" s="47" t="s">
        <v>4709</v>
      </c>
      <c r="D1369" s="47" t="s">
        <v>4069</v>
      </c>
      <c r="E1369" s="64">
        <v>152677.46000000002</v>
      </c>
      <c r="F1369" s="64">
        <v>95.19583333333334</v>
      </c>
    </row>
    <row r="1370" spans="1:6" x14ac:dyDescent="0.25">
      <c r="A1370" s="47" t="s">
        <v>4710</v>
      </c>
      <c r="B1370" s="47" t="s">
        <v>4711</v>
      </c>
      <c r="C1370" s="47" t="s">
        <v>4712</v>
      </c>
      <c r="D1370" s="47" t="s">
        <v>2109</v>
      </c>
      <c r="E1370" s="64">
        <v>11532.1</v>
      </c>
      <c r="F1370" s="64">
        <v>69.50713596491228</v>
      </c>
    </row>
    <row r="1371" spans="1:6" x14ac:dyDescent="0.25">
      <c r="A1371" s="47" t="s">
        <v>4713</v>
      </c>
      <c r="B1371" s="47" t="s">
        <v>4714</v>
      </c>
      <c r="C1371" s="47" t="s">
        <v>4715</v>
      </c>
      <c r="D1371" s="47" t="s">
        <v>2109</v>
      </c>
      <c r="E1371" s="64">
        <v>11532.1</v>
      </c>
      <c r="F1371" s="64">
        <v>69.50713596491228</v>
      </c>
    </row>
    <row r="1372" spans="1:6" x14ac:dyDescent="0.25">
      <c r="A1372" s="47" t="s">
        <v>4716</v>
      </c>
      <c r="B1372" s="47" t="s">
        <v>4717</v>
      </c>
      <c r="C1372" s="47" t="s">
        <v>4718</v>
      </c>
      <c r="D1372" s="47" t="s">
        <v>4682</v>
      </c>
      <c r="E1372" s="64">
        <v>38977.050000000003</v>
      </c>
      <c r="F1372" s="64">
        <v>1016</v>
      </c>
    </row>
    <row r="1373" spans="1:6" x14ac:dyDescent="0.25">
      <c r="A1373" s="47" t="s">
        <v>4719</v>
      </c>
      <c r="B1373" s="47" t="s">
        <v>4720</v>
      </c>
      <c r="C1373" s="47" t="s">
        <v>4721</v>
      </c>
      <c r="D1373" s="47" t="s">
        <v>4682</v>
      </c>
      <c r="E1373" s="64">
        <v>38977.050000000003</v>
      </c>
      <c r="F1373" s="64">
        <v>1016</v>
      </c>
    </row>
    <row r="1374" spans="1:6" x14ac:dyDescent="0.25">
      <c r="A1374" s="47" t="s">
        <v>4722</v>
      </c>
      <c r="B1374" s="47" t="s">
        <v>4723</v>
      </c>
      <c r="C1374" s="47" t="s">
        <v>4724</v>
      </c>
      <c r="D1374" s="47" t="s">
        <v>4682</v>
      </c>
      <c r="E1374" s="64">
        <v>38977.050000000003</v>
      </c>
      <c r="F1374" s="64">
        <v>1016</v>
      </c>
    </row>
    <row r="1375" spans="1:6" x14ac:dyDescent="0.25">
      <c r="A1375" s="47" t="s">
        <v>4725</v>
      </c>
      <c r="B1375" s="47" t="s">
        <v>4726</v>
      </c>
      <c r="C1375" s="47" t="s">
        <v>4727</v>
      </c>
      <c r="D1375" s="47" t="s">
        <v>4682</v>
      </c>
      <c r="E1375" s="64">
        <v>38977.050000000003</v>
      </c>
      <c r="F1375" s="64">
        <v>1016</v>
      </c>
    </row>
    <row r="1376" spans="1:6" x14ac:dyDescent="0.25">
      <c r="A1376" s="47" t="s">
        <v>4728</v>
      </c>
      <c r="B1376" s="47" t="s">
        <v>4729</v>
      </c>
      <c r="C1376" s="47" t="s">
        <v>4730</v>
      </c>
      <c r="D1376" s="47" t="s">
        <v>4682</v>
      </c>
      <c r="E1376" s="64">
        <v>38977.050000000003</v>
      </c>
      <c r="F1376" s="64">
        <v>1016</v>
      </c>
    </row>
    <row r="1377" spans="1:6" x14ac:dyDescent="0.25">
      <c r="A1377" s="47" t="s">
        <v>4731</v>
      </c>
      <c r="B1377" s="47" t="s">
        <v>4732</v>
      </c>
      <c r="C1377" s="47" t="s">
        <v>4733</v>
      </c>
      <c r="D1377" s="47"/>
      <c r="E1377" s="64">
        <v>41654.650000000009</v>
      </c>
      <c r="F1377" s="64">
        <v>100000000</v>
      </c>
    </row>
    <row r="1378" spans="1:6" x14ac:dyDescent="0.25">
      <c r="A1378" s="47" t="s">
        <v>4734</v>
      </c>
      <c r="B1378" s="47" t="s">
        <v>4735</v>
      </c>
      <c r="C1378" s="47" t="s">
        <v>4736</v>
      </c>
      <c r="D1378" s="47"/>
      <c r="E1378" s="64">
        <v>41654.650000000009</v>
      </c>
      <c r="F1378" s="64">
        <v>100000000</v>
      </c>
    </row>
    <row r="1379" spans="1:6" x14ac:dyDescent="0.25">
      <c r="A1379" s="47" t="s">
        <v>4737</v>
      </c>
      <c r="B1379" s="47" t="s">
        <v>4738</v>
      </c>
      <c r="C1379" s="47" t="s">
        <v>4739</v>
      </c>
      <c r="D1379" s="47" t="s">
        <v>4740</v>
      </c>
      <c r="E1379" s="64">
        <v>20507.640000000003</v>
      </c>
      <c r="F1379" s="64">
        <v>4.8062499999999995</v>
      </c>
    </row>
    <row r="1380" spans="1:6" x14ac:dyDescent="0.25">
      <c r="A1380" s="47" t="s">
        <v>4741</v>
      </c>
      <c r="B1380" s="47" t="s">
        <v>4742</v>
      </c>
      <c r="C1380" s="47" t="s">
        <v>4743</v>
      </c>
      <c r="D1380" s="47" t="s">
        <v>1003</v>
      </c>
      <c r="E1380" s="64">
        <v>80697.55</v>
      </c>
      <c r="F1380" s="64">
        <v>1.6E-2</v>
      </c>
    </row>
    <row r="1381" spans="1:6" x14ac:dyDescent="0.25">
      <c r="A1381" s="47" t="s">
        <v>4744</v>
      </c>
      <c r="B1381" s="47" t="s">
        <v>4745</v>
      </c>
      <c r="C1381" s="47" t="s">
        <v>4746</v>
      </c>
      <c r="D1381" s="47" t="s">
        <v>1003</v>
      </c>
      <c r="E1381" s="64">
        <v>80697.55</v>
      </c>
      <c r="F1381" s="64">
        <v>1.6E-2</v>
      </c>
    </row>
    <row r="1382" spans="1:6" x14ac:dyDescent="0.25">
      <c r="A1382" s="47" t="s">
        <v>4747</v>
      </c>
      <c r="B1382" s="47" t="s">
        <v>4748</v>
      </c>
      <c r="C1382" s="47" t="s">
        <v>4749</v>
      </c>
      <c r="D1382" s="47" t="s">
        <v>4682</v>
      </c>
      <c r="E1382" s="64">
        <v>38977.050000000003</v>
      </c>
      <c r="F1382" s="64">
        <v>1016</v>
      </c>
    </row>
    <row r="1383" spans="1:6" x14ac:dyDescent="0.25">
      <c r="A1383" s="47" t="s">
        <v>4750</v>
      </c>
      <c r="B1383" s="47" t="s">
        <v>4751</v>
      </c>
      <c r="C1383" s="47" t="s">
        <v>4752</v>
      </c>
      <c r="D1383" s="47" t="s">
        <v>4753</v>
      </c>
      <c r="E1383" s="64">
        <v>33162.049999999996</v>
      </c>
      <c r="F1383" s="64">
        <v>2.48</v>
      </c>
    </row>
    <row r="1384" spans="1:6" x14ac:dyDescent="0.25">
      <c r="A1384" s="47" t="s">
        <v>4754</v>
      </c>
      <c r="B1384" s="47" t="s">
        <v>4755</v>
      </c>
      <c r="C1384" s="47" t="s">
        <v>4756</v>
      </c>
      <c r="D1384" s="47" t="s">
        <v>4757</v>
      </c>
      <c r="E1384" s="64">
        <v>33162.049999999996</v>
      </c>
      <c r="F1384" s="64">
        <v>1.1000000000000001</v>
      </c>
    </row>
    <row r="1385" spans="1:6" x14ac:dyDescent="0.25">
      <c r="A1385" s="47" t="s">
        <v>4758</v>
      </c>
      <c r="B1385" s="47" t="s">
        <v>4759</v>
      </c>
      <c r="C1385" s="47" t="s">
        <v>4760</v>
      </c>
      <c r="D1385" s="47" t="s">
        <v>4753</v>
      </c>
      <c r="E1385" s="64">
        <v>33162.049999999996</v>
      </c>
      <c r="F1385" s="64">
        <v>2.48</v>
      </c>
    </row>
    <row r="1386" spans="1:6" x14ac:dyDescent="0.25">
      <c r="A1386" s="47" t="s">
        <v>4761</v>
      </c>
      <c r="B1386" s="47" t="s">
        <v>4762</v>
      </c>
      <c r="C1386" s="47" t="s">
        <v>4763</v>
      </c>
      <c r="D1386" s="47" t="s">
        <v>1003</v>
      </c>
      <c r="E1386" s="64">
        <v>89318.79</v>
      </c>
      <c r="F1386" s="64">
        <v>21.94</v>
      </c>
    </row>
    <row r="1387" spans="1:6" x14ac:dyDescent="0.25">
      <c r="A1387" s="47" t="s">
        <v>4764</v>
      </c>
      <c r="B1387" s="47" t="s">
        <v>4765</v>
      </c>
      <c r="C1387" s="47" t="s">
        <v>4766</v>
      </c>
      <c r="D1387" s="47" t="s">
        <v>1003</v>
      </c>
      <c r="E1387" s="64">
        <v>89318.79</v>
      </c>
      <c r="F1387" s="64">
        <v>21.94</v>
      </c>
    </row>
    <row r="1388" spans="1:6" x14ac:dyDescent="0.25">
      <c r="A1388" s="47" t="s">
        <v>4767</v>
      </c>
      <c r="B1388" s="47" t="s">
        <v>4768</v>
      </c>
      <c r="C1388" s="47" t="s">
        <v>4769</v>
      </c>
      <c r="D1388" s="47" t="s">
        <v>1139</v>
      </c>
      <c r="E1388" s="64">
        <v>46466.540000000008</v>
      </c>
      <c r="F1388" s="64">
        <v>290</v>
      </c>
    </row>
    <row r="1389" spans="1:6" x14ac:dyDescent="0.25">
      <c r="A1389" s="47" t="s">
        <v>4770</v>
      </c>
      <c r="B1389" s="47" t="s">
        <v>4771</v>
      </c>
      <c r="C1389" s="47" t="s">
        <v>4772</v>
      </c>
      <c r="D1389" s="47" t="s">
        <v>4773</v>
      </c>
      <c r="E1389" s="64">
        <v>80697.55</v>
      </c>
      <c r="F1389" s="64">
        <v>46.809013666666665</v>
      </c>
    </row>
    <row r="1390" spans="1:6" x14ac:dyDescent="0.25">
      <c r="A1390" s="47" t="s">
        <v>4774</v>
      </c>
      <c r="B1390" s="47" t="s">
        <v>4775</v>
      </c>
      <c r="C1390" s="47" t="s">
        <v>4776</v>
      </c>
      <c r="D1390" s="47" t="s">
        <v>4777</v>
      </c>
      <c r="E1390" s="64">
        <v>89377.700000000012</v>
      </c>
      <c r="F1390" s="64">
        <v>0.65</v>
      </c>
    </row>
    <row r="1391" spans="1:6" x14ac:dyDescent="0.25">
      <c r="A1391" s="47" t="s">
        <v>4778</v>
      </c>
      <c r="B1391" s="47" t="s">
        <v>4779</v>
      </c>
      <c r="C1391" s="47" t="s">
        <v>4780</v>
      </c>
      <c r="D1391" s="47" t="s">
        <v>152</v>
      </c>
      <c r="E1391" s="64">
        <v>78330.794999999998</v>
      </c>
      <c r="F1391" s="64">
        <v>380.5</v>
      </c>
    </row>
    <row r="1392" spans="1:6" x14ac:dyDescent="0.25">
      <c r="A1392" s="47" t="s">
        <v>4781</v>
      </c>
      <c r="B1392" s="47" t="s">
        <v>438</v>
      </c>
      <c r="C1392" s="47" t="s">
        <v>4782</v>
      </c>
      <c r="D1392" s="47" t="s">
        <v>440</v>
      </c>
      <c r="E1392" s="64">
        <v>47559.33</v>
      </c>
      <c r="F1392" s="64">
        <v>117</v>
      </c>
    </row>
    <row r="1393" spans="1:6" x14ac:dyDescent="0.25">
      <c r="A1393" s="47" t="s">
        <v>4783</v>
      </c>
      <c r="B1393" s="47" t="s">
        <v>4784</v>
      </c>
      <c r="C1393" s="47" t="s">
        <v>4785</v>
      </c>
      <c r="D1393" s="47" t="s">
        <v>4786</v>
      </c>
      <c r="E1393" s="64">
        <v>42521.659999999996</v>
      </c>
      <c r="F1393" s="64">
        <v>1.08</v>
      </c>
    </row>
    <row r="1394" spans="1:6" x14ac:dyDescent="0.25">
      <c r="A1394" s="47" t="s">
        <v>4787</v>
      </c>
      <c r="B1394" s="47" t="s">
        <v>4788</v>
      </c>
      <c r="C1394" s="47" t="s">
        <v>4789</v>
      </c>
      <c r="D1394" s="47" t="s">
        <v>4790</v>
      </c>
      <c r="E1394" s="64">
        <v>52271.290000000008</v>
      </c>
      <c r="F1394" s="64">
        <v>43.65</v>
      </c>
    </row>
    <row r="1395" spans="1:6" x14ac:dyDescent="0.25">
      <c r="A1395" s="47" t="s">
        <v>4791</v>
      </c>
      <c r="B1395" s="47" t="s">
        <v>4792</v>
      </c>
      <c r="C1395" s="47" t="s">
        <v>4793</v>
      </c>
      <c r="D1395" s="47" t="s">
        <v>4794</v>
      </c>
      <c r="E1395" s="64">
        <v>40276.699999999997</v>
      </c>
      <c r="F1395" s="64">
        <v>1132.5</v>
      </c>
    </row>
    <row r="1396" spans="1:6" x14ac:dyDescent="0.25">
      <c r="A1396" s="47" t="s">
        <v>4795</v>
      </c>
      <c r="B1396" s="47" t="s">
        <v>4643</v>
      </c>
      <c r="C1396" s="47" t="s">
        <v>4796</v>
      </c>
      <c r="D1396" s="47" t="s">
        <v>4797</v>
      </c>
      <c r="E1396" s="64">
        <v>36533.71</v>
      </c>
      <c r="F1396" s="64">
        <v>7.0000000000000007E-2</v>
      </c>
    </row>
    <row r="1397" spans="1:6" x14ac:dyDescent="0.25">
      <c r="A1397" s="47" t="s">
        <v>4798</v>
      </c>
      <c r="B1397" s="47" t="s">
        <v>4799</v>
      </c>
      <c r="C1397" s="47" t="s">
        <v>4800</v>
      </c>
      <c r="D1397" s="47" t="s">
        <v>1083</v>
      </c>
      <c r="E1397" s="64">
        <v>78501.150000000009</v>
      </c>
      <c r="F1397" s="64">
        <v>1.3</v>
      </c>
    </row>
    <row r="1398" spans="1:6" x14ac:dyDescent="0.25">
      <c r="A1398" s="47" t="s">
        <v>4801</v>
      </c>
      <c r="B1398" s="47" t="s">
        <v>4284</v>
      </c>
      <c r="C1398" s="47" t="s">
        <v>4802</v>
      </c>
      <c r="D1398" s="47" t="s">
        <v>798</v>
      </c>
      <c r="E1398" s="64">
        <v>26148.849999999995</v>
      </c>
      <c r="F1398" s="64">
        <v>104</v>
      </c>
    </row>
    <row r="1399" spans="1:6" x14ac:dyDescent="0.25">
      <c r="A1399" s="47" t="s">
        <v>4803</v>
      </c>
      <c r="B1399" s="47" t="s">
        <v>4804</v>
      </c>
      <c r="C1399" s="47" t="s">
        <v>4805</v>
      </c>
      <c r="D1399" s="47" t="s">
        <v>4806</v>
      </c>
      <c r="E1399" s="64">
        <v>80913.574999999997</v>
      </c>
      <c r="F1399" s="64">
        <v>3.4</v>
      </c>
    </row>
    <row r="1400" spans="1:6" x14ac:dyDescent="0.25">
      <c r="A1400" s="47" t="s">
        <v>4807</v>
      </c>
      <c r="B1400" s="47" t="s">
        <v>4808</v>
      </c>
      <c r="C1400" s="47" t="s">
        <v>4809</v>
      </c>
      <c r="D1400" s="47" t="s">
        <v>4810</v>
      </c>
      <c r="E1400" s="64">
        <v>49950</v>
      </c>
      <c r="F1400" s="64">
        <v>38</v>
      </c>
    </row>
    <row r="1401" spans="1:6" x14ac:dyDescent="0.25">
      <c r="A1401" s="47" t="s">
        <v>4811</v>
      </c>
      <c r="B1401" s="47" t="s">
        <v>4812</v>
      </c>
      <c r="C1401" s="47" t="s">
        <v>4813</v>
      </c>
      <c r="D1401" s="47" t="s">
        <v>1810</v>
      </c>
      <c r="E1401" s="64">
        <v>33514.15</v>
      </c>
      <c r="F1401" s="64">
        <v>3.7650000000000001</v>
      </c>
    </row>
    <row r="1402" spans="1:6" x14ac:dyDescent="0.25">
      <c r="A1402" s="47" t="s">
        <v>4814</v>
      </c>
      <c r="B1402" s="47" t="s">
        <v>4815</v>
      </c>
      <c r="C1402" s="47" t="s">
        <v>4816</v>
      </c>
      <c r="D1402" s="47"/>
      <c r="E1402" s="64">
        <v>39959.482499999998</v>
      </c>
      <c r="F1402" s="64">
        <v>100000000</v>
      </c>
    </row>
    <row r="1403" spans="1:6" x14ac:dyDescent="0.25">
      <c r="A1403" s="47" t="s">
        <v>4817</v>
      </c>
      <c r="B1403" s="47" t="s">
        <v>4818</v>
      </c>
      <c r="C1403" s="47" t="s">
        <v>4819</v>
      </c>
      <c r="D1403" s="47" t="s">
        <v>2173</v>
      </c>
      <c r="E1403" s="64">
        <v>61550.724999999984</v>
      </c>
      <c r="F1403" s="64">
        <v>2.9000000000000001E-2</v>
      </c>
    </row>
    <row r="1404" spans="1:6" x14ac:dyDescent="0.25">
      <c r="A1404" s="47" t="s">
        <v>4820</v>
      </c>
      <c r="B1404" s="47" t="s">
        <v>4821</v>
      </c>
      <c r="C1404" s="47" t="s">
        <v>4822</v>
      </c>
      <c r="D1404" s="47" t="s">
        <v>4823</v>
      </c>
      <c r="E1404" s="64">
        <v>18968.47</v>
      </c>
      <c r="F1404" s="64">
        <v>15</v>
      </c>
    </row>
    <row r="1405" spans="1:6" x14ac:dyDescent="0.25">
      <c r="A1405" s="47" t="s">
        <v>4824</v>
      </c>
      <c r="B1405" s="47" t="s">
        <v>4825</v>
      </c>
      <c r="C1405" s="47" t="s">
        <v>4826</v>
      </c>
      <c r="D1405" s="47" t="s">
        <v>687</v>
      </c>
      <c r="E1405" s="64">
        <v>42612.02</v>
      </c>
      <c r="F1405" s="64">
        <v>0.72499999999999998</v>
      </c>
    </row>
    <row r="1406" spans="1:6" x14ac:dyDescent="0.25">
      <c r="A1406" s="47" t="s">
        <v>4827</v>
      </c>
      <c r="B1406" s="47" t="s">
        <v>4828</v>
      </c>
      <c r="C1406" s="47" t="s">
        <v>4829</v>
      </c>
      <c r="D1406" s="47" t="s">
        <v>4830</v>
      </c>
      <c r="E1406" s="64">
        <v>27863.119999999995</v>
      </c>
      <c r="F1406" s="64">
        <v>5.3</v>
      </c>
    </row>
    <row r="1407" spans="1:6" x14ac:dyDescent="0.25">
      <c r="A1407" s="47" t="s">
        <v>4831</v>
      </c>
      <c r="B1407" s="47" t="s">
        <v>4832</v>
      </c>
      <c r="C1407" s="47" t="s">
        <v>4833</v>
      </c>
      <c r="D1407" s="47" t="s">
        <v>4830</v>
      </c>
      <c r="E1407" s="64">
        <v>27863.119999999995</v>
      </c>
      <c r="F1407" s="64">
        <v>5.3</v>
      </c>
    </row>
    <row r="1408" spans="1:6" x14ac:dyDescent="0.25">
      <c r="A1408" s="47" t="s">
        <v>4834</v>
      </c>
      <c r="B1408" s="47" t="s">
        <v>4835</v>
      </c>
      <c r="C1408" s="47" t="s">
        <v>4836</v>
      </c>
      <c r="D1408" s="47" t="s">
        <v>4837</v>
      </c>
      <c r="E1408" s="64">
        <v>31453.040000000001</v>
      </c>
      <c r="F1408" s="64">
        <v>8.92</v>
      </c>
    </row>
    <row r="1409" spans="1:6" x14ac:dyDescent="0.25">
      <c r="A1409" s="47" t="s">
        <v>4838</v>
      </c>
      <c r="B1409" s="47" t="s">
        <v>4839</v>
      </c>
      <c r="C1409" s="47" t="s">
        <v>4840</v>
      </c>
      <c r="D1409" s="47" t="s">
        <v>4837</v>
      </c>
      <c r="E1409" s="64">
        <v>31453.040000000001</v>
      </c>
      <c r="F1409" s="64">
        <v>8.92</v>
      </c>
    </row>
    <row r="1410" spans="1:6" x14ac:dyDescent="0.25">
      <c r="A1410" s="47" t="s">
        <v>4841</v>
      </c>
      <c r="B1410" s="47" t="s">
        <v>4842</v>
      </c>
      <c r="C1410" s="47" t="s">
        <v>4843</v>
      </c>
      <c r="D1410" s="47" t="s">
        <v>4837</v>
      </c>
      <c r="E1410" s="64">
        <v>31453.040000000001</v>
      </c>
      <c r="F1410" s="64">
        <v>8.92</v>
      </c>
    </row>
    <row r="1411" spans="1:6" x14ac:dyDescent="0.25">
      <c r="A1411" s="47" t="s">
        <v>4844</v>
      </c>
      <c r="B1411" s="47" t="s">
        <v>4845</v>
      </c>
      <c r="C1411" s="47" t="s">
        <v>4846</v>
      </c>
      <c r="D1411" s="47" t="s">
        <v>4847</v>
      </c>
      <c r="E1411" s="64">
        <v>28449.919999999998</v>
      </c>
      <c r="F1411" s="64">
        <v>90.131772727272732</v>
      </c>
    </row>
    <row r="1412" spans="1:6" x14ac:dyDescent="0.25">
      <c r="A1412" s="47" t="s">
        <v>4848</v>
      </c>
      <c r="B1412" s="47" t="s">
        <v>4849</v>
      </c>
      <c r="C1412" s="47" t="s">
        <v>4850</v>
      </c>
      <c r="D1412" s="47" t="s">
        <v>4851</v>
      </c>
      <c r="E1412" s="64">
        <v>20700.12</v>
      </c>
      <c r="F1412" s="64">
        <v>1</v>
      </c>
    </row>
    <row r="1413" spans="1:6" x14ac:dyDescent="0.25">
      <c r="A1413" s="47" t="s">
        <v>4852</v>
      </c>
      <c r="B1413" s="47" t="s">
        <v>4853</v>
      </c>
      <c r="C1413" s="47" t="s">
        <v>4854</v>
      </c>
      <c r="D1413" s="47" t="s">
        <v>4855</v>
      </c>
      <c r="E1413" s="64">
        <v>52800.22</v>
      </c>
      <c r="F1413" s="64">
        <v>1</v>
      </c>
    </row>
    <row r="1414" spans="1:6" x14ac:dyDescent="0.25">
      <c r="A1414" s="47" t="s">
        <v>4856</v>
      </c>
      <c r="B1414" s="47" t="s">
        <v>4857</v>
      </c>
      <c r="C1414" s="47" t="s">
        <v>4858</v>
      </c>
      <c r="D1414" s="47" t="s">
        <v>1003</v>
      </c>
      <c r="E1414" s="64">
        <v>80697.55</v>
      </c>
      <c r="F1414" s="64">
        <v>1.6E-2</v>
      </c>
    </row>
    <row r="1415" spans="1:6" x14ac:dyDescent="0.25">
      <c r="A1415" s="47" t="s">
        <v>4859</v>
      </c>
      <c r="B1415" s="47" t="s">
        <v>4860</v>
      </c>
      <c r="C1415" s="47" t="s">
        <v>4861</v>
      </c>
      <c r="D1415" s="47" t="s">
        <v>3421</v>
      </c>
      <c r="E1415" s="64">
        <v>31965.329999999998</v>
      </c>
      <c r="F1415" s="64">
        <v>61.375</v>
      </c>
    </row>
    <row r="1416" spans="1:6" x14ac:dyDescent="0.25">
      <c r="A1416" s="47" t="s">
        <v>4862</v>
      </c>
      <c r="B1416" s="47" t="s">
        <v>4863</v>
      </c>
      <c r="C1416" s="47" t="s">
        <v>4864</v>
      </c>
      <c r="D1416" s="47" t="s">
        <v>3421</v>
      </c>
      <c r="E1416" s="64">
        <v>31965.329999999998</v>
      </c>
      <c r="F1416" s="64">
        <v>17</v>
      </c>
    </row>
    <row r="1417" spans="1:6" x14ac:dyDescent="0.25">
      <c r="A1417" s="47" t="s">
        <v>4865</v>
      </c>
      <c r="B1417" s="47" t="s">
        <v>4866</v>
      </c>
      <c r="C1417" s="47" t="s">
        <v>4867</v>
      </c>
      <c r="D1417" s="47" t="s">
        <v>3421</v>
      </c>
      <c r="E1417" s="64">
        <v>31965.329999999998</v>
      </c>
      <c r="F1417" s="64">
        <v>159</v>
      </c>
    </row>
    <row r="1418" spans="1:6" x14ac:dyDescent="0.25">
      <c r="A1418" s="47" t="s">
        <v>4868</v>
      </c>
      <c r="B1418" s="47" t="s">
        <v>4869</v>
      </c>
      <c r="C1418" s="47" t="s">
        <v>4870</v>
      </c>
      <c r="D1418" s="47" t="s">
        <v>3421</v>
      </c>
      <c r="E1418" s="64">
        <v>31965.329999999998</v>
      </c>
      <c r="F1418" s="64">
        <v>3.7614999999999998</v>
      </c>
    </row>
    <row r="1419" spans="1:6" x14ac:dyDescent="0.25">
      <c r="A1419" s="47" t="s">
        <v>4871</v>
      </c>
      <c r="B1419" s="47" t="s">
        <v>4872</v>
      </c>
      <c r="C1419" s="47" t="s">
        <v>4873</v>
      </c>
      <c r="D1419" s="47" t="s">
        <v>4753</v>
      </c>
      <c r="E1419" s="64">
        <v>33162.049999999996</v>
      </c>
      <c r="F1419" s="64">
        <v>2.48</v>
      </c>
    </row>
    <row r="1420" spans="1:6" x14ac:dyDescent="0.25">
      <c r="A1420" s="47" t="s">
        <v>4874</v>
      </c>
      <c r="B1420" s="47" t="s">
        <v>4875</v>
      </c>
      <c r="C1420" s="47" t="s">
        <v>4876</v>
      </c>
      <c r="D1420" s="47"/>
      <c r="E1420" s="64">
        <v>39959.482499999998</v>
      </c>
      <c r="F1420" s="64">
        <v>100000000</v>
      </c>
    </row>
    <row r="1421" spans="1:6" x14ac:dyDescent="0.25">
      <c r="A1421" s="47" t="s">
        <v>4877</v>
      </c>
      <c r="B1421" s="47" t="s">
        <v>4878</v>
      </c>
      <c r="C1421" s="47" t="s">
        <v>4879</v>
      </c>
      <c r="D1421" s="47"/>
      <c r="E1421" s="64">
        <v>39959.482499999998</v>
      </c>
      <c r="F1421" s="64">
        <v>100000000</v>
      </c>
    </row>
    <row r="1422" spans="1:6" x14ac:dyDescent="0.25">
      <c r="A1422" s="47" t="s">
        <v>4880</v>
      </c>
      <c r="B1422" s="47" t="s">
        <v>4881</v>
      </c>
      <c r="C1422" s="47" t="s">
        <v>4882</v>
      </c>
      <c r="D1422" s="47" t="s">
        <v>687</v>
      </c>
      <c r="E1422" s="64">
        <v>42612.02</v>
      </c>
      <c r="F1422" s="64">
        <v>0.72499999999999998</v>
      </c>
    </row>
    <row r="1423" spans="1:6" x14ac:dyDescent="0.25">
      <c r="A1423" s="47" t="s">
        <v>4883</v>
      </c>
      <c r="B1423" s="47" t="s">
        <v>4884</v>
      </c>
      <c r="C1423" s="47" t="s">
        <v>4885</v>
      </c>
      <c r="D1423" s="47" t="s">
        <v>4886</v>
      </c>
      <c r="E1423" s="64">
        <v>25559.58</v>
      </c>
      <c r="F1423" s="64">
        <v>0.59</v>
      </c>
    </row>
    <row r="1424" spans="1:6" x14ac:dyDescent="0.25">
      <c r="A1424" s="47" t="s">
        <v>4887</v>
      </c>
      <c r="B1424" s="47" t="s">
        <v>4888</v>
      </c>
      <c r="C1424" s="47" t="s">
        <v>4889</v>
      </c>
      <c r="D1424" s="47" t="s">
        <v>4890</v>
      </c>
      <c r="E1424" s="64">
        <v>43907.639999999992</v>
      </c>
      <c r="F1424" s="64">
        <v>6.7000000000000004E-2</v>
      </c>
    </row>
    <row r="1425" spans="1:6" x14ac:dyDescent="0.25">
      <c r="A1425" s="47" t="s">
        <v>4891</v>
      </c>
      <c r="B1425" s="47" t="s">
        <v>4892</v>
      </c>
      <c r="C1425" s="47" t="s">
        <v>4893</v>
      </c>
      <c r="D1425" s="47"/>
      <c r="E1425" s="64">
        <v>45307.63</v>
      </c>
      <c r="F1425" s="64">
        <v>22</v>
      </c>
    </row>
    <row r="1426" spans="1:6" x14ac:dyDescent="0.25">
      <c r="A1426" s="47" t="s">
        <v>4894</v>
      </c>
      <c r="B1426" s="47" t="s">
        <v>4895</v>
      </c>
      <c r="C1426" s="47" t="s">
        <v>4896</v>
      </c>
      <c r="D1426" s="47" t="s">
        <v>3421</v>
      </c>
      <c r="E1426" s="64">
        <v>31965.329999999998</v>
      </c>
      <c r="F1426" s="64">
        <v>39.261749999999999</v>
      </c>
    </row>
    <row r="1427" spans="1:6" x14ac:dyDescent="0.25">
      <c r="A1427" s="47" t="s">
        <v>4897</v>
      </c>
      <c r="B1427" s="47" t="s">
        <v>4898</v>
      </c>
      <c r="C1427" s="47" t="s">
        <v>4899</v>
      </c>
      <c r="D1427" s="47" t="s">
        <v>3421</v>
      </c>
      <c r="E1427" s="64">
        <v>31965.329999999998</v>
      </c>
      <c r="F1427" s="64">
        <v>39.261749999999999</v>
      </c>
    </row>
    <row r="1428" spans="1:6" x14ac:dyDescent="0.25">
      <c r="A1428" s="47" t="s">
        <v>4900</v>
      </c>
      <c r="B1428" s="47" t="s">
        <v>4901</v>
      </c>
      <c r="C1428" s="47" t="s">
        <v>4902</v>
      </c>
      <c r="D1428" s="47"/>
      <c r="E1428" s="64">
        <v>48540.000000000007</v>
      </c>
      <c r="F1428" s="64">
        <v>100000000</v>
      </c>
    </row>
    <row r="1429" spans="1:6" x14ac:dyDescent="0.25">
      <c r="A1429" s="47" t="s">
        <v>4903</v>
      </c>
      <c r="B1429" s="47" t="s">
        <v>4904</v>
      </c>
      <c r="C1429" s="47" t="s">
        <v>4905</v>
      </c>
      <c r="D1429" s="47"/>
      <c r="E1429" s="64">
        <v>48540.000000000007</v>
      </c>
      <c r="F1429" s="64">
        <v>100000000</v>
      </c>
    </row>
    <row r="1430" spans="1:6" x14ac:dyDescent="0.25">
      <c r="A1430" s="47" t="s">
        <v>4906</v>
      </c>
      <c r="B1430" s="47" t="s">
        <v>4907</v>
      </c>
      <c r="C1430" s="47" t="s">
        <v>4908</v>
      </c>
      <c r="D1430" s="47" t="s">
        <v>4909</v>
      </c>
      <c r="E1430" s="64">
        <v>21212.460000000003</v>
      </c>
      <c r="F1430" s="64">
        <v>22.85</v>
      </c>
    </row>
    <row r="1431" spans="1:6" x14ac:dyDescent="0.25">
      <c r="A1431" s="47" t="s">
        <v>4910</v>
      </c>
      <c r="B1431" s="47" t="s">
        <v>4911</v>
      </c>
      <c r="C1431" s="47" t="s">
        <v>4912</v>
      </c>
      <c r="D1431" s="47" t="s">
        <v>4773</v>
      </c>
      <c r="E1431" s="64">
        <v>80697.55</v>
      </c>
      <c r="F1431" s="64">
        <v>46.809013666666665</v>
      </c>
    </row>
    <row r="1432" spans="1:6" x14ac:dyDescent="0.25">
      <c r="A1432" s="47" t="s">
        <v>4913</v>
      </c>
      <c r="B1432" s="47" t="s">
        <v>4914</v>
      </c>
      <c r="C1432" s="47" t="s">
        <v>4915</v>
      </c>
      <c r="D1432" s="47" t="s">
        <v>1003</v>
      </c>
      <c r="E1432" s="64">
        <v>80697.55</v>
      </c>
      <c r="F1432" s="64">
        <v>1.6E-2</v>
      </c>
    </row>
    <row r="1433" spans="1:6" x14ac:dyDescent="0.25">
      <c r="A1433" s="47" t="s">
        <v>4916</v>
      </c>
      <c r="B1433" s="47" t="s">
        <v>4917</v>
      </c>
      <c r="C1433" s="47" t="s">
        <v>4918</v>
      </c>
      <c r="D1433" s="47" t="s">
        <v>1003</v>
      </c>
      <c r="E1433" s="64">
        <v>80697.55</v>
      </c>
      <c r="F1433" s="64">
        <v>1.6E-2</v>
      </c>
    </row>
    <row r="1434" spans="1:6" x14ac:dyDescent="0.25">
      <c r="A1434" s="47" t="s">
        <v>4919</v>
      </c>
      <c r="B1434" s="47" t="s">
        <v>4920</v>
      </c>
      <c r="C1434" s="47" t="s">
        <v>4921</v>
      </c>
      <c r="D1434" s="47" t="s">
        <v>4753</v>
      </c>
      <c r="E1434" s="64">
        <v>33162.049999999996</v>
      </c>
      <c r="F1434" s="64">
        <v>2.48</v>
      </c>
    </row>
    <row r="1435" spans="1:6" x14ac:dyDescent="0.25">
      <c r="A1435" s="47" t="s">
        <v>4922</v>
      </c>
      <c r="B1435" s="47" t="s">
        <v>4923</v>
      </c>
      <c r="C1435" s="47" t="s">
        <v>4924</v>
      </c>
      <c r="D1435" s="47" t="s">
        <v>4753</v>
      </c>
      <c r="E1435" s="64">
        <v>33162.049999999996</v>
      </c>
      <c r="F1435" s="64">
        <v>2.48</v>
      </c>
    </row>
    <row r="1436" spans="1:6" x14ac:dyDescent="0.25">
      <c r="A1436" s="47" t="s">
        <v>4925</v>
      </c>
      <c r="B1436" s="47" t="s">
        <v>4926</v>
      </c>
      <c r="C1436" s="47" t="s">
        <v>4927</v>
      </c>
      <c r="D1436" s="47" t="s">
        <v>4753</v>
      </c>
      <c r="E1436" s="64">
        <v>33162.049999999996</v>
      </c>
      <c r="F1436" s="64">
        <v>2.48</v>
      </c>
    </row>
    <row r="1437" spans="1:6" x14ac:dyDescent="0.25">
      <c r="A1437" s="47" t="s">
        <v>4928</v>
      </c>
      <c r="B1437" s="47" t="s">
        <v>4929</v>
      </c>
      <c r="C1437" s="47" t="s">
        <v>4930</v>
      </c>
      <c r="D1437" s="47"/>
      <c r="E1437" s="64">
        <v>200513.095</v>
      </c>
      <c r="F1437" s="64">
        <v>22</v>
      </c>
    </row>
    <row r="1438" spans="1:6" x14ac:dyDescent="0.25">
      <c r="A1438" s="47" t="s">
        <v>4931</v>
      </c>
      <c r="B1438" s="47" t="s">
        <v>4932</v>
      </c>
      <c r="C1438" s="47" t="s">
        <v>4933</v>
      </c>
      <c r="D1438" s="47"/>
      <c r="E1438" s="64">
        <v>47526.44</v>
      </c>
      <c r="F1438" s="64">
        <v>22</v>
      </c>
    </row>
    <row r="1439" spans="1:6" x14ac:dyDescent="0.25">
      <c r="A1439" s="47" t="s">
        <v>4934</v>
      </c>
      <c r="B1439" s="47" t="s">
        <v>4705</v>
      </c>
      <c r="C1439" s="47" t="s">
        <v>4935</v>
      </c>
      <c r="D1439" s="47" t="s">
        <v>4069</v>
      </c>
      <c r="E1439" s="64">
        <v>152677.46000000002</v>
      </c>
      <c r="F1439" s="64">
        <v>95.19583333333334</v>
      </c>
    </row>
    <row r="1440" spans="1:6" x14ac:dyDescent="0.25">
      <c r="A1440" s="47" t="s">
        <v>4936</v>
      </c>
      <c r="B1440" s="47" t="s">
        <v>4937</v>
      </c>
      <c r="C1440" s="47" t="s">
        <v>4938</v>
      </c>
      <c r="D1440" s="47" t="s">
        <v>4069</v>
      </c>
      <c r="E1440" s="64">
        <v>152677.46000000002</v>
      </c>
      <c r="F1440" s="64">
        <v>95.19583333333334</v>
      </c>
    </row>
    <row r="1441" spans="1:6" x14ac:dyDescent="0.25">
      <c r="A1441" s="47" t="s">
        <v>4939</v>
      </c>
      <c r="B1441" s="47" t="s">
        <v>4940</v>
      </c>
      <c r="C1441" s="47" t="s">
        <v>4941</v>
      </c>
      <c r="D1441" s="47" t="s">
        <v>1003</v>
      </c>
      <c r="E1441" s="64">
        <v>80697.55</v>
      </c>
      <c r="F1441" s="64">
        <v>1.6E-2</v>
      </c>
    </row>
    <row r="1442" spans="1:6" x14ac:dyDescent="0.25">
      <c r="A1442" s="47" t="s">
        <v>4942</v>
      </c>
      <c r="B1442" s="47" t="s">
        <v>4943</v>
      </c>
      <c r="C1442" s="47" t="s">
        <v>4944</v>
      </c>
      <c r="D1442" s="47" t="s">
        <v>4945</v>
      </c>
      <c r="E1442" s="64">
        <v>63221.70749999999</v>
      </c>
      <c r="F1442" s="64">
        <v>92</v>
      </c>
    </row>
    <row r="1443" spans="1:6" x14ac:dyDescent="0.25">
      <c r="A1443" s="47" t="s">
        <v>4946</v>
      </c>
      <c r="B1443" s="47" t="s">
        <v>4947</v>
      </c>
      <c r="C1443" s="47" t="s">
        <v>4948</v>
      </c>
      <c r="D1443" s="47"/>
      <c r="E1443" s="64">
        <v>203425.91999999998</v>
      </c>
      <c r="F1443" s="64">
        <v>22</v>
      </c>
    </row>
    <row r="1444" spans="1:6" x14ac:dyDescent="0.25">
      <c r="A1444" s="47" t="s">
        <v>4949</v>
      </c>
      <c r="B1444" s="47" t="s">
        <v>4950</v>
      </c>
      <c r="C1444" s="47" t="s">
        <v>4951</v>
      </c>
      <c r="D1444" s="47" t="s">
        <v>2303</v>
      </c>
      <c r="E1444" s="64">
        <v>192829.37000000005</v>
      </c>
      <c r="F1444" s="64">
        <v>95.19583333333334</v>
      </c>
    </row>
    <row r="1445" spans="1:6" x14ac:dyDescent="0.25">
      <c r="A1445" s="47" t="s">
        <v>4952</v>
      </c>
      <c r="B1445" s="47" t="s">
        <v>4953</v>
      </c>
      <c r="C1445" s="47" t="s">
        <v>4954</v>
      </c>
      <c r="D1445" s="47"/>
      <c r="E1445" s="64">
        <v>41654.650000000009</v>
      </c>
      <c r="F1445" s="64">
        <v>100000000</v>
      </c>
    </row>
    <row r="1446" spans="1:6" x14ac:dyDescent="0.25">
      <c r="A1446" s="47" t="s">
        <v>4955</v>
      </c>
      <c r="B1446" s="47" t="s">
        <v>4956</v>
      </c>
      <c r="C1446" s="47" t="s">
        <v>4957</v>
      </c>
      <c r="D1446" s="47"/>
      <c r="E1446" s="64">
        <v>41654.650000000009</v>
      </c>
      <c r="F1446" s="64">
        <v>100000000</v>
      </c>
    </row>
    <row r="1447" spans="1:6" x14ac:dyDescent="0.25">
      <c r="A1447" s="47" t="s">
        <v>4958</v>
      </c>
      <c r="B1447" s="47" t="s">
        <v>4959</v>
      </c>
      <c r="C1447" s="47" t="s">
        <v>4960</v>
      </c>
      <c r="D1447" s="47"/>
      <c r="E1447" s="64">
        <v>41654.650000000009</v>
      </c>
      <c r="F1447" s="64">
        <v>100000000</v>
      </c>
    </row>
    <row r="1448" spans="1:6" x14ac:dyDescent="0.25">
      <c r="A1448" s="47" t="s">
        <v>4961</v>
      </c>
      <c r="B1448" s="47" t="s">
        <v>4962</v>
      </c>
      <c r="C1448" s="47" t="s">
        <v>4963</v>
      </c>
      <c r="D1448" s="47"/>
      <c r="E1448" s="64">
        <v>41654.650000000009</v>
      </c>
      <c r="F1448" s="64">
        <v>100000000</v>
      </c>
    </row>
    <row r="1449" spans="1:6" x14ac:dyDescent="0.25">
      <c r="A1449" s="47" t="s">
        <v>4964</v>
      </c>
      <c r="B1449" s="47" t="s">
        <v>4965</v>
      </c>
      <c r="C1449" s="47" t="s">
        <v>4966</v>
      </c>
      <c r="D1449" s="47"/>
      <c r="E1449" s="64">
        <v>41654.650000000009</v>
      </c>
      <c r="F1449" s="64">
        <v>100000000</v>
      </c>
    </row>
    <row r="1450" spans="1:6" x14ac:dyDescent="0.25">
      <c r="A1450" s="47" t="s">
        <v>4967</v>
      </c>
      <c r="B1450" s="47" t="s">
        <v>4968</v>
      </c>
      <c r="C1450" s="47" t="s">
        <v>4969</v>
      </c>
      <c r="D1450" s="47" t="s">
        <v>1003</v>
      </c>
      <c r="E1450" s="64">
        <v>80697.55</v>
      </c>
      <c r="F1450" s="64">
        <v>1.6E-2</v>
      </c>
    </row>
    <row r="1451" spans="1:6" x14ac:dyDescent="0.25">
      <c r="A1451" s="47" t="s">
        <v>4970</v>
      </c>
      <c r="B1451" s="47" t="s">
        <v>4971</v>
      </c>
      <c r="C1451" s="47" t="s">
        <v>4972</v>
      </c>
      <c r="D1451" s="47" t="s">
        <v>1003</v>
      </c>
      <c r="E1451" s="64">
        <v>80697.55</v>
      </c>
      <c r="F1451" s="64">
        <v>1.6E-2</v>
      </c>
    </row>
    <row r="1452" spans="1:6" x14ac:dyDescent="0.25">
      <c r="A1452" s="47" t="s">
        <v>4973</v>
      </c>
      <c r="B1452" s="47" t="s">
        <v>4974</v>
      </c>
      <c r="C1452" s="47" t="s">
        <v>4975</v>
      </c>
      <c r="D1452" s="47" t="s">
        <v>1003</v>
      </c>
      <c r="E1452" s="64">
        <v>80697.55</v>
      </c>
      <c r="F1452" s="64">
        <v>1.6E-2</v>
      </c>
    </row>
    <row r="1453" spans="1:6" x14ac:dyDescent="0.25">
      <c r="A1453" s="47" t="s">
        <v>4976</v>
      </c>
      <c r="B1453" s="47" t="s">
        <v>4977</v>
      </c>
      <c r="C1453" s="47" t="s">
        <v>4978</v>
      </c>
      <c r="D1453" s="47" t="s">
        <v>1003</v>
      </c>
      <c r="E1453" s="64">
        <v>80697.55</v>
      </c>
      <c r="F1453" s="64">
        <v>1.6E-2</v>
      </c>
    </row>
    <row r="1454" spans="1:6" x14ac:dyDescent="0.25">
      <c r="A1454" s="47" t="s">
        <v>4979</v>
      </c>
      <c r="B1454" s="47" t="s">
        <v>4980</v>
      </c>
      <c r="C1454" s="47" t="s">
        <v>4981</v>
      </c>
      <c r="D1454" s="47" t="s">
        <v>1003</v>
      </c>
      <c r="E1454" s="64">
        <v>80697.55</v>
      </c>
      <c r="F1454" s="64">
        <v>1.6E-2</v>
      </c>
    </row>
    <row r="1455" spans="1:6" x14ac:dyDescent="0.25">
      <c r="A1455" s="47" t="s">
        <v>4982</v>
      </c>
      <c r="B1455" s="47" t="s">
        <v>4983</v>
      </c>
      <c r="C1455" s="47" t="s">
        <v>4984</v>
      </c>
      <c r="D1455" s="47" t="s">
        <v>4682</v>
      </c>
      <c r="E1455" s="64">
        <v>38977.050000000003</v>
      </c>
      <c r="F1455" s="64">
        <v>1016</v>
      </c>
    </row>
    <row r="1456" spans="1:6" x14ac:dyDescent="0.25">
      <c r="A1456" s="47" t="s">
        <v>4985</v>
      </c>
      <c r="B1456" s="47" t="s">
        <v>4986</v>
      </c>
      <c r="C1456" s="47" t="s">
        <v>4987</v>
      </c>
      <c r="D1456" s="47" t="s">
        <v>4682</v>
      </c>
      <c r="E1456" s="64">
        <v>38977.050000000003</v>
      </c>
      <c r="F1456" s="64">
        <v>1016</v>
      </c>
    </row>
    <row r="1457" spans="1:6" x14ac:dyDescent="0.25">
      <c r="A1457" s="47" t="s">
        <v>4988</v>
      </c>
      <c r="B1457" s="47" t="s">
        <v>4989</v>
      </c>
      <c r="C1457" s="47" t="s">
        <v>4990</v>
      </c>
      <c r="D1457" s="47" t="s">
        <v>4682</v>
      </c>
      <c r="E1457" s="64">
        <v>38977.050000000003</v>
      </c>
      <c r="F1457" s="64">
        <v>1016</v>
      </c>
    </row>
    <row r="1458" spans="1:6" x14ac:dyDescent="0.25">
      <c r="A1458" s="47" t="s">
        <v>4991</v>
      </c>
      <c r="B1458" s="47" t="s">
        <v>4992</v>
      </c>
      <c r="C1458" s="47" t="s">
        <v>4993</v>
      </c>
      <c r="D1458" s="47" t="s">
        <v>4682</v>
      </c>
      <c r="E1458" s="64">
        <v>38977.050000000003</v>
      </c>
      <c r="F1458" s="64">
        <v>1016</v>
      </c>
    </row>
    <row r="1459" spans="1:6" x14ac:dyDescent="0.25">
      <c r="A1459" s="47" t="s">
        <v>4994</v>
      </c>
      <c r="B1459" s="47" t="s">
        <v>4995</v>
      </c>
      <c r="C1459" s="47" t="s">
        <v>4996</v>
      </c>
      <c r="D1459" s="47" t="s">
        <v>4682</v>
      </c>
      <c r="E1459" s="64">
        <v>38977.050000000003</v>
      </c>
      <c r="F1459" s="64">
        <v>1016</v>
      </c>
    </row>
    <row r="1460" spans="1:6" x14ac:dyDescent="0.25">
      <c r="A1460" s="47" t="s">
        <v>4997</v>
      </c>
      <c r="B1460" s="47" t="s">
        <v>4998</v>
      </c>
      <c r="C1460" s="47" t="s">
        <v>4999</v>
      </c>
      <c r="D1460" s="47" t="s">
        <v>4682</v>
      </c>
      <c r="E1460" s="64">
        <v>38977.050000000003</v>
      </c>
      <c r="F1460" s="64">
        <v>1016</v>
      </c>
    </row>
    <row r="1461" spans="1:6" x14ac:dyDescent="0.25">
      <c r="A1461" s="47" t="s">
        <v>5000</v>
      </c>
      <c r="B1461" s="47" t="s">
        <v>5001</v>
      </c>
      <c r="C1461" s="47" t="s">
        <v>5002</v>
      </c>
      <c r="D1461" s="47" t="s">
        <v>1732</v>
      </c>
      <c r="E1461" s="64">
        <v>51226.469999999994</v>
      </c>
      <c r="F1461" s="64">
        <v>1</v>
      </c>
    </row>
    <row r="1462" spans="1:6" x14ac:dyDescent="0.25">
      <c r="A1462" s="47" t="s">
        <v>5003</v>
      </c>
      <c r="B1462" s="47" t="s">
        <v>5004</v>
      </c>
      <c r="C1462" s="47" t="s">
        <v>5005</v>
      </c>
      <c r="D1462" s="47" t="s">
        <v>1732</v>
      </c>
      <c r="E1462" s="64">
        <v>51226.469999999994</v>
      </c>
      <c r="F1462" s="64">
        <v>1</v>
      </c>
    </row>
    <row r="1463" spans="1:6" x14ac:dyDescent="0.25">
      <c r="A1463" s="47" t="s">
        <v>5006</v>
      </c>
      <c r="B1463" s="47" t="s">
        <v>5007</v>
      </c>
      <c r="C1463" s="47" t="s">
        <v>5008</v>
      </c>
      <c r="D1463" s="47" t="s">
        <v>2303</v>
      </c>
      <c r="E1463" s="64">
        <v>64458.75</v>
      </c>
      <c r="F1463" s="64">
        <v>95.19583333333334</v>
      </c>
    </row>
    <row r="1464" spans="1:6" x14ac:dyDescent="0.25">
      <c r="A1464" s="47" t="s">
        <v>5009</v>
      </c>
      <c r="B1464" s="47" t="s">
        <v>5010</v>
      </c>
      <c r="C1464" s="47" t="s">
        <v>5011</v>
      </c>
      <c r="D1464" s="47" t="s">
        <v>2303</v>
      </c>
      <c r="E1464" s="64">
        <v>64458.75</v>
      </c>
      <c r="F1464" s="64">
        <v>95.19583333333334</v>
      </c>
    </row>
    <row r="1465" spans="1:6" x14ac:dyDescent="0.25">
      <c r="A1465" s="47" t="s">
        <v>5012</v>
      </c>
      <c r="B1465" s="47" t="s">
        <v>5013</v>
      </c>
      <c r="C1465" s="47" t="s">
        <v>5014</v>
      </c>
      <c r="D1465" s="47" t="s">
        <v>2303</v>
      </c>
      <c r="E1465" s="64">
        <v>64458.75</v>
      </c>
      <c r="F1465" s="64">
        <v>95.19583333333334</v>
      </c>
    </row>
    <row r="1466" spans="1:6" x14ac:dyDescent="0.25">
      <c r="A1466" s="47" t="s">
        <v>5015</v>
      </c>
      <c r="B1466" s="47" t="s">
        <v>5016</v>
      </c>
      <c r="C1466" s="47" t="s">
        <v>5017</v>
      </c>
      <c r="D1466" s="47" t="s">
        <v>2303</v>
      </c>
      <c r="E1466" s="64">
        <v>64458.75</v>
      </c>
      <c r="F1466" s="64">
        <v>95.19583333333334</v>
      </c>
    </row>
    <row r="1467" spans="1:6" x14ac:dyDescent="0.25">
      <c r="A1467" s="47" t="s">
        <v>5018</v>
      </c>
      <c r="B1467" s="47" t="s">
        <v>5019</v>
      </c>
      <c r="C1467" s="47" t="s">
        <v>5020</v>
      </c>
      <c r="D1467" s="47" t="s">
        <v>2303</v>
      </c>
      <c r="E1467" s="64">
        <v>64458.75</v>
      </c>
      <c r="F1467" s="64">
        <v>95.19583333333334</v>
      </c>
    </row>
    <row r="1468" spans="1:6" x14ac:dyDescent="0.25">
      <c r="A1468" s="47" t="s">
        <v>5021</v>
      </c>
      <c r="B1468" s="47" t="s">
        <v>5022</v>
      </c>
      <c r="C1468" s="47" t="s">
        <v>5023</v>
      </c>
      <c r="D1468" s="47" t="s">
        <v>4753</v>
      </c>
      <c r="E1468" s="64">
        <v>33162.049999999996</v>
      </c>
      <c r="F1468" s="64">
        <v>2.48</v>
      </c>
    </row>
    <row r="1469" spans="1:6" x14ac:dyDescent="0.25">
      <c r="A1469" s="47" t="s">
        <v>5024</v>
      </c>
      <c r="B1469" s="47" t="s">
        <v>5025</v>
      </c>
      <c r="C1469" s="47" t="s">
        <v>5026</v>
      </c>
      <c r="D1469" s="47" t="s">
        <v>1732</v>
      </c>
      <c r="E1469" s="64">
        <v>51226.469999999994</v>
      </c>
      <c r="F1469" s="64">
        <v>1</v>
      </c>
    </row>
    <row r="1470" spans="1:6" x14ac:dyDescent="0.25">
      <c r="A1470" s="47" t="s">
        <v>5027</v>
      </c>
      <c r="B1470" s="47" t="s">
        <v>5028</v>
      </c>
      <c r="C1470" s="47" t="s">
        <v>5029</v>
      </c>
      <c r="D1470" s="47" t="s">
        <v>3891</v>
      </c>
      <c r="E1470" s="64">
        <v>65369.420000000013</v>
      </c>
      <c r="F1470" s="64">
        <v>46.809013666666665</v>
      </c>
    </row>
    <row r="1471" spans="1:6" x14ac:dyDescent="0.25">
      <c r="A1471" s="47" t="s">
        <v>5030</v>
      </c>
      <c r="B1471" s="47" t="s">
        <v>5031</v>
      </c>
      <c r="C1471" s="47" t="s">
        <v>5032</v>
      </c>
      <c r="D1471" s="47" t="s">
        <v>3891</v>
      </c>
      <c r="E1471" s="64">
        <v>65369.420000000013</v>
      </c>
      <c r="F1471" s="64">
        <v>46.809013666666665</v>
      </c>
    </row>
    <row r="1472" spans="1:6" x14ac:dyDescent="0.25">
      <c r="A1472" s="47" t="s">
        <v>5033</v>
      </c>
      <c r="B1472" s="47" t="s">
        <v>5034</v>
      </c>
      <c r="C1472" s="47" t="s">
        <v>5035</v>
      </c>
      <c r="D1472" s="47" t="s">
        <v>1003</v>
      </c>
      <c r="E1472" s="64">
        <v>80697.55</v>
      </c>
      <c r="F1472" s="64">
        <v>1.6E-2</v>
      </c>
    </row>
    <row r="1473" spans="1:6" x14ac:dyDescent="0.25">
      <c r="A1473" s="47" t="s">
        <v>5036</v>
      </c>
      <c r="B1473" s="47" t="s">
        <v>5037</v>
      </c>
      <c r="C1473" s="47" t="s">
        <v>5038</v>
      </c>
      <c r="D1473" s="47" t="s">
        <v>4682</v>
      </c>
      <c r="E1473" s="64">
        <v>38977.050000000003</v>
      </c>
      <c r="F1473" s="64">
        <v>1016</v>
      </c>
    </row>
    <row r="1474" spans="1:6" x14ac:dyDescent="0.25">
      <c r="A1474" s="47" t="s">
        <v>5039</v>
      </c>
      <c r="B1474" s="47" t="s">
        <v>5040</v>
      </c>
      <c r="C1474" s="47" t="s">
        <v>5041</v>
      </c>
      <c r="D1474" s="47" t="s">
        <v>4682</v>
      </c>
      <c r="E1474" s="64">
        <v>38977.050000000003</v>
      </c>
      <c r="F1474" s="64">
        <v>1016</v>
      </c>
    </row>
    <row r="1475" spans="1:6" x14ac:dyDescent="0.25">
      <c r="A1475" s="47" t="s">
        <v>5042</v>
      </c>
      <c r="B1475" s="47" t="s">
        <v>5043</v>
      </c>
      <c r="C1475" s="47" t="s">
        <v>5044</v>
      </c>
      <c r="D1475" s="47" t="s">
        <v>4682</v>
      </c>
      <c r="E1475" s="64">
        <v>38977.050000000003</v>
      </c>
      <c r="F1475" s="64">
        <v>1016</v>
      </c>
    </row>
    <row r="1476" spans="1:6" x14ac:dyDescent="0.25">
      <c r="A1476" s="47" t="s">
        <v>5045</v>
      </c>
      <c r="B1476" s="47" t="s">
        <v>5046</v>
      </c>
      <c r="C1476" s="47" t="s">
        <v>5047</v>
      </c>
      <c r="D1476" s="47" t="s">
        <v>4682</v>
      </c>
      <c r="E1476" s="64">
        <v>38977.050000000003</v>
      </c>
      <c r="F1476" s="64">
        <v>1016</v>
      </c>
    </row>
    <row r="1477" spans="1:6" x14ac:dyDescent="0.25">
      <c r="A1477" s="47" t="s">
        <v>5048</v>
      </c>
      <c r="B1477" s="47" t="s">
        <v>5049</v>
      </c>
      <c r="C1477" s="47" t="s">
        <v>5050</v>
      </c>
      <c r="D1477" s="47" t="s">
        <v>4682</v>
      </c>
      <c r="E1477" s="64">
        <v>38977.050000000003</v>
      </c>
      <c r="F1477" s="64">
        <v>1016</v>
      </c>
    </row>
    <row r="1478" spans="1:6" x14ac:dyDescent="0.25">
      <c r="A1478" s="47" t="s">
        <v>5051</v>
      </c>
      <c r="B1478" s="47" t="s">
        <v>5052</v>
      </c>
      <c r="C1478" s="47" t="s">
        <v>5053</v>
      </c>
      <c r="D1478" s="47" t="s">
        <v>4682</v>
      </c>
      <c r="E1478" s="64">
        <v>38977.050000000003</v>
      </c>
      <c r="F1478" s="64">
        <v>1016</v>
      </c>
    </row>
    <row r="1479" spans="1:6" x14ac:dyDescent="0.25">
      <c r="A1479" s="47" t="s">
        <v>5054</v>
      </c>
      <c r="B1479" s="47" t="s">
        <v>5055</v>
      </c>
      <c r="C1479" s="47" t="s">
        <v>5056</v>
      </c>
      <c r="D1479" s="47" t="s">
        <v>4682</v>
      </c>
      <c r="E1479" s="64">
        <v>38977.050000000003</v>
      </c>
      <c r="F1479" s="64">
        <v>1016</v>
      </c>
    </row>
    <row r="1480" spans="1:6" x14ac:dyDescent="0.25">
      <c r="A1480" s="47" t="s">
        <v>5057</v>
      </c>
      <c r="B1480" s="47" t="s">
        <v>5058</v>
      </c>
      <c r="C1480" s="47" t="s">
        <v>5059</v>
      </c>
      <c r="D1480" s="47" t="s">
        <v>2173</v>
      </c>
      <c r="E1480" s="64">
        <v>61550.724999999984</v>
      </c>
      <c r="F1480" s="64">
        <v>2.9000000000000001E-2</v>
      </c>
    </row>
    <row r="1481" spans="1:6" x14ac:dyDescent="0.25">
      <c r="A1481" s="47" t="s">
        <v>5060</v>
      </c>
      <c r="B1481" s="47" t="s">
        <v>5061</v>
      </c>
      <c r="C1481" s="47" t="s">
        <v>5062</v>
      </c>
      <c r="D1481" s="47" t="s">
        <v>2173</v>
      </c>
      <c r="E1481" s="64">
        <v>61550.724999999984</v>
      </c>
      <c r="F1481" s="64">
        <v>2.9000000000000001E-2</v>
      </c>
    </row>
    <row r="1482" spans="1:6" x14ac:dyDescent="0.25">
      <c r="A1482" s="47" t="s">
        <v>5063</v>
      </c>
      <c r="B1482" s="47" t="s">
        <v>5064</v>
      </c>
      <c r="C1482" s="47" t="s">
        <v>5065</v>
      </c>
      <c r="D1482" s="47" t="s">
        <v>2303</v>
      </c>
      <c r="E1482" s="64">
        <v>64458.75</v>
      </c>
      <c r="F1482" s="64">
        <v>95.19583333333334</v>
      </c>
    </row>
    <row r="1483" spans="1:6" x14ac:dyDescent="0.25">
      <c r="A1483" s="47" t="s">
        <v>5066</v>
      </c>
      <c r="B1483" s="47" t="s">
        <v>5067</v>
      </c>
      <c r="C1483" s="47" t="s">
        <v>5068</v>
      </c>
      <c r="D1483" s="47" t="s">
        <v>2303</v>
      </c>
      <c r="E1483" s="64">
        <v>64458.75</v>
      </c>
      <c r="F1483" s="64">
        <v>95.19583333333334</v>
      </c>
    </row>
    <row r="1484" spans="1:6" x14ac:dyDescent="0.25">
      <c r="A1484" s="47" t="s">
        <v>5069</v>
      </c>
      <c r="B1484" s="47" t="s">
        <v>5070</v>
      </c>
      <c r="C1484" s="47" t="s">
        <v>5071</v>
      </c>
      <c r="D1484" s="47" t="s">
        <v>5072</v>
      </c>
      <c r="E1484" s="64">
        <v>24219.075000000004</v>
      </c>
      <c r="F1484" s="64">
        <v>24</v>
      </c>
    </row>
    <row r="1485" spans="1:6" x14ac:dyDescent="0.25">
      <c r="A1485" s="47" t="s">
        <v>5073</v>
      </c>
      <c r="B1485" s="47" t="s">
        <v>5074</v>
      </c>
      <c r="C1485" s="47" t="s">
        <v>5075</v>
      </c>
      <c r="D1485" s="47" t="s">
        <v>5072</v>
      </c>
      <c r="E1485" s="64">
        <v>24219.075000000004</v>
      </c>
      <c r="F1485" s="64">
        <v>24</v>
      </c>
    </row>
    <row r="1486" spans="1:6" x14ac:dyDescent="0.25">
      <c r="A1486" s="47" t="s">
        <v>5076</v>
      </c>
      <c r="B1486" s="47" t="s">
        <v>5077</v>
      </c>
      <c r="C1486" s="47" t="s">
        <v>5078</v>
      </c>
      <c r="D1486" s="47" t="s">
        <v>5072</v>
      </c>
      <c r="E1486" s="64">
        <v>24219.075000000004</v>
      </c>
      <c r="F1486" s="64">
        <v>24</v>
      </c>
    </row>
    <row r="1487" spans="1:6" x14ac:dyDescent="0.25">
      <c r="A1487" s="47" t="s">
        <v>5079</v>
      </c>
      <c r="B1487" s="47" t="s">
        <v>5080</v>
      </c>
      <c r="C1487" s="47" t="s">
        <v>5081</v>
      </c>
      <c r="D1487" s="47" t="s">
        <v>5072</v>
      </c>
      <c r="E1487" s="64">
        <v>24219.075000000004</v>
      </c>
      <c r="F1487" s="64">
        <v>24</v>
      </c>
    </row>
    <row r="1488" spans="1:6" x14ac:dyDescent="0.25">
      <c r="A1488" s="47" t="s">
        <v>5082</v>
      </c>
      <c r="B1488" s="47" t="s">
        <v>5083</v>
      </c>
      <c r="C1488" s="47" t="s">
        <v>5084</v>
      </c>
      <c r="D1488" s="47" t="s">
        <v>4757</v>
      </c>
      <c r="E1488" s="64">
        <v>33162.049999999996</v>
      </c>
      <c r="F1488" s="64">
        <v>1.1000000000000001</v>
      </c>
    </row>
    <row r="1489" spans="1:6" x14ac:dyDescent="0.25">
      <c r="A1489" s="47" t="s">
        <v>5085</v>
      </c>
      <c r="B1489" s="47" t="s">
        <v>5086</v>
      </c>
      <c r="C1489" s="47" t="s">
        <v>5087</v>
      </c>
      <c r="D1489" s="47" t="s">
        <v>4753</v>
      </c>
      <c r="E1489" s="64">
        <v>33162.049999999996</v>
      </c>
      <c r="F1489" s="64">
        <v>2.48</v>
      </c>
    </row>
    <row r="1490" spans="1:6" x14ac:dyDescent="0.25">
      <c r="A1490" s="47" t="s">
        <v>5088</v>
      </c>
      <c r="B1490" s="47" t="s">
        <v>5089</v>
      </c>
      <c r="C1490" s="47" t="s">
        <v>5090</v>
      </c>
      <c r="D1490" s="47" t="s">
        <v>4753</v>
      </c>
      <c r="E1490" s="64">
        <v>33162.049999999996</v>
      </c>
      <c r="F1490" s="64">
        <v>2.48</v>
      </c>
    </row>
    <row r="1491" spans="1:6" x14ac:dyDescent="0.25">
      <c r="A1491" s="47" t="s">
        <v>5091</v>
      </c>
      <c r="B1491" s="47" t="s">
        <v>5092</v>
      </c>
      <c r="C1491" s="47" t="s">
        <v>5093</v>
      </c>
      <c r="D1491" s="47" t="s">
        <v>1732</v>
      </c>
      <c r="E1491" s="64">
        <v>51226.469999999994</v>
      </c>
      <c r="F1491" s="64">
        <v>1</v>
      </c>
    </row>
    <row r="1492" spans="1:6" x14ac:dyDescent="0.25">
      <c r="A1492" s="47" t="s">
        <v>5094</v>
      </c>
      <c r="B1492" s="47" t="s">
        <v>5095</v>
      </c>
      <c r="C1492" s="47" t="s">
        <v>5096</v>
      </c>
      <c r="D1492" s="47" t="s">
        <v>1732</v>
      </c>
      <c r="E1492" s="64">
        <v>51226.469999999994</v>
      </c>
      <c r="F1492" s="64">
        <v>1</v>
      </c>
    </row>
    <row r="1493" spans="1:6" x14ac:dyDescent="0.25">
      <c r="A1493" s="47" t="s">
        <v>5097</v>
      </c>
      <c r="B1493" s="47" t="s">
        <v>5098</v>
      </c>
      <c r="C1493" s="47" t="s">
        <v>5099</v>
      </c>
      <c r="D1493" s="47" t="s">
        <v>2303</v>
      </c>
      <c r="E1493" s="64">
        <v>64458.75</v>
      </c>
      <c r="F1493" s="64">
        <v>95.19583333333334</v>
      </c>
    </row>
    <row r="1494" spans="1:6" x14ac:dyDescent="0.25">
      <c r="A1494" s="47" t="s">
        <v>5100</v>
      </c>
      <c r="B1494" s="47" t="s">
        <v>5101</v>
      </c>
      <c r="C1494" s="47" t="s">
        <v>5102</v>
      </c>
      <c r="D1494" s="47" t="s">
        <v>2303</v>
      </c>
      <c r="E1494" s="64">
        <v>64458.75</v>
      </c>
      <c r="F1494" s="64">
        <v>95.19583333333334</v>
      </c>
    </row>
    <row r="1495" spans="1:6" x14ac:dyDescent="0.25">
      <c r="A1495" s="47" t="s">
        <v>5103</v>
      </c>
      <c r="B1495" s="47" t="s">
        <v>5104</v>
      </c>
      <c r="C1495" s="47" t="s">
        <v>5105</v>
      </c>
      <c r="D1495" s="47" t="s">
        <v>5106</v>
      </c>
      <c r="E1495" s="64">
        <v>29020.54</v>
      </c>
      <c r="F1495" s="64">
        <v>152</v>
      </c>
    </row>
    <row r="1496" spans="1:6" x14ac:dyDescent="0.25">
      <c r="A1496" s="47" t="s">
        <v>5107</v>
      </c>
      <c r="B1496" s="47" t="s">
        <v>5108</v>
      </c>
      <c r="C1496" s="47" t="s">
        <v>5109</v>
      </c>
      <c r="D1496" s="47" t="s">
        <v>5106</v>
      </c>
      <c r="E1496" s="64">
        <v>29020.54</v>
      </c>
      <c r="F1496" s="64">
        <v>152</v>
      </c>
    </row>
    <row r="1497" spans="1:6" x14ac:dyDescent="0.25">
      <c r="A1497" s="47" t="s">
        <v>5110</v>
      </c>
      <c r="B1497" s="47" t="s">
        <v>5111</v>
      </c>
      <c r="C1497" s="47" t="s">
        <v>5112</v>
      </c>
      <c r="D1497" s="47" t="s">
        <v>5106</v>
      </c>
      <c r="E1497" s="64">
        <v>29020.54</v>
      </c>
      <c r="F1497" s="64">
        <v>152</v>
      </c>
    </row>
    <row r="1498" spans="1:6" x14ac:dyDescent="0.25">
      <c r="A1498" s="47" t="s">
        <v>5113</v>
      </c>
      <c r="B1498" s="47" t="s">
        <v>5114</v>
      </c>
      <c r="C1498" s="47" t="s">
        <v>5115</v>
      </c>
      <c r="D1498" s="47" t="s">
        <v>5116</v>
      </c>
      <c r="E1498" s="64">
        <v>29020.54</v>
      </c>
      <c r="F1498" s="64">
        <v>184</v>
      </c>
    </row>
    <row r="1499" spans="1:6" x14ac:dyDescent="0.25">
      <c r="A1499" s="47" t="s">
        <v>5117</v>
      </c>
      <c r="B1499" s="47" t="s">
        <v>5118</v>
      </c>
      <c r="C1499" s="47" t="s">
        <v>5119</v>
      </c>
      <c r="D1499" s="47" t="s">
        <v>5106</v>
      </c>
      <c r="E1499" s="64">
        <v>29020.54</v>
      </c>
      <c r="F1499" s="64">
        <v>152</v>
      </c>
    </row>
    <row r="1500" spans="1:6" x14ac:dyDescent="0.25">
      <c r="A1500" s="47" t="s">
        <v>5120</v>
      </c>
      <c r="B1500" s="47" t="s">
        <v>5121</v>
      </c>
      <c r="C1500" s="47" t="s">
        <v>5122</v>
      </c>
      <c r="D1500" s="47" t="s">
        <v>5106</v>
      </c>
      <c r="E1500" s="64">
        <v>29020.54</v>
      </c>
      <c r="F1500" s="64">
        <v>152</v>
      </c>
    </row>
    <row r="1501" spans="1:6" x14ac:dyDescent="0.25">
      <c r="A1501" s="47" t="s">
        <v>5123</v>
      </c>
      <c r="B1501" s="47" t="s">
        <v>5124</v>
      </c>
      <c r="C1501" s="47" t="s">
        <v>5125</v>
      </c>
      <c r="D1501" s="47" t="s">
        <v>5126</v>
      </c>
      <c r="E1501" s="64">
        <v>29376.6</v>
      </c>
      <c r="F1501" s="64">
        <v>1265.4616666666666</v>
      </c>
    </row>
    <row r="1502" spans="1:6" x14ac:dyDescent="0.25">
      <c r="A1502" s="47" t="s">
        <v>5127</v>
      </c>
      <c r="B1502" s="47" t="s">
        <v>5128</v>
      </c>
      <c r="C1502" s="47" t="s">
        <v>5129</v>
      </c>
      <c r="D1502" s="47" t="s">
        <v>5130</v>
      </c>
      <c r="E1502" s="64">
        <v>31643.599999999999</v>
      </c>
      <c r="F1502" s="64">
        <v>1.4150000000000001E-2</v>
      </c>
    </row>
    <row r="1503" spans="1:6" x14ac:dyDescent="0.25">
      <c r="A1503" s="47" t="s">
        <v>5131</v>
      </c>
      <c r="B1503" s="47" t="s">
        <v>5132</v>
      </c>
      <c r="C1503" s="47" t="s">
        <v>5133</v>
      </c>
      <c r="D1503" s="47" t="s">
        <v>2379</v>
      </c>
      <c r="E1503" s="64">
        <v>166243.38999999998</v>
      </c>
      <c r="F1503" s="64">
        <v>3204</v>
      </c>
    </row>
    <row r="1504" spans="1:6" x14ac:dyDescent="0.25">
      <c r="A1504" s="47" t="s">
        <v>5134</v>
      </c>
      <c r="B1504" s="47" t="s">
        <v>5135</v>
      </c>
      <c r="C1504" s="47" t="s">
        <v>5136</v>
      </c>
      <c r="D1504" s="47"/>
      <c r="E1504" s="64">
        <v>46388</v>
      </c>
      <c r="F1504" s="64">
        <v>22</v>
      </c>
    </row>
    <row r="1505" spans="1:6" x14ac:dyDescent="0.25">
      <c r="A1505" s="47" t="s">
        <v>5137</v>
      </c>
      <c r="B1505" s="47" t="s">
        <v>5138</v>
      </c>
      <c r="C1505" s="47" t="s">
        <v>5139</v>
      </c>
      <c r="D1505" s="47"/>
      <c r="E1505" s="64">
        <v>39959.482499999998</v>
      </c>
      <c r="F1505" s="64">
        <v>100000000</v>
      </c>
    </row>
    <row r="1506" spans="1:6" x14ac:dyDescent="0.25">
      <c r="A1506" s="47" t="s">
        <v>5140</v>
      </c>
      <c r="B1506" s="47" t="s">
        <v>5141</v>
      </c>
      <c r="C1506" s="47" t="s">
        <v>5142</v>
      </c>
      <c r="D1506" s="47"/>
      <c r="E1506" s="64">
        <v>39959.482499999998</v>
      </c>
      <c r="F1506" s="64">
        <v>100000000</v>
      </c>
    </row>
    <row r="1507" spans="1:6" x14ac:dyDescent="0.25">
      <c r="A1507" s="47" t="s">
        <v>5143</v>
      </c>
      <c r="B1507" s="47" t="s">
        <v>5144</v>
      </c>
      <c r="C1507" s="47" t="s">
        <v>5145</v>
      </c>
      <c r="D1507" s="47"/>
      <c r="E1507" s="64">
        <v>59042.635000000009</v>
      </c>
      <c r="F1507" s="64">
        <v>22</v>
      </c>
    </row>
    <row r="1508" spans="1:6" x14ac:dyDescent="0.25">
      <c r="A1508" s="47" t="s">
        <v>5146</v>
      </c>
      <c r="B1508" s="47" t="s">
        <v>5147</v>
      </c>
      <c r="C1508" s="47" t="s">
        <v>5148</v>
      </c>
      <c r="D1508" s="47"/>
      <c r="E1508" s="64">
        <v>39959.482499999998</v>
      </c>
      <c r="F1508" s="64">
        <v>100000000</v>
      </c>
    </row>
    <row r="1509" spans="1:6" x14ac:dyDescent="0.25">
      <c r="A1509" s="47" t="s">
        <v>5149</v>
      </c>
      <c r="B1509" s="47" t="s">
        <v>5150</v>
      </c>
      <c r="C1509" s="47" t="s">
        <v>5151</v>
      </c>
      <c r="D1509" s="47" t="s">
        <v>1213</v>
      </c>
      <c r="E1509" s="64">
        <v>26241.19</v>
      </c>
      <c r="F1509" s="64">
        <v>36.35</v>
      </c>
    </row>
    <row r="1510" spans="1:6" x14ac:dyDescent="0.25">
      <c r="A1510" s="47" t="s">
        <v>5152</v>
      </c>
      <c r="B1510" s="47" t="s">
        <v>5153</v>
      </c>
      <c r="C1510" s="47" t="s">
        <v>5154</v>
      </c>
      <c r="D1510" s="47"/>
      <c r="E1510" s="64">
        <v>39959.482499999998</v>
      </c>
      <c r="F1510" s="64">
        <v>100000000</v>
      </c>
    </row>
    <row r="1511" spans="1:6" x14ac:dyDescent="0.25">
      <c r="A1511" s="47" t="s">
        <v>5155</v>
      </c>
      <c r="B1511" s="47" t="s">
        <v>5156</v>
      </c>
      <c r="C1511" s="47" t="s">
        <v>5157</v>
      </c>
      <c r="D1511" s="47"/>
      <c r="E1511" s="64">
        <v>39959.482499999998</v>
      </c>
      <c r="F1511" s="64">
        <v>100000000</v>
      </c>
    </row>
    <row r="1512" spans="1:6" x14ac:dyDescent="0.25">
      <c r="A1512" s="47" t="s">
        <v>5158</v>
      </c>
      <c r="B1512" s="47" t="s">
        <v>5159</v>
      </c>
      <c r="C1512" s="47" t="s">
        <v>5160</v>
      </c>
      <c r="D1512" s="47"/>
      <c r="E1512" s="64">
        <v>39959.482499999998</v>
      </c>
      <c r="F1512" s="64">
        <v>100000000</v>
      </c>
    </row>
    <row r="1513" spans="1:6" x14ac:dyDescent="0.25">
      <c r="A1513" s="47" t="s">
        <v>5161</v>
      </c>
      <c r="B1513" s="47" t="s">
        <v>5162</v>
      </c>
      <c r="C1513" s="47" t="s">
        <v>5163</v>
      </c>
      <c r="D1513" s="47" t="s">
        <v>5164</v>
      </c>
      <c r="E1513" s="64">
        <v>47168.069999999992</v>
      </c>
      <c r="F1513" s="64">
        <v>84.075966666666687</v>
      </c>
    </row>
    <row r="1514" spans="1:6" x14ac:dyDescent="0.25">
      <c r="A1514" s="47" t="s">
        <v>5165</v>
      </c>
      <c r="B1514" s="47" t="s">
        <v>5166</v>
      </c>
      <c r="C1514" s="47" t="s">
        <v>5167</v>
      </c>
      <c r="D1514" s="47"/>
      <c r="E1514" s="64">
        <v>39959.482499999998</v>
      </c>
      <c r="F1514" s="64">
        <v>100000000</v>
      </c>
    </row>
    <row r="1515" spans="1:6" x14ac:dyDescent="0.25">
      <c r="A1515" s="47" t="s">
        <v>5168</v>
      </c>
      <c r="B1515" s="47" t="s">
        <v>5169</v>
      </c>
      <c r="C1515" s="47" t="s">
        <v>5170</v>
      </c>
      <c r="D1515" s="47"/>
      <c r="E1515" s="64">
        <v>49910.62</v>
      </c>
      <c r="F1515" s="64">
        <v>100000000</v>
      </c>
    </row>
    <row r="1516" spans="1:6" x14ac:dyDescent="0.25">
      <c r="A1516" s="47" t="s">
        <v>5171</v>
      </c>
      <c r="B1516" s="47" t="s">
        <v>5172</v>
      </c>
      <c r="C1516" s="47" t="s">
        <v>5173</v>
      </c>
      <c r="D1516" s="47" t="s">
        <v>2548</v>
      </c>
      <c r="E1516" s="64">
        <v>182784.33666666667</v>
      </c>
      <c r="F1516" s="64">
        <v>1500</v>
      </c>
    </row>
    <row r="1517" spans="1:6" x14ac:dyDescent="0.25">
      <c r="A1517" s="47" t="s">
        <v>5174</v>
      </c>
      <c r="B1517" s="47" t="s">
        <v>5175</v>
      </c>
      <c r="C1517" s="47" t="s">
        <v>5176</v>
      </c>
      <c r="D1517" s="47"/>
      <c r="E1517" s="64">
        <v>145777.60500000001</v>
      </c>
      <c r="F1517" s="64">
        <v>22</v>
      </c>
    </row>
    <row r="1518" spans="1:6" x14ac:dyDescent="0.25">
      <c r="A1518" s="47" t="s">
        <v>5177</v>
      </c>
      <c r="B1518" s="47" t="s">
        <v>5178</v>
      </c>
      <c r="C1518" s="47" t="s">
        <v>5179</v>
      </c>
      <c r="D1518" s="47"/>
      <c r="E1518" s="64">
        <v>39959.482499999998</v>
      </c>
      <c r="F1518" s="64">
        <v>100000000</v>
      </c>
    </row>
    <row r="1519" spans="1:6" x14ac:dyDescent="0.25">
      <c r="A1519" s="47" t="s">
        <v>5180</v>
      </c>
      <c r="B1519" s="47" t="s">
        <v>3086</v>
      </c>
      <c r="C1519" s="47" t="s">
        <v>5181</v>
      </c>
      <c r="D1519" s="47" t="s">
        <v>2993</v>
      </c>
      <c r="E1519" s="64">
        <v>90985.709999999992</v>
      </c>
      <c r="F1519" s="64">
        <v>18.3185</v>
      </c>
    </row>
    <row r="1520" spans="1:6" x14ac:dyDescent="0.25">
      <c r="A1520" s="47" t="s">
        <v>5182</v>
      </c>
      <c r="B1520" s="47" t="s">
        <v>5183</v>
      </c>
      <c r="C1520" s="47" t="s">
        <v>5184</v>
      </c>
      <c r="D1520" s="47"/>
      <c r="E1520" s="64">
        <v>150031.87000000002</v>
      </c>
      <c r="F1520" s="64">
        <v>22</v>
      </c>
    </row>
    <row r="1521" spans="1:6" x14ac:dyDescent="0.25">
      <c r="A1521" s="47" t="s">
        <v>5185</v>
      </c>
      <c r="B1521" s="47" t="s">
        <v>1341</v>
      </c>
      <c r="C1521" s="47" t="s">
        <v>5186</v>
      </c>
      <c r="D1521" s="47" t="s">
        <v>5187</v>
      </c>
      <c r="E1521" s="64">
        <v>23746.959999999999</v>
      </c>
      <c r="F1521" s="64">
        <v>34</v>
      </c>
    </row>
    <row r="1522" spans="1:6" x14ac:dyDescent="0.25">
      <c r="A1522" s="47" t="s">
        <v>5188</v>
      </c>
      <c r="B1522" s="47" t="s">
        <v>5189</v>
      </c>
      <c r="C1522" s="47" t="s">
        <v>5190</v>
      </c>
      <c r="D1522" s="47"/>
      <c r="E1522" s="64">
        <v>50182.47</v>
      </c>
      <c r="F1522" s="64">
        <v>22</v>
      </c>
    </row>
    <row r="1523" spans="1:6" x14ac:dyDescent="0.25">
      <c r="A1523" s="47" t="s">
        <v>5191</v>
      </c>
      <c r="B1523" s="47" t="s">
        <v>5192</v>
      </c>
      <c r="C1523" s="47" t="s">
        <v>5193</v>
      </c>
      <c r="D1523" s="47" t="s">
        <v>5194</v>
      </c>
      <c r="E1523" s="64">
        <v>59110.41</v>
      </c>
      <c r="F1523" s="64">
        <v>5.665</v>
      </c>
    </row>
    <row r="1524" spans="1:6" x14ac:dyDescent="0.25">
      <c r="A1524" s="47" t="s">
        <v>5195</v>
      </c>
      <c r="B1524" s="47" t="s">
        <v>5196</v>
      </c>
      <c r="C1524" s="47" t="s">
        <v>5197</v>
      </c>
      <c r="D1524" s="47" t="s">
        <v>5198</v>
      </c>
      <c r="E1524" s="64">
        <v>45465.033333333333</v>
      </c>
      <c r="F1524" s="64">
        <v>1.41</v>
      </c>
    </row>
    <row r="1525" spans="1:6" x14ac:dyDescent="0.25">
      <c r="A1525" s="47" t="s">
        <v>5199</v>
      </c>
      <c r="B1525" s="47" t="s">
        <v>5200</v>
      </c>
      <c r="C1525" s="47" t="s">
        <v>5201</v>
      </c>
      <c r="D1525" s="47" t="s">
        <v>663</v>
      </c>
      <c r="E1525" s="64">
        <v>53985.54</v>
      </c>
      <c r="F1525" s="64">
        <v>2.4</v>
      </c>
    </row>
    <row r="1526" spans="1:6" x14ac:dyDescent="0.25">
      <c r="A1526" s="47" t="s">
        <v>5202</v>
      </c>
      <c r="B1526" s="47" t="s">
        <v>5203</v>
      </c>
      <c r="C1526" s="47" t="s">
        <v>5204</v>
      </c>
      <c r="D1526" s="47" t="s">
        <v>5205</v>
      </c>
      <c r="E1526" s="64">
        <v>28072.3</v>
      </c>
      <c r="F1526" s="64">
        <v>5.2468399999999998E-2</v>
      </c>
    </row>
    <row r="1527" spans="1:6" x14ac:dyDescent="0.25">
      <c r="A1527" s="47" t="s">
        <v>5206</v>
      </c>
      <c r="B1527" s="47" t="s">
        <v>1726</v>
      </c>
      <c r="C1527" s="47" t="s">
        <v>5207</v>
      </c>
      <c r="D1527" s="47" t="s">
        <v>5208</v>
      </c>
      <c r="E1527" s="64">
        <v>38733.519999999997</v>
      </c>
      <c r="F1527" s="64">
        <v>350</v>
      </c>
    </row>
    <row r="1528" spans="1:6" x14ac:dyDescent="0.25">
      <c r="A1528" s="47" t="s">
        <v>5209</v>
      </c>
      <c r="B1528" s="47" t="s">
        <v>5210</v>
      </c>
      <c r="C1528" s="47" t="s">
        <v>5211</v>
      </c>
      <c r="D1528" s="47" t="s">
        <v>1331</v>
      </c>
      <c r="E1528" s="64">
        <v>69038.91</v>
      </c>
      <c r="F1528" s="64">
        <v>845</v>
      </c>
    </row>
    <row r="1529" spans="1:6" x14ac:dyDescent="0.25">
      <c r="A1529" s="47" t="s">
        <v>5212</v>
      </c>
      <c r="B1529" s="47" t="s">
        <v>3766</v>
      </c>
      <c r="C1529" s="47" t="s">
        <v>5213</v>
      </c>
      <c r="D1529" s="47" t="s">
        <v>1943</v>
      </c>
      <c r="E1529" s="64">
        <v>27408.809999999998</v>
      </c>
      <c r="F1529" s="64">
        <v>2.8</v>
      </c>
    </row>
    <row r="1530" spans="1:6" x14ac:dyDescent="0.25">
      <c r="A1530" s="47" t="s">
        <v>5214</v>
      </c>
      <c r="B1530" s="47" t="s">
        <v>5215</v>
      </c>
      <c r="C1530" s="47" t="s">
        <v>5216</v>
      </c>
      <c r="D1530" s="47" t="s">
        <v>5217</v>
      </c>
      <c r="E1530" s="64">
        <v>26853.322500000002</v>
      </c>
      <c r="F1530" s="64">
        <v>0.76600000000000001</v>
      </c>
    </row>
    <row r="1531" spans="1:6" x14ac:dyDescent="0.25">
      <c r="A1531" s="47" t="s">
        <v>5218</v>
      </c>
      <c r="B1531" s="47" t="s">
        <v>5219</v>
      </c>
      <c r="C1531" s="47" t="s">
        <v>5220</v>
      </c>
      <c r="D1531" s="47" t="s">
        <v>4425</v>
      </c>
      <c r="E1531" s="64">
        <v>37593.57</v>
      </c>
      <c r="F1531" s="64">
        <v>185.2</v>
      </c>
    </row>
    <row r="1532" spans="1:6" x14ac:dyDescent="0.25">
      <c r="A1532" s="47" t="s">
        <v>5221</v>
      </c>
      <c r="B1532" s="47" t="s">
        <v>5222</v>
      </c>
      <c r="C1532" s="47" t="s">
        <v>5223</v>
      </c>
      <c r="D1532" s="47" t="s">
        <v>5224</v>
      </c>
      <c r="E1532" s="64">
        <v>176297.89749999996</v>
      </c>
      <c r="F1532" s="64">
        <v>36.57</v>
      </c>
    </row>
    <row r="1533" spans="1:6" x14ac:dyDescent="0.25">
      <c r="A1533" s="47" t="s">
        <v>5225</v>
      </c>
      <c r="B1533" s="47" t="s">
        <v>5226</v>
      </c>
      <c r="C1533" s="47" t="s">
        <v>5227</v>
      </c>
      <c r="D1533" s="47" t="s">
        <v>5224</v>
      </c>
      <c r="E1533" s="64">
        <v>176297.89749999996</v>
      </c>
      <c r="F1533" s="64">
        <v>36.57</v>
      </c>
    </row>
    <row r="1534" spans="1:6" x14ac:dyDescent="0.25">
      <c r="A1534" s="47" t="s">
        <v>5228</v>
      </c>
      <c r="B1534" s="47" t="s">
        <v>5229</v>
      </c>
      <c r="C1534" s="47" t="s">
        <v>5230</v>
      </c>
      <c r="D1534" s="47" t="s">
        <v>5198</v>
      </c>
      <c r="E1534" s="64">
        <v>228655.21</v>
      </c>
      <c r="F1534" s="64">
        <v>1.41</v>
      </c>
    </row>
    <row r="1535" spans="1:6" x14ac:dyDescent="0.25">
      <c r="A1535" s="47" t="s">
        <v>5231</v>
      </c>
      <c r="B1535" s="47" t="s">
        <v>5229</v>
      </c>
      <c r="C1535" s="47" t="s">
        <v>5232</v>
      </c>
      <c r="D1535" s="47" t="s">
        <v>5198</v>
      </c>
      <c r="E1535" s="64">
        <v>228655.21</v>
      </c>
      <c r="F1535" s="64">
        <v>1.41</v>
      </c>
    </row>
    <row r="1536" spans="1:6" x14ac:dyDescent="0.25">
      <c r="A1536" s="47" t="s">
        <v>5233</v>
      </c>
      <c r="B1536" s="47" t="s">
        <v>5234</v>
      </c>
      <c r="C1536" s="47" t="s">
        <v>5235</v>
      </c>
      <c r="D1536" s="47" t="s">
        <v>4500</v>
      </c>
      <c r="E1536" s="64">
        <v>51945.819999999992</v>
      </c>
      <c r="F1536" s="64">
        <v>79.479493763392853</v>
      </c>
    </row>
    <row r="1537" spans="1:6" x14ac:dyDescent="0.25">
      <c r="A1537" s="47" t="s">
        <v>5236</v>
      </c>
      <c r="B1537" s="47" t="s">
        <v>5237</v>
      </c>
      <c r="C1537" s="47" t="s">
        <v>5238</v>
      </c>
      <c r="D1537" s="47"/>
      <c r="E1537" s="64">
        <v>42537.22</v>
      </c>
      <c r="F1537" s="64">
        <v>22</v>
      </c>
    </row>
    <row r="1538" spans="1:6" x14ac:dyDescent="0.25">
      <c r="A1538" s="47" t="s">
        <v>5239</v>
      </c>
      <c r="B1538" s="47" t="s">
        <v>2658</v>
      </c>
      <c r="C1538" s="47" t="s">
        <v>2659</v>
      </c>
      <c r="D1538" s="47"/>
      <c r="E1538" s="64">
        <v>39959.482499999998</v>
      </c>
      <c r="F1538" s="64">
        <v>100000000</v>
      </c>
    </row>
    <row r="1539" spans="1:6" x14ac:dyDescent="0.25">
      <c r="A1539" s="47" t="s">
        <v>5240</v>
      </c>
      <c r="B1539" s="47" t="s">
        <v>5241</v>
      </c>
      <c r="C1539" s="47" t="s">
        <v>5242</v>
      </c>
      <c r="D1539" s="47"/>
      <c r="E1539" s="64">
        <v>41743.71</v>
      </c>
      <c r="F1539" s="64">
        <v>22</v>
      </c>
    </row>
    <row r="1540" spans="1:6" x14ac:dyDescent="0.25">
      <c r="A1540" s="47" t="s">
        <v>5243</v>
      </c>
      <c r="B1540" s="47" t="s">
        <v>5244</v>
      </c>
      <c r="C1540" s="47" t="s">
        <v>5245</v>
      </c>
      <c r="D1540" s="47" t="s">
        <v>5246</v>
      </c>
      <c r="E1540" s="64">
        <v>31340.925000000003</v>
      </c>
      <c r="F1540" s="64">
        <v>17.504999999999999</v>
      </c>
    </row>
    <row r="1541" spans="1:6" x14ac:dyDescent="0.25">
      <c r="A1541" s="47" t="s">
        <v>5247</v>
      </c>
      <c r="B1541" s="47" t="s">
        <v>5248</v>
      </c>
      <c r="C1541" s="47" t="s">
        <v>5249</v>
      </c>
      <c r="D1541" s="47" t="s">
        <v>2303</v>
      </c>
      <c r="E1541" s="64">
        <v>64458.75</v>
      </c>
      <c r="F1541" s="64">
        <v>95.19583333333334</v>
      </c>
    </row>
    <row r="1542" spans="1:6" x14ac:dyDescent="0.25">
      <c r="A1542" s="47" t="s">
        <v>5250</v>
      </c>
      <c r="B1542" s="47" t="s">
        <v>5251</v>
      </c>
      <c r="C1542" s="47" t="s">
        <v>5252</v>
      </c>
      <c r="D1542" s="47" t="s">
        <v>5253</v>
      </c>
      <c r="E1542" s="64">
        <v>25620.92</v>
      </c>
      <c r="F1542" s="64">
        <v>5.6400000000000005E-4</v>
      </c>
    </row>
    <row r="1543" spans="1:6" x14ac:dyDescent="0.25">
      <c r="A1543" s="47" t="s">
        <v>5254</v>
      </c>
      <c r="B1543" s="47" t="s">
        <v>5255</v>
      </c>
      <c r="C1543" s="47" t="s">
        <v>5256</v>
      </c>
      <c r="D1543" s="47"/>
      <c r="E1543" s="64">
        <v>27494.23</v>
      </c>
      <c r="F1543" s="64">
        <v>22</v>
      </c>
    </row>
    <row r="1544" spans="1:6" x14ac:dyDescent="0.25">
      <c r="A1544" s="47" t="s">
        <v>5257</v>
      </c>
      <c r="B1544" s="47" t="s">
        <v>5258</v>
      </c>
      <c r="C1544" s="47" t="s">
        <v>5259</v>
      </c>
      <c r="D1544" s="47" t="s">
        <v>5260</v>
      </c>
      <c r="E1544" s="64">
        <v>33593.199999999997</v>
      </c>
      <c r="F1544" s="64">
        <v>16.080249999999999</v>
      </c>
    </row>
    <row r="1545" spans="1:6" x14ac:dyDescent="0.25">
      <c r="A1545" s="47" t="s">
        <v>5261</v>
      </c>
      <c r="B1545" s="47" t="s">
        <v>5262</v>
      </c>
      <c r="C1545" s="47" t="s">
        <v>5263</v>
      </c>
      <c r="D1545" s="47" t="s">
        <v>5264</v>
      </c>
      <c r="E1545" s="64">
        <v>70848.209999999992</v>
      </c>
      <c r="F1545" s="64">
        <v>2.8482833333333333</v>
      </c>
    </row>
    <row r="1546" spans="1:6" x14ac:dyDescent="0.25">
      <c r="A1546" s="47" t="s">
        <v>5265</v>
      </c>
      <c r="B1546" s="47" t="s">
        <v>5266</v>
      </c>
      <c r="C1546" s="47" t="s">
        <v>5267</v>
      </c>
      <c r="D1546" s="47" t="s">
        <v>5268</v>
      </c>
      <c r="E1546" s="64">
        <v>27686.726666666662</v>
      </c>
      <c r="F1546" s="64">
        <v>146.20000000000002</v>
      </c>
    </row>
    <row r="1547" spans="1:6" x14ac:dyDescent="0.25">
      <c r="A1547" s="47" t="s">
        <v>5269</v>
      </c>
      <c r="B1547" s="47" t="s">
        <v>5270</v>
      </c>
      <c r="C1547" s="47" t="s">
        <v>5271</v>
      </c>
      <c r="D1547" s="47" t="s">
        <v>4558</v>
      </c>
      <c r="E1547" s="64">
        <v>21225.620000000003</v>
      </c>
      <c r="F1547" s="64">
        <v>0.29199999999999998</v>
      </c>
    </row>
    <row r="1548" spans="1:6" x14ac:dyDescent="0.25">
      <c r="A1548" s="47" t="s">
        <v>5272</v>
      </c>
      <c r="B1548" s="47" t="s">
        <v>5273</v>
      </c>
      <c r="C1548" s="47" t="s">
        <v>5274</v>
      </c>
      <c r="D1548" s="47" t="s">
        <v>596</v>
      </c>
      <c r="E1548" s="64">
        <v>25544.359999999997</v>
      </c>
      <c r="F1548" s="64">
        <v>0.13</v>
      </c>
    </row>
    <row r="1549" spans="1:6" x14ac:dyDescent="0.25">
      <c r="A1549" s="47" t="s">
        <v>5275</v>
      </c>
      <c r="B1549" s="47" t="s">
        <v>5276</v>
      </c>
      <c r="C1549" s="47" t="s">
        <v>5277</v>
      </c>
      <c r="D1549" s="47" t="s">
        <v>4753</v>
      </c>
      <c r="E1549" s="64">
        <v>33162.049999999996</v>
      </c>
      <c r="F1549" s="64">
        <v>2.48</v>
      </c>
    </row>
    <row r="1550" spans="1:6" x14ac:dyDescent="0.25">
      <c r="A1550" s="47" t="s">
        <v>5278</v>
      </c>
      <c r="B1550" s="47" t="s">
        <v>5279</v>
      </c>
      <c r="C1550" s="47" t="s">
        <v>5280</v>
      </c>
      <c r="D1550" s="47" t="s">
        <v>4682</v>
      </c>
      <c r="E1550" s="64">
        <v>38977.050000000003</v>
      </c>
      <c r="F1550" s="64">
        <v>1016</v>
      </c>
    </row>
    <row r="1551" spans="1:6" x14ac:dyDescent="0.25">
      <c r="A1551" s="47" t="s">
        <v>5281</v>
      </c>
      <c r="B1551" s="47" t="s">
        <v>5282</v>
      </c>
      <c r="C1551" s="47" t="s">
        <v>5283</v>
      </c>
      <c r="D1551" s="47"/>
      <c r="E1551" s="64">
        <v>32926.350000000006</v>
      </c>
      <c r="F1551" s="64">
        <v>22</v>
      </c>
    </row>
    <row r="1552" spans="1:6" x14ac:dyDescent="0.25">
      <c r="A1552" s="47" t="s">
        <v>5284</v>
      </c>
      <c r="B1552" s="47" t="s">
        <v>5285</v>
      </c>
      <c r="C1552" s="47" t="s">
        <v>5286</v>
      </c>
      <c r="D1552" s="47" t="s">
        <v>2496</v>
      </c>
      <c r="E1552" s="64">
        <v>143873.26</v>
      </c>
      <c r="F1552" s="64">
        <v>320.5</v>
      </c>
    </row>
    <row r="1553" spans="1:6" x14ac:dyDescent="0.25">
      <c r="A1553" s="47" t="s">
        <v>5287</v>
      </c>
      <c r="B1553" s="47" t="s">
        <v>5288</v>
      </c>
      <c r="C1553" s="47" t="s">
        <v>5289</v>
      </c>
      <c r="D1553" s="47" t="s">
        <v>4830</v>
      </c>
      <c r="E1553" s="64">
        <v>27863.119999999995</v>
      </c>
      <c r="F1553" s="64">
        <v>5.3</v>
      </c>
    </row>
    <row r="1554" spans="1:6" x14ac:dyDescent="0.25">
      <c r="A1554" s="47" t="s">
        <v>5290</v>
      </c>
      <c r="B1554" s="47" t="s">
        <v>5291</v>
      </c>
      <c r="C1554" s="47" t="s">
        <v>5292</v>
      </c>
      <c r="D1554" s="47" t="s">
        <v>4830</v>
      </c>
      <c r="E1554" s="64">
        <v>27863.119999999995</v>
      </c>
      <c r="F1554" s="64">
        <v>5.3</v>
      </c>
    </row>
    <row r="1555" spans="1:6" x14ac:dyDescent="0.25">
      <c r="A1555" s="47" t="s">
        <v>5293</v>
      </c>
      <c r="B1555" s="47" t="s">
        <v>5294</v>
      </c>
      <c r="C1555" s="47" t="s">
        <v>5295</v>
      </c>
      <c r="D1555" s="47" t="s">
        <v>4830</v>
      </c>
      <c r="E1555" s="64">
        <v>27863.119999999995</v>
      </c>
      <c r="F1555" s="64">
        <v>5.3</v>
      </c>
    </row>
    <row r="1556" spans="1:6" x14ac:dyDescent="0.25">
      <c r="A1556" s="47" t="s">
        <v>5296</v>
      </c>
      <c r="B1556" s="47" t="s">
        <v>5297</v>
      </c>
      <c r="C1556" s="47" t="s">
        <v>5298</v>
      </c>
      <c r="D1556" s="47" t="s">
        <v>5299</v>
      </c>
      <c r="E1556" s="64">
        <v>99999.93</v>
      </c>
      <c r="F1556" s="64">
        <v>166.8</v>
      </c>
    </row>
    <row r="1557" spans="1:6" x14ac:dyDescent="0.25">
      <c r="A1557" s="47" t="s">
        <v>5300</v>
      </c>
      <c r="B1557" s="47" t="s">
        <v>5301</v>
      </c>
      <c r="C1557" s="47" t="s">
        <v>5302</v>
      </c>
      <c r="D1557" s="47" t="s">
        <v>5299</v>
      </c>
      <c r="E1557" s="64">
        <v>99999.93</v>
      </c>
      <c r="F1557" s="64">
        <v>166.8</v>
      </c>
    </row>
    <row r="1558" spans="1:6" x14ac:dyDescent="0.25">
      <c r="A1558" s="47" t="s">
        <v>5303</v>
      </c>
      <c r="B1558" s="47" t="s">
        <v>5304</v>
      </c>
      <c r="C1558" s="47" t="s">
        <v>5305</v>
      </c>
      <c r="D1558" s="47" t="s">
        <v>4837</v>
      </c>
      <c r="E1558" s="64">
        <v>31453.040000000001</v>
      </c>
      <c r="F1558" s="64">
        <v>8.92</v>
      </c>
    </row>
    <row r="1559" spans="1:6" x14ac:dyDescent="0.25">
      <c r="A1559" s="47" t="s">
        <v>5306</v>
      </c>
      <c r="B1559" s="47" t="s">
        <v>5307</v>
      </c>
      <c r="C1559" s="47" t="s">
        <v>5308</v>
      </c>
      <c r="D1559" s="47" t="s">
        <v>4837</v>
      </c>
      <c r="E1559" s="64">
        <v>31453.040000000001</v>
      </c>
      <c r="F1559" s="64">
        <v>8.92</v>
      </c>
    </row>
    <row r="1560" spans="1:6" x14ac:dyDescent="0.25">
      <c r="A1560" s="47" t="s">
        <v>5309</v>
      </c>
      <c r="B1560" s="47" t="s">
        <v>5310</v>
      </c>
      <c r="C1560" s="47" t="s">
        <v>5311</v>
      </c>
      <c r="D1560" s="47" t="s">
        <v>4837</v>
      </c>
      <c r="E1560" s="64">
        <v>31453.040000000001</v>
      </c>
      <c r="F1560" s="64">
        <v>8.92</v>
      </c>
    </row>
    <row r="1561" spans="1:6" x14ac:dyDescent="0.25">
      <c r="A1561" s="47" t="s">
        <v>5312</v>
      </c>
      <c r="B1561" s="47" t="s">
        <v>5313</v>
      </c>
      <c r="C1561" s="47" t="s">
        <v>5314</v>
      </c>
      <c r="D1561" s="47" t="s">
        <v>4847</v>
      </c>
      <c r="E1561" s="64">
        <v>28449.919999999998</v>
      </c>
      <c r="F1561" s="64">
        <v>90.131772727272732</v>
      </c>
    </row>
    <row r="1562" spans="1:6" x14ac:dyDescent="0.25">
      <c r="A1562" s="47" t="s">
        <v>5315</v>
      </c>
      <c r="B1562" s="47" t="s">
        <v>5316</v>
      </c>
      <c r="C1562" s="47" t="s">
        <v>5317</v>
      </c>
      <c r="D1562" s="47" t="s">
        <v>4847</v>
      </c>
      <c r="E1562" s="64">
        <v>28449.919999999998</v>
      </c>
      <c r="F1562" s="64">
        <v>90.131772727272732</v>
      </c>
    </row>
    <row r="1563" spans="1:6" x14ac:dyDescent="0.25">
      <c r="A1563" s="47" t="s">
        <v>5318</v>
      </c>
      <c r="B1563" s="47" t="s">
        <v>5319</v>
      </c>
      <c r="C1563" s="47" t="s">
        <v>5320</v>
      </c>
      <c r="D1563" s="47" t="s">
        <v>4851</v>
      </c>
      <c r="E1563" s="64">
        <v>20700.12</v>
      </c>
      <c r="F1563" s="64">
        <v>1</v>
      </c>
    </row>
    <row r="1564" spans="1:6" x14ac:dyDescent="0.25">
      <c r="A1564" s="47" t="s">
        <v>5321</v>
      </c>
      <c r="B1564" s="47" t="s">
        <v>5322</v>
      </c>
      <c r="C1564" s="47" t="s">
        <v>5323</v>
      </c>
      <c r="D1564" s="47" t="s">
        <v>1830</v>
      </c>
      <c r="E1564" s="64">
        <v>24353.350000000002</v>
      </c>
      <c r="F1564" s="64">
        <v>4</v>
      </c>
    </row>
    <row r="1565" spans="1:6" x14ac:dyDescent="0.25">
      <c r="A1565" s="47" t="s">
        <v>5324</v>
      </c>
      <c r="B1565" s="47" t="s">
        <v>5325</v>
      </c>
      <c r="C1565" s="47" t="s">
        <v>5326</v>
      </c>
      <c r="D1565" s="47" t="s">
        <v>3421</v>
      </c>
      <c r="E1565" s="64">
        <v>31965.329999999998</v>
      </c>
      <c r="F1565" s="64">
        <v>7.3454999999999995</v>
      </c>
    </row>
    <row r="1566" spans="1:6" x14ac:dyDescent="0.25">
      <c r="A1566" s="47" t="s">
        <v>5327</v>
      </c>
      <c r="B1566" s="47" t="s">
        <v>5328</v>
      </c>
      <c r="C1566" s="47" t="s">
        <v>5329</v>
      </c>
      <c r="D1566" s="47" t="s">
        <v>4886</v>
      </c>
      <c r="E1566" s="64">
        <v>25559.58</v>
      </c>
      <c r="F1566" s="64">
        <v>99.3</v>
      </c>
    </row>
    <row r="1567" spans="1:6" x14ac:dyDescent="0.25">
      <c r="A1567" s="47" t="s">
        <v>5330</v>
      </c>
      <c r="B1567" s="47" t="s">
        <v>5331</v>
      </c>
      <c r="C1567" s="47" t="s">
        <v>5332</v>
      </c>
      <c r="D1567" s="47" t="s">
        <v>5333</v>
      </c>
      <c r="E1567" s="64">
        <v>18000.449999999997</v>
      </c>
      <c r="F1567" s="64">
        <v>368.48649999999998</v>
      </c>
    </row>
    <row r="1568" spans="1:6" x14ac:dyDescent="0.25">
      <c r="A1568" s="47" t="s">
        <v>5334</v>
      </c>
      <c r="B1568" s="47" t="s">
        <v>5335</v>
      </c>
      <c r="C1568" s="47" t="s">
        <v>5336</v>
      </c>
      <c r="D1568" s="47" t="s">
        <v>5333</v>
      </c>
      <c r="E1568" s="64">
        <v>18000.449999999997</v>
      </c>
      <c r="F1568" s="64">
        <v>368.48649999999998</v>
      </c>
    </row>
    <row r="1569" spans="1:6" x14ac:dyDescent="0.25">
      <c r="A1569" s="47" t="s">
        <v>5337</v>
      </c>
      <c r="B1569" s="47" t="s">
        <v>5338</v>
      </c>
      <c r="C1569" s="47" t="s">
        <v>5339</v>
      </c>
      <c r="D1569" s="47" t="s">
        <v>4830</v>
      </c>
      <c r="E1569" s="64">
        <v>27863.119999999995</v>
      </c>
      <c r="F1569" s="64">
        <v>5.3</v>
      </c>
    </row>
    <row r="1570" spans="1:6" x14ac:dyDescent="0.25">
      <c r="A1570" s="47" t="s">
        <v>5340</v>
      </c>
      <c r="B1570" s="47" t="s">
        <v>5341</v>
      </c>
      <c r="C1570" s="47" t="s">
        <v>5342</v>
      </c>
      <c r="D1570" s="47"/>
      <c r="E1570" s="64">
        <v>29304.200000000004</v>
      </c>
      <c r="F1570" s="64">
        <v>22</v>
      </c>
    </row>
    <row r="1571" spans="1:6" x14ac:dyDescent="0.25">
      <c r="A1571" s="47" t="s">
        <v>5343</v>
      </c>
      <c r="B1571" s="47" t="s">
        <v>5344</v>
      </c>
      <c r="C1571" s="47" t="s">
        <v>5345</v>
      </c>
      <c r="D1571" s="47" t="s">
        <v>4830</v>
      </c>
      <c r="E1571" s="64">
        <v>27863.119999999995</v>
      </c>
      <c r="F1571" s="64">
        <v>5.3</v>
      </c>
    </row>
    <row r="1572" spans="1:6" x14ac:dyDescent="0.25">
      <c r="A1572" s="47" t="s">
        <v>5346</v>
      </c>
      <c r="B1572" s="47" t="s">
        <v>5347</v>
      </c>
      <c r="C1572" s="47" t="s">
        <v>5348</v>
      </c>
      <c r="D1572" s="47" t="s">
        <v>5349</v>
      </c>
      <c r="E1572" s="64">
        <v>27452.38</v>
      </c>
      <c r="F1572" s="64">
        <v>46.809013666666665</v>
      </c>
    </row>
    <row r="1573" spans="1:6" x14ac:dyDescent="0.25">
      <c r="A1573" s="47" t="s">
        <v>5350</v>
      </c>
      <c r="B1573" s="47" t="s">
        <v>5351</v>
      </c>
      <c r="C1573" s="47" t="s">
        <v>5352</v>
      </c>
      <c r="D1573" s="47" t="s">
        <v>5072</v>
      </c>
      <c r="E1573" s="64">
        <v>24219.075000000004</v>
      </c>
      <c r="F1573" s="64">
        <v>24</v>
      </c>
    </row>
    <row r="1574" spans="1:6" x14ac:dyDescent="0.25">
      <c r="A1574" s="47" t="s">
        <v>5353</v>
      </c>
      <c r="B1574" s="47" t="s">
        <v>5354</v>
      </c>
      <c r="C1574" s="47" t="s">
        <v>5355</v>
      </c>
      <c r="D1574" s="47" t="s">
        <v>5356</v>
      </c>
      <c r="E1574" s="64">
        <v>13244.38</v>
      </c>
      <c r="F1574" s="64">
        <v>10.403333333333334</v>
      </c>
    </row>
    <row r="1575" spans="1:6" x14ac:dyDescent="0.25">
      <c r="A1575" s="47" t="s">
        <v>5357</v>
      </c>
      <c r="B1575" s="47" t="s">
        <v>5358</v>
      </c>
      <c r="C1575" s="47" t="s">
        <v>5359</v>
      </c>
      <c r="D1575" s="47" t="s">
        <v>4855</v>
      </c>
      <c r="E1575" s="64">
        <v>52800.22</v>
      </c>
      <c r="F1575" s="64">
        <v>1</v>
      </c>
    </row>
    <row r="1576" spans="1:6" x14ac:dyDescent="0.25">
      <c r="A1576" s="47" t="s">
        <v>5360</v>
      </c>
      <c r="B1576" s="47" t="s">
        <v>5361</v>
      </c>
      <c r="C1576" s="47" t="s">
        <v>5362</v>
      </c>
      <c r="D1576" s="47" t="s">
        <v>4855</v>
      </c>
      <c r="E1576" s="64">
        <v>52800.22</v>
      </c>
      <c r="F1576" s="64">
        <v>1</v>
      </c>
    </row>
    <row r="1577" spans="1:6" x14ac:dyDescent="0.25">
      <c r="A1577" s="47" t="s">
        <v>5363</v>
      </c>
      <c r="B1577" s="47" t="s">
        <v>5364</v>
      </c>
      <c r="C1577" s="47" t="s">
        <v>5365</v>
      </c>
      <c r="D1577" s="47" t="s">
        <v>4855</v>
      </c>
      <c r="E1577" s="64">
        <v>52800.22</v>
      </c>
      <c r="F1577" s="64">
        <v>1</v>
      </c>
    </row>
    <row r="1578" spans="1:6" x14ac:dyDescent="0.25">
      <c r="A1578" s="47" t="s">
        <v>5366</v>
      </c>
      <c r="B1578" s="47" t="s">
        <v>5367</v>
      </c>
      <c r="C1578" s="47" t="s">
        <v>5368</v>
      </c>
      <c r="D1578" s="47" t="s">
        <v>5369</v>
      </c>
      <c r="E1578" s="64">
        <v>35933.300000000003</v>
      </c>
      <c r="F1578" s="64">
        <v>75.042000000000002</v>
      </c>
    </row>
    <row r="1579" spans="1:6" x14ac:dyDescent="0.25">
      <c r="A1579" s="47" t="s">
        <v>5370</v>
      </c>
      <c r="B1579" s="47" t="s">
        <v>5371</v>
      </c>
      <c r="C1579" s="47" t="s">
        <v>5372</v>
      </c>
      <c r="D1579" s="47" t="s">
        <v>5369</v>
      </c>
      <c r="E1579" s="64">
        <v>35933.300000000003</v>
      </c>
      <c r="F1579" s="64">
        <v>75.042000000000002</v>
      </c>
    </row>
    <row r="1580" spans="1:6" x14ac:dyDescent="0.25">
      <c r="A1580" s="47" t="s">
        <v>5373</v>
      </c>
      <c r="B1580" s="47" t="s">
        <v>5374</v>
      </c>
      <c r="C1580" s="47" t="s">
        <v>5375</v>
      </c>
      <c r="D1580" s="47" t="s">
        <v>5369</v>
      </c>
      <c r="E1580" s="64">
        <v>35933.300000000003</v>
      </c>
      <c r="F1580" s="64">
        <v>75.042000000000002</v>
      </c>
    </row>
    <row r="1581" spans="1:6" x14ac:dyDescent="0.25">
      <c r="A1581" s="47" t="s">
        <v>5376</v>
      </c>
      <c r="B1581" s="47" t="s">
        <v>5377</v>
      </c>
      <c r="C1581" s="47" t="s">
        <v>5378</v>
      </c>
      <c r="D1581" s="47" t="s">
        <v>2303</v>
      </c>
      <c r="E1581" s="64">
        <v>64458.75</v>
      </c>
      <c r="F1581" s="64">
        <v>95.19583333333334</v>
      </c>
    </row>
    <row r="1582" spans="1:6" x14ac:dyDescent="0.25">
      <c r="A1582" s="47" t="s">
        <v>5379</v>
      </c>
      <c r="B1582" s="47" t="s">
        <v>5380</v>
      </c>
      <c r="C1582" s="47" t="s">
        <v>5381</v>
      </c>
      <c r="D1582" s="47" t="s">
        <v>5382</v>
      </c>
      <c r="E1582" s="64">
        <v>33162.049999999996</v>
      </c>
      <c r="F1582" s="64">
        <v>3.86</v>
      </c>
    </row>
    <row r="1583" spans="1:6" x14ac:dyDescent="0.25">
      <c r="A1583" s="47" t="s">
        <v>5383</v>
      </c>
      <c r="B1583" s="47" t="s">
        <v>5384</v>
      </c>
      <c r="C1583" s="47" t="s">
        <v>5385</v>
      </c>
      <c r="D1583" s="47" t="s">
        <v>5382</v>
      </c>
      <c r="E1583" s="64">
        <v>33162.049999999996</v>
      </c>
      <c r="F1583" s="64">
        <v>3.86</v>
      </c>
    </row>
    <row r="1584" spans="1:6" x14ac:dyDescent="0.25">
      <c r="A1584" s="47" t="s">
        <v>5386</v>
      </c>
      <c r="B1584" s="47" t="s">
        <v>5387</v>
      </c>
      <c r="C1584" s="47" t="s">
        <v>5388</v>
      </c>
      <c r="D1584" s="47" t="s">
        <v>5382</v>
      </c>
      <c r="E1584" s="64">
        <v>33162.049999999996</v>
      </c>
      <c r="F1584" s="64">
        <v>3.86</v>
      </c>
    </row>
    <row r="1585" spans="1:6" x14ac:dyDescent="0.25">
      <c r="A1585" s="47" t="s">
        <v>5389</v>
      </c>
      <c r="B1585" s="47" t="s">
        <v>5390</v>
      </c>
      <c r="C1585" s="47" t="s">
        <v>5391</v>
      </c>
      <c r="D1585" s="47"/>
      <c r="E1585" s="64">
        <v>50605.240000000005</v>
      </c>
      <c r="F1585" s="64">
        <v>22</v>
      </c>
    </row>
    <row r="1586" spans="1:6" x14ac:dyDescent="0.25">
      <c r="A1586" s="47" t="s">
        <v>5392</v>
      </c>
      <c r="B1586" s="47" t="s">
        <v>5393</v>
      </c>
      <c r="C1586" s="47" t="s">
        <v>5394</v>
      </c>
      <c r="D1586" s="47"/>
      <c r="E1586" s="64">
        <v>39959.482499999998</v>
      </c>
      <c r="F1586" s="64">
        <v>100000000</v>
      </c>
    </row>
    <row r="1587" spans="1:6" x14ac:dyDescent="0.25">
      <c r="A1587" s="47" t="s">
        <v>5395</v>
      </c>
      <c r="B1587" s="47" t="s">
        <v>5396</v>
      </c>
      <c r="C1587" s="47" t="s">
        <v>5397</v>
      </c>
      <c r="D1587" s="47"/>
      <c r="E1587" s="64">
        <v>39959.482499999998</v>
      </c>
      <c r="F1587" s="64">
        <v>100000000</v>
      </c>
    </row>
    <row r="1588" spans="1:6" x14ac:dyDescent="0.25">
      <c r="A1588" s="47" t="s">
        <v>5398</v>
      </c>
      <c r="B1588" s="47" t="s">
        <v>5399</v>
      </c>
      <c r="C1588" s="47" t="s">
        <v>5400</v>
      </c>
      <c r="D1588" s="47"/>
      <c r="E1588" s="64">
        <v>39959.482499999998</v>
      </c>
      <c r="F1588" s="64">
        <v>100000000</v>
      </c>
    </row>
    <row r="1589" spans="1:6" x14ac:dyDescent="0.25">
      <c r="A1589" s="47" t="s">
        <v>5401</v>
      </c>
      <c r="B1589" s="47" t="s">
        <v>5402</v>
      </c>
      <c r="C1589" s="47" t="s">
        <v>5403</v>
      </c>
      <c r="D1589" s="47" t="s">
        <v>5404</v>
      </c>
      <c r="E1589" s="64">
        <v>56554.499999999985</v>
      </c>
      <c r="F1589" s="64">
        <v>15.8</v>
      </c>
    </row>
    <row r="1590" spans="1:6" x14ac:dyDescent="0.25">
      <c r="A1590" s="47" t="s">
        <v>5405</v>
      </c>
      <c r="B1590" s="47" t="s">
        <v>5406</v>
      </c>
      <c r="C1590" s="47" t="s">
        <v>5407</v>
      </c>
      <c r="D1590" s="47" t="s">
        <v>5408</v>
      </c>
      <c r="E1590" s="64">
        <v>118300.85</v>
      </c>
      <c r="F1590" s="64">
        <v>110</v>
      </c>
    </row>
    <row r="1591" spans="1:6" x14ac:dyDescent="0.25">
      <c r="A1591" s="47" t="s">
        <v>5409</v>
      </c>
      <c r="B1591" s="47" t="s">
        <v>5410</v>
      </c>
      <c r="C1591" s="47" t="s">
        <v>5411</v>
      </c>
      <c r="D1591" s="47" t="s">
        <v>4682</v>
      </c>
      <c r="E1591" s="64">
        <v>23621.5</v>
      </c>
      <c r="F1591" s="64">
        <v>1016</v>
      </c>
    </row>
    <row r="1592" spans="1:6" x14ac:dyDescent="0.25">
      <c r="A1592" s="47" t="s">
        <v>5412</v>
      </c>
      <c r="B1592" s="47" t="s">
        <v>5413</v>
      </c>
      <c r="C1592" s="47" t="s">
        <v>5414</v>
      </c>
      <c r="D1592" s="47" t="s">
        <v>1618</v>
      </c>
      <c r="E1592" s="64">
        <v>38711.209999999992</v>
      </c>
      <c r="F1592" s="64">
        <v>3.3</v>
      </c>
    </row>
    <row r="1593" spans="1:6" x14ac:dyDescent="0.25">
      <c r="A1593" s="47" t="s">
        <v>5415</v>
      </c>
      <c r="B1593" s="47" t="s">
        <v>5416</v>
      </c>
      <c r="C1593" s="47" t="s">
        <v>5417</v>
      </c>
      <c r="D1593" s="47"/>
      <c r="E1593" s="64">
        <v>39959.482499999998</v>
      </c>
      <c r="F1593" s="64">
        <v>100000000</v>
      </c>
    </row>
    <row r="1594" spans="1:6" x14ac:dyDescent="0.25">
      <c r="A1594" s="47" t="s">
        <v>5418</v>
      </c>
      <c r="B1594" s="47" t="s">
        <v>5419</v>
      </c>
      <c r="C1594" s="47" t="s">
        <v>5420</v>
      </c>
      <c r="D1594" s="47" t="s">
        <v>4682</v>
      </c>
      <c r="E1594" s="64">
        <v>23621.5</v>
      </c>
      <c r="F1594" s="64">
        <v>1016</v>
      </c>
    </row>
    <row r="1595" spans="1:6" x14ac:dyDescent="0.25">
      <c r="A1595" s="47" t="s">
        <v>5421</v>
      </c>
      <c r="B1595" s="47" t="s">
        <v>5422</v>
      </c>
      <c r="C1595" s="47" t="s">
        <v>5423</v>
      </c>
      <c r="D1595" s="47" t="s">
        <v>4682</v>
      </c>
      <c r="E1595" s="64">
        <v>23621.5</v>
      </c>
      <c r="F1595" s="64">
        <v>1016</v>
      </c>
    </row>
    <row r="1596" spans="1:6" x14ac:dyDescent="0.25">
      <c r="A1596" s="47" t="s">
        <v>5424</v>
      </c>
      <c r="B1596" s="47" t="s">
        <v>5425</v>
      </c>
      <c r="C1596" s="47" t="s">
        <v>5426</v>
      </c>
      <c r="D1596" s="47" t="s">
        <v>4682</v>
      </c>
      <c r="E1596" s="64">
        <v>23621.5</v>
      </c>
      <c r="F1596" s="64">
        <v>1016</v>
      </c>
    </row>
    <row r="1597" spans="1:6" x14ac:dyDescent="0.25">
      <c r="A1597" s="47" t="s">
        <v>5427</v>
      </c>
      <c r="B1597" s="47" t="s">
        <v>5428</v>
      </c>
      <c r="C1597" s="47" t="s">
        <v>5429</v>
      </c>
      <c r="D1597" s="47" t="s">
        <v>4682</v>
      </c>
      <c r="E1597" s="64">
        <v>23621.5</v>
      </c>
      <c r="F1597" s="64">
        <v>1016</v>
      </c>
    </row>
    <row r="1598" spans="1:6" x14ac:dyDescent="0.25">
      <c r="A1598" s="47" t="s">
        <v>5430</v>
      </c>
      <c r="B1598" s="47" t="s">
        <v>5431</v>
      </c>
      <c r="C1598" s="47" t="s">
        <v>5432</v>
      </c>
      <c r="D1598" s="47" t="s">
        <v>4682</v>
      </c>
      <c r="E1598" s="64">
        <v>23621.5</v>
      </c>
      <c r="F1598" s="64">
        <v>1016</v>
      </c>
    </row>
    <row r="1599" spans="1:6" x14ac:dyDescent="0.25">
      <c r="A1599" s="47" t="s">
        <v>5433</v>
      </c>
      <c r="B1599" s="47" t="s">
        <v>5434</v>
      </c>
      <c r="C1599" s="47" t="s">
        <v>5435</v>
      </c>
      <c r="D1599" s="47" t="s">
        <v>4682</v>
      </c>
      <c r="E1599" s="64">
        <v>23621.5</v>
      </c>
      <c r="F1599" s="64">
        <v>1016</v>
      </c>
    </row>
    <row r="1600" spans="1:6" x14ac:dyDescent="0.25">
      <c r="A1600" s="47" t="s">
        <v>5436</v>
      </c>
      <c r="B1600" s="47" t="s">
        <v>5437</v>
      </c>
      <c r="C1600" s="47" t="s">
        <v>5438</v>
      </c>
      <c r="D1600" s="47" t="s">
        <v>4753</v>
      </c>
      <c r="E1600" s="64">
        <v>33162.049999999996</v>
      </c>
      <c r="F1600" s="64">
        <v>2.48</v>
      </c>
    </row>
    <row r="1601" spans="1:6" x14ac:dyDescent="0.25">
      <c r="A1601" s="47" t="s">
        <v>5439</v>
      </c>
      <c r="B1601" s="47" t="s">
        <v>5440</v>
      </c>
      <c r="C1601" s="47" t="s">
        <v>5441</v>
      </c>
      <c r="D1601" s="47" t="s">
        <v>4753</v>
      </c>
      <c r="E1601" s="64">
        <v>33162.049999999996</v>
      </c>
      <c r="F1601" s="64">
        <v>2.48</v>
      </c>
    </row>
    <row r="1602" spans="1:6" x14ac:dyDescent="0.25">
      <c r="A1602" s="47" t="s">
        <v>5442</v>
      </c>
      <c r="B1602" s="47" t="s">
        <v>5443</v>
      </c>
      <c r="C1602" s="47" t="s">
        <v>5444</v>
      </c>
      <c r="D1602" s="47" t="s">
        <v>4753</v>
      </c>
      <c r="E1602" s="64">
        <v>33162.049999999996</v>
      </c>
      <c r="F1602" s="64">
        <v>2.48</v>
      </c>
    </row>
    <row r="1603" spans="1:6" x14ac:dyDescent="0.25">
      <c r="A1603" s="47" t="s">
        <v>5445</v>
      </c>
      <c r="B1603" s="47" t="s">
        <v>5446</v>
      </c>
      <c r="C1603" s="47" t="s">
        <v>5447</v>
      </c>
      <c r="D1603" s="47" t="s">
        <v>4753</v>
      </c>
      <c r="E1603" s="64">
        <v>33162.049999999996</v>
      </c>
      <c r="F1603" s="64">
        <v>2.48</v>
      </c>
    </row>
    <row r="1604" spans="1:6" x14ac:dyDescent="0.25">
      <c r="A1604" s="47" t="s">
        <v>5448</v>
      </c>
      <c r="B1604" s="47" t="s">
        <v>5449</v>
      </c>
      <c r="C1604" s="47" t="s">
        <v>5450</v>
      </c>
      <c r="D1604" s="47"/>
      <c r="E1604" s="64">
        <v>39959.482499999998</v>
      </c>
      <c r="F1604" s="64">
        <v>100000000</v>
      </c>
    </row>
    <row r="1605" spans="1:6" x14ac:dyDescent="0.25">
      <c r="A1605" s="47" t="s">
        <v>5451</v>
      </c>
      <c r="B1605" s="47" t="s">
        <v>5452</v>
      </c>
      <c r="C1605" s="47" t="s">
        <v>5453</v>
      </c>
      <c r="D1605" s="47"/>
      <c r="E1605" s="64">
        <v>39959.482499999998</v>
      </c>
      <c r="F1605" s="64">
        <v>100000000</v>
      </c>
    </row>
    <row r="1606" spans="1:6" x14ac:dyDescent="0.25">
      <c r="A1606" s="47" t="s">
        <v>5454</v>
      </c>
      <c r="B1606" s="47" t="s">
        <v>5455</v>
      </c>
      <c r="C1606" s="47" t="s">
        <v>5456</v>
      </c>
      <c r="D1606" s="47" t="s">
        <v>1618</v>
      </c>
      <c r="E1606" s="64">
        <v>38711.209999999992</v>
      </c>
      <c r="F1606" s="64">
        <v>3.3</v>
      </c>
    </row>
    <row r="1607" spans="1:6" x14ac:dyDescent="0.25">
      <c r="A1607" s="47" t="s">
        <v>5457</v>
      </c>
      <c r="B1607" s="47" t="s">
        <v>5458</v>
      </c>
      <c r="C1607" s="47" t="s">
        <v>5459</v>
      </c>
      <c r="D1607" s="47" t="s">
        <v>4682</v>
      </c>
      <c r="E1607" s="64">
        <v>23621.5</v>
      </c>
      <c r="F1607" s="64">
        <v>1016</v>
      </c>
    </row>
    <row r="1608" spans="1:6" x14ac:dyDescent="0.25">
      <c r="A1608" s="47" t="s">
        <v>5460</v>
      </c>
      <c r="B1608" s="47" t="s">
        <v>5461</v>
      </c>
      <c r="C1608" s="47" t="s">
        <v>5462</v>
      </c>
      <c r="D1608" s="47" t="s">
        <v>4682</v>
      </c>
      <c r="E1608" s="64">
        <v>23621.5</v>
      </c>
      <c r="F1608" s="64">
        <v>1016</v>
      </c>
    </row>
    <row r="1609" spans="1:6" x14ac:dyDescent="0.25">
      <c r="A1609" s="47" t="s">
        <v>5463</v>
      </c>
      <c r="B1609" s="47" t="s">
        <v>5464</v>
      </c>
      <c r="C1609" s="47" t="s">
        <v>5465</v>
      </c>
      <c r="D1609" s="47" t="s">
        <v>4682</v>
      </c>
      <c r="E1609" s="64">
        <v>23621.5</v>
      </c>
      <c r="F1609" s="64">
        <v>1016</v>
      </c>
    </row>
    <row r="1610" spans="1:6" x14ac:dyDescent="0.25">
      <c r="A1610" s="47" t="s">
        <v>5466</v>
      </c>
      <c r="B1610" s="47" t="s">
        <v>5467</v>
      </c>
      <c r="C1610" s="47" t="s">
        <v>5468</v>
      </c>
      <c r="D1610" s="47" t="s">
        <v>5469</v>
      </c>
      <c r="E1610" s="64">
        <v>95584.694999999992</v>
      </c>
      <c r="F1610" s="64">
        <v>71</v>
      </c>
    </row>
    <row r="1611" spans="1:6" x14ac:dyDescent="0.25">
      <c r="A1611" s="47" t="s">
        <v>5470</v>
      </c>
      <c r="B1611" s="47" t="s">
        <v>610</v>
      </c>
      <c r="C1611" s="47" t="s">
        <v>5471</v>
      </c>
      <c r="D1611" s="47" t="s">
        <v>612</v>
      </c>
      <c r="E1611" s="64">
        <v>91844.800000000003</v>
      </c>
      <c r="F1611" s="64">
        <v>47</v>
      </c>
    </row>
    <row r="1612" spans="1:6" x14ac:dyDescent="0.25">
      <c r="A1612" s="47" t="s">
        <v>5472</v>
      </c>
      <c r="B1612" s="47" t="s">
        <v>5473</v>
      </c>
      <c r="C1612" s="47" t="s">
        <v>5474</v>
      </c>
      <c r="D1612" s="47"/>
      <c r="E1612" s="64">
        <v>50605.240000000005</v>
      </c>
      <c r="F1612" s="64">
        <v>22</v>
      </c>
    </row>
    <row r="1613" spans="1:6" x14ac:dyDescent="0.25">
      <c r="A1613" s="47" t="s">
        <v>5475</v>
      </c>
      <c r="B1613" s="47" t="s">
        <v>5476</v>
      </c>
      <c r="C1613" s="47" t="s">
        <v>5477</v>
      </c>
      <c r="D1613" s="47" t="s">
        <v>4753</v>
      </c>
      <c r="E1613" s="64">
        <v>33162.049999999996</v>
      </c>
      <c r="F1613" s="64">
        <v>2.48</v>
      </c>
    </row>
    <row r="1614" spans="1:6" x14ac:dyDescent="0.25">
      <c r="A1614" s="47" t="s">
        <v>5478</v>
      </c>
      <c r="B1614" s="47" t="s">
        <v>5479</v>
      </c>
      <c r="C1614" s="47" t="s">
        <v>5480</v>
      </c>
      <c r="D1614" s="47" t="s">
        <v>4753</v>
      </c>
      <c r="E1614" s="64">
        <v>33162.049999999996</v>
      </c>
      <c r="F1614" s="64">
        <v>2.48</v>
      </c>
    </row>
    <row r="1615" spans="1:6" x14ac:dyDescent="0.25">
      <c r="A1615" s="47" t="s">
        <v>5481</v>
      </c>
      <c r="B1615" s="47" t="s">
        <v>5482</v>
      </c>
      <c r="C1615" s="47" t="s">
        <v>5483</v>
      </c>
      <c r="D1615" s="47" t="s">
        <v>4753</v>
      </c>
      <c r="E1615" s="64">
        <v>33162.049999999996</v>
      </c>
      <c r="F1615" s="64">
        <v>2.48</v>
      </c>
    </row>
    <row r="1616" spans="1:6" x14ac:dyDescent="0.25">
      <c r="A1616" s="47" t="s">
        <v>5484</v>
      </c>
      <c r="B1616" s="47" t="s">
        <v>5485</v>
      </c>
      <c r="C1616" s="47" t="s">
        <v>5486</v>
      </c>
      <c r="D1616" s="47" t="s">
        <v>5333</v>
      </c>
      <c r="E1616" s="64">
        <v>18000.449999999997</v>
      </c>
      <c r="F1616" s="64">
        <v>368.48649999999998</v>
      </c>
    </row>
    <row r="1617" spans="1:6" x14ac:dyDescent="0.25">
      <c r="A1617" s="47" t="s">
        <v>5487</v>
      </c>
      <c r="B1617" s="47" t="s">
        <v>5488</v>
      </c>
      <c r="C1617" s="47" t="s">
        <v>5489</v>
      </c>
      <c r="D1617" s="47" t="s">
        <v>4753</v>
      </c>
      <c r="E1617" s="64">
        <v>33162.049999999996</v>
      </c>
      <c r="F1617" s="64">
        <v>2.48</v>
      </c>
    </row>
    <row r="1618" spans="1:6" x14ac:dyDescent="0.25">
      <c r="A1618" s="47" t="s">
        <v>5490</v>
      </c>
      <c r="B1618" s="47" t="s">
        <v>5491</v>
      </c>
      <c r="C1618" s="47" t="s">
        <v>5492</v>
      </c>
      <c r="D1618" s="47" t="s">
        <v>4753</v>
      </c>
      <c r="E1618" s="64">
        <v>33162.049999999996</v>
      </c>
      <c r="F1618" s="64">
        <v>2.48</v>
      </c>
    </row>
    <row r="1619" spans="1:6" x14ac:dyDescent="0.25">
      <c r="A1619" s="47" t="s">
        <v>5493</v>
      </c>
      <c r="B1619" s="47" t="s">
        <v>5494</v>
      </c>
      <c r="C1619" s="47" t="s">
        <v>5495</v>
      </c>
      <c r="D1619" s="47" t="s">
        <v>1458</v>
      </c>
      <c r="E1619" s="64">
        <v>62657.070000000007</v>
      </c>
      <c r="F1619" s="64">
        <v>2.6799999999999997</v>
      </c>
    </row>
    <row r="1620" spans="1:6" x14ac:dyDescent="0.25">
      <c r="A1620" s="47" t="s">
        <v>5496</v>
      </c>
      <c r="B1620" s="47" t="s">
        <v>5497</v>
      </c>
      <c r="C1620" s="47" t="s">
        <v>5498</v>
      </c>
      <c r="D1620" s="47" t="s">
        <v>4830</v>
      </c>
      <c r="E1620" s="64">
        <v>27863.119999999995</v>
      </c>
      <c r="F1620" s="64">
        <v>5.3</v>
      </c>
    </row>
    <row r="1621" spans="1:6" x14ac:dyDescent="0.25">
      <c r="A1621" s="47" t="s">
        <v>5499</v>
      </c>
      <c r="B1621" s="47" t="s">
        <v>5500</v>
      </c>
      <c r="C1621" s="47" t="s">
        <v>5501</v>
      </c>
      <c r="D1621" s="47" t="s">
        <v>4830</v>
      </c>
      <c r="E1621" s="64">
        <v>27863.119999999995</v>
      </c>
      <c r="F1621" s="64">
        <v>5.3</v>
      </c>
    </row>
    <row r="1622" spans="1:6" x14ac:dyDescent="0.25">
      <c r="A1622" s="47" t="s">
        <v>5502</v>
      </c>
      <c r="B1622" s="47" t="s">
        <v>5503</v>
      </c>
      <c r="C1622" s="47" t="s">
        <v>5504</v>
      </c>
      <c r="D1622" s="47" t="s">
        <v>4886</v>
      </c>
      <c r="E1622" s="64">
        <v>25559.58</v>
      </c>
      <c r="F1622" s="64">
        <v>0.59</v>
      </c>
    </row>
    <row r="1623" spans="1:6" x14ac:dyDescent="0.25">
      <c r="A1623" s="47" t="s">
        <v>5505</v>
      </c>
      <c r="B1623" s="47" t="s">
        <v>5506</v>
      </c>
      <c r="C1623" s="47" t="s">
        <v>5507</v>
      </c>
      <c r="D1623" s="47" t="s">
        <v>5333</v>
      </c>
      <c r="E1623" s="64">
        <v>18000.449999999997</v>
      </c>
      <c r="F1623" s="64">
        <v>368.48649999999998</v>
      </c>
    </row>
    <row r="1624" spans="1:6" x14ac:dyDescent="0.25">
      <c r="A1624" s="47" t="s">
        <v>5508</v>
      </c>
      <c r="B1624" s="47" t="s">
        <v>5509</v>
      </c>
      <c r="C1624" s="47" t="s">
        <v>5510</v>
      </c>
      <c r="D1624" s="47" t="s">
        <v>4830</v>
      </c>
      <c r="E1624" s="64">
        <v>27863.119999999995</v>
      </c>
      <c r="F1624" s="64">
        <v>5.3</v>
      </c>
    </row>
    <row r="1625" spans="1:6" x14ac:dyDescent="0.25">
      <c r="A1625" s="47" t="s">
        <v>5511</v>
      </c>
      <c r="B1625" s="47" t="s">
        <v>5512</v>
      </c>
      <c r="C1625" s="47" t="s">
        <v>5513</v>
      </c>
      <c r="D1625" s="47" t="s">
        <v>5514</v>
      </c>
      <c r="E1625" s="64">
        <v>61765.959999999992</v>
      </c>
      <c r="F1625" s="64">
        <v>21.5</v>
      </c>
    </row>
    <row r="1626" spans="1:6" x14ac:dyDescent="0.25">
      <c r="A1626" s="47" t="s">
        <v>5515</v>
      </c>
      <c r="B1626" s="47" t="s">
        <v>5516</v>
      </c>
      <c r="C1626" s="47" t="s">
        <v>5517</v>
      </c>
      <c r="D1626" s="47"/>
      <c r="E1626" s="64">
        <v>39959.482499999998</v>
      </c>
      <c r="F1626" s="64">
        <v>100000000</v>
      </c>
    </row>
    <row r="1627" spans="1:6" x14ac:dyDescent="0.25">
      <c r="A1627" s="47" t="s">
        <v>5518</v>
      </c>
      <c r="B1627" s="47" t="s">
        <v>5519</v>
      </c>
      <c r="C1627" s="47" t="s">
        <v>5520</v>
      </c>
      <c r="D1627" s="47" t="s">
        <v>5198</v>
      </c>
      <c r="E1627" s="64">
        <v>45465.033333333333</v>
      </c>
      <c r="F1627" s="64">
        <v>1.41</v>
      </c>
    </row>
    <row r="1628" spans="1:6" x14ac:dyDescent="0.25">
      <c r="A1628" s="47" t="s">
        <v>5521</v>
      </c>
      <c r="B1628" s="47" t="s">
        <v>5522</v>
      </c>
      <c r="C1628" s="47" t="s">
        <v>5523</v>
      </c>
      <c r="D1628" s="47" t="s">
        <v>5198</v>
      </c>
      <c r="E1628" s="64">
        <v>45465.033333333333</v>
      </c>
      <c r="F1628" s="64">
        <v>1.41</v>
      </c>
    </row>
    <row r="1629" spans="1:6" x14ac:dyDescent="0.25">
      <c r="A1629" s="47" t="s">
        <v>5524</v>
      </c>
      <c r="B1629" s="47" t="s">
        <v>5525</v>
      </c>
      <c r="C1629" s="47" t="s">
        <v>5526</v>
      </c>
      <c r="D1629" s="47" t="s">
        <v>4830</v>
      </c>
      <c r="E1629" s="64">
        <v>27863.119999999995</v>
      </c>
      <c r="F1629" s="64">
        <v>5.3</v>
      </c>
    </row>
    <row r="1630" spans="1:6" x14ac:dyDescent="0.25">
      <c r="A1630" s="47" t="s">
        <v>5527</v>
      </c>
      <c r="B1630" s="47" t="s">
        <v>5528</v>
      </c>
      <c r="C1630" s="47" t="s">
        <v>5529</v>
      </c>
      <c r="D1630" s="47" t="s">
        <v>4830</v>
      </c>
      <c r="E1630" s="64">
        <v>27863.119999999995</v>
      </c>
      <c r="F1630" s="64">
        <v>5.3</v>
      </c>
    </row>
    <row r="1631" spans="1:6" x14ac:dyDescent="0.25">
      <c r="A1631" s="47" t="s">
        <v>5530</v>
      </c>
      <c r="B1631" s="47" t="s">
        <v>5531</v>
      </c>
      <c r="C1631" s="47" t="s">
        <v>5532</v>
      </c>
      <c r="D1631" s="47" t="s">
        <v>5533</v>
      </c>
      <c r="E1631" s="64">
        <v>43044.46</v>
      </c>
      <c r="F1631" s="64">
        <v>0.72499999999999998</v>
      </c>
    </row>
    <row r="1632" spans="1:6" x14ac:dyDescent="0.25">
      <c r="A1632" s="47" t="s">
        <v>5534</v>
      </c>
      <c r="B1632" s="47" t="s">
        <v>5535</v>
      </c>
      <c r="C1632" s="47" t="s">
        <v>5536</v>
      </c>
      <c r="D1632" s="47" t="s">
        <v>4830</v>
      </c>
      <c r="E1632" s="64">
        <v>27863.119999999995</v>
      </c>
      <c r="F1632" s="64">
        <v>5.3</v>
      </c>
    </row>
    <row r="1633" spans="1:6" x14ac:dyDescent="0.25">
      <c r="A1633" s="47" t="s">
        <v>5537</v>
      </c>
      <c r="B1633" s="47" t="s">
        <v>5538</v>
      </c>
      <c r="C1633" s="47" t="s">
        <v>5539</v>
      </c>
      <c r="D1633" s="47" t="s">
        <v>5299</v>
      </c>
      <c r="E1633" s="64">
        <v>99999.93</v>
      </c>
      <c r="F1633" s="64">
        <v>166.8</v>
      </c>
    </row>
    <row r="1634" spans="1:6" x14ac:dyDescent="0.25">
      <c r="A1634" s="47" t="s">
        <v>5540</v>
      </c>
      <c r="B1634" s="47" t="s">
        <v>5541</v>
      </c>
      <c r="C1634" s="47" t="s">
        <v>5542</v>
      </c>
      <c r="D1634" s="47" t="s">
        <v>5299</v>
      </c>
      <c r="E1634" s="64">
        <v>99999.93</v>
      </c>
      <c r="F1634" s="64">
        <v>166.8</v>
      </c>
    </row>
    <row r="1635" spans="1:6" x14ac:dyDescent="0.25">
      <c r="A1635" s="47" t="s">
        <v>5543</v>
      </c>
      <c r="B1635" s="47" t="s">
        <v>5544</v>
      </c>
      <c r="C1635" s="47" t="s">
        <v>5545</v>
      </c>
      <c r="D1635" s="47" t="s">
        <v>5299</v>
      </c>
      <c r="E1635" s="64">
        <v>99999.93</v>
      </c>
      <c r="F1635" s="64">
        <v>166.8</v>
      </c>
    </row>
    <row r="1636" spans="1:6" x14ac:dyDescent="0.25">
      <c r="A1636" s="47" t="s">
        <v>5546</v>
      </c>
      <c r="B1636" s="47" t="s">
        <v>5547</v>
      </c>
      <c r="C1636" s="47" t="s">
        <v>5548</v>
      </c>
      <c r="D1636" s="47" t="s">
        <v>5349</v>
      </c>
      <c r="E1636" s="64">
        <v>27452.38</v>
      </c>
      <c r="F1636" s="64">
        <v>46.809013666666665</v>
      </c>
    </row>
    <row r="1637" spans="1:6" x14ac:dyDescent="0.25">
      <c r="A1637" s="47" t="s">
        <v>5549</v>
      </c>
      <c r="B1637" s="47" t="s">
        <v>5550</v>
      </c>
      <c r="C1637" s="47" t="s">
        <v>5551</v>
      </c>
      <c r="D1637" s="47" t="s">
        <v>4847</v>
      </c>
      <c r="E1637" s="64">
        <v>28449.919999999998</v>
      </c>
      <c r="F1637" s="64">
        <v>90.131772727272732</v>
      </c>
    </row>
    <row r="1638" spans="1:6" x14ac:dyDescent="0.25">
      <c r="A1638" s="47" t="s">
        <v>5552</v>
      </c>
      <c r="B1638" s="47" t="s">
        <v>5553</v>
      </c>
      <c r="C1638" s="47" t="s">
        <v>5554</v>
      </c>
      <c r="D1638" s="47" t="s">
        <v>4500</v>
      </c>
      <c r="E1638" s="64">
        <v>41252.135999999999</v>
      </c>
      <c r="F1638" s="64">
        <v>106.3</v>
      </c>
    </row>
    <row r="1639" spans="1:6" x14ac:dyDescent="0.25">
      <c r="A1639" s="47" t="s">
        <v>5555</v>
      </c>
      <c r="B1639" s="47" t="s">
        <v>5556</v>
      </c>
      <c r="C1639" s="47" t="s">
        <v>5557</v>
      </c>
      <c r="D1639" s="47" t="s">
        <v>4830</v>
      </c>
      <c r="E1639" s="64">
        <v>27863.119999999995</v>
      </c>
      <c r="F1639" s="64">
        <v>5.3</v>
      </c>
    </row>
    <row r="1640" spans="1:6" x14ac:dyDescent="0.25">
      <c r="A1640" s="47" t="s">
        <v>5558</v>
      </c>
      <c r="B1640" s="47" t="s">
        <v>5559</v>
      </c>
      <c r="C1640" s="47" t="s">
        <v>5560</v>
      </c>
      <c r="D1640" s="47" t="s">
        <v>4830</v>
      </c>
      <c r="E1640" s="64">
        <v>27863.119999999995</v>
      </c>
      <c r="F1640" s="64">
        <v>5.3</v>
      </c>
    </row>
    <row r="1641" spans="1:6" x14ac:dyDescent="0.25">
      <c r="A1641" s="47" t="s">
        <v>5561</v>
      </c>
      <c r="B1641" s="47" t="s">
        <v>5562</v>
      </c>
      <c r="C1641" s="47" t="s">
        <v>5563</v>
      </c>
      <c r="D1641" s="47" t="s">
        <v>4886</v>
      </c>
      <c r="E1641" s="64">
        <v>25559.58</v>
      </c>
      <c r="F1641" s="64">
        <v>0.59</v>
      </c>
    </row>
    <row r="1642" spans="1:6" x14ac:dyDescent="0.25">
      <c r="A1642" s="47" t="s">
        <v>5564</v>
      </c>
      <c r="B1642" s="47" t="s">
        <v>5565</v>
      </c>
      <c r="C1642" s="47" t="s">
        <v>5566</v>
      </c>
      <c r="D1642" s="47" t="s">
        <v>4886</v>
      </c>
      <c r="E1642" s="64">
        <v>25559.58</v>
      </c>
      <c r="F1642" s="64">
        <v>0.59</v>
      </c>
    </row>
    <row r="1643" spans="1:6" x14ac:dyDescent="0.25">
      <c r="A1643" s="47" t="s">
        <v>5567</v>
      </c>
      <c r="B1643" s="47" t="s">
        <v>5568</v>
      </c>
      <c r="C1643" s="47" t="s">
        <v>5569</v>
      </c>
      <c r="D1643" s="47" t="s">
        <v>5333</v>
      </c>
      <c r="E1643" s="64">
        <v>18000.449999999997</v>
      </c>
      <c r="F1643" s="64">
        <v>368.48649999999998</v>
      </c>
    </row>
    <row r="1644" spans="1:6" x14ac:dyDescent="0.25">
      <c r="A1644" s="47" t="s">
        <v>5570</v>
      </c>
      <c r="B1644" s="47" t="s">
        <v>5571</v>
      </c>
      <c r="C1644" s="47" t="s">
        <v>5572</v>
      </c>
      <c r="D1644" s="47" t="s">
        <v>4830</v>
      </c>
      <c r="E1644" s="64">
        <v>27863.119999999995</v>
      </c>
      <c r="F1644" s="64">
        <v>5.3</v>
      </c>
    </row>
    <row r="1645" spans="1:6" x14ac:dyDescent="0.25">
      <c r="A1645" s="47" t="s">
        <v>5573</v>
      </c>
      <c r="B1645" s="47" t="s">
        <v>5574</v>
      </c>
      <c r="C1645" s="47" t="s">
        <v>5575</v>
      </c>
      <c r="D1645" s="47" t="s">
        <v>5369</v>
      </c>
      <c r="E1645" s="64">
        <v>35933.300000000003</v>
      </c>
      <c r="F1645" s="64">
        <v>75.042000000000002</v>
      </c>
    </row>
    <row r="1646" spans="1:6" x14ac:dyDescent="0.25">
      <c r="A1646" s="47" t="s">
        <v>5576</v>
      </c>
      <c r="B1646" s="47" t="s">
        <v>5577</v>
      </c>
      <c r="C1646" s="47" t="s">
        <v>5578</v>
      </c>
      <c r="D1646" s="47" t="s">
        <v>5579</v>
      </c>
      <c r="E1646" s="64">
        <v>93495.299999999988</v>
      </c>
      <c r="F1646" s="64">
        <v>10</v>
      </c>
    </row>
    <row r="1647" spans="1:6" x14ac:dyDescent="0.25">
      <c r="A1647" s="47" t="s">
        <v>5580</v>
      </c>
      <c r="B1647" s="47" t="s">
        <v>5581</v>
      </c>
      <c r="C1647" s="47" t="s">
        <v>5582</v>
      </c>
      <c r="D1647" s="47" t="s">
        <v>4847</v>
      </c>
      <c r="E1647" s="64">
        <v>28449.919999999998</v>
      </c>
      <c r="F1647" s="64">
        <v>90.131772727272732</v>
      </c>
    </row>
    <row r="1648" spans="1:6" x14ac:dyDescent="0.25">
      <c r="A1648" s="47" t="s">
        <v>5583</v>
      </c>
      <c r="B1648" s="47" t="s">
        <v>5584</v>
      </c>
      <c r="C1648" s="47" t="s">
        <v>5585</v>
      </c>
      <c r="D1648" s="47" t="s">
        <v>4851</v>
      </c>
      <c r="E1648" s="64">
        <v>20700.12</v>
      </c>
      <c r="F1648" s="64">
        <v>1</v>
      </c>
    </row>
    <row r="1649" spans="1:6" x14ac:dyDescent="0.25">
      <c r="A1649" s="47" t="s">
        <v>5586</v>
      </c>
      <c r="B1649" s="47" t="s">
        <v>5587</v>
      </c>
      <c r="C1649" s="47" t="s">
        <v>5588</v>
      </c>
      <c r="D1649" s="47" t="s">
        <v>4682</v>
      </c>
      <c r="E1649" s="64">
        <v>23621.5</v>
      </c>
      <c r="F1649" s="64">
        <v>1016</v>
      </c>
    </row>
    <row r="1650" spans="1:6" x14ac:dyDescent="0.25">
      <c r="A1650" s="47" t="s">
        <v>5589</v>
      </c>
      <c r="B1650" s="47" t="s">
        <v>5590</v>
      </c>
      <c r="C1650" s="47" t="s">
        <v>5591</v>
      </c>
      <c r="D1650" s="47" t="s">
        <v>4682</v>
      </c>
      <c r="E1650" s="64">
        <v>23621.5</v>
      </c>
      <c r="F1650" s="64">
        <v>1016</v>
      </c>
    </row>
    <row r="1651" spans="1:6" x14ac:dyDescent="0.25">
      <c r="A1651" s="47" t="s">
        <v>5592</v>
      </c>
      <c r="B1651" s="47" t="s">
        <v>5593</v>
      </c>
      <c r="C1651" s="47" t="s">
        <v>5594</v>
      </c>
      <c r="D1651" s="47" t="s">
        <v>4682</v>
      </c>
      <c r="E1651" s="64">
        <v>23621.5</v>
      </c>
      <c r="F1651" s="64">
        <v>1016</v>
      </c>
    </row>
    <row r="1652" spans="1:6" x14ac:dyDescent="0.25">
      <c r="A1652" s="47" t="s">
        <v>5595</v>
      </c>
      <c r="B1652" s="47" t="s">
        <v>5596</v>
      </c>
      <c r="C1652" s="47" t="s">
        <v>5597</v>
      </c>
      <c r="D1652" s="47" t="s">
        <v>4682</v>
      </c>
      <c r="E1652" s="64">
        <v>23621.5</v>
      </c>
      <c r="F1652" s="64">
        <v>1016</v>
      </c>
    </row>
    <row r="1653" spans="1:6" x14ac:dyDescent="0.25">
      <c r="A1653" s="47" t="s">
        <v>5598</v>
      </c>
      <c r="B1653" s="47" t="s">
        <v>5599</v>
      </c>
      <c r="C1653" s="47" t="s">
        <v>5600</v>
      </c>
      <c r="D1653" s="47" t="s">
        <v>4682</v>
      </c>
      <c r="E1653" s="64">
        <v>23621.5</v>
      </c>
      <c r="F1653" s="64">
        <v>1016</v>
      </c>
    </row>
    <row r="1654" spans="1:6" x14ac:dyDescent="0.25">
      <c r="A1654" s="47" t="s">
        <v>5601</v>
      </c>
      <c r="B1654" s="47" t="s">
        <v>5602</v>
      </c>
      <c r="C1654" s="47" t="s">
        <v>5603</v>
      </c>
      <c r="D1654" s="47" t="s">
        <v>5469</v>
      </c>
      <c r="E1654" s="64">
        <v>95584.694999999992</v>
      </c>
      <c r="F1654" s="64">
        <v>19.600000000000001</v>
      </c>
    </row>
    <row r="1655" spans="1:6" x14ac:dyDescent="0.25">
      <c r="A1655" s="47" t="s">
        <v>5604</v>
      </c>
      <c r="B1655" s="47" t="s">
        <v>5605</v>
      </c>
      <c r="C1655" s="47" t="s">
        <v>5606</v>
      </c>
      <c r="D1655" s="47" t="s">
        <v>4500</v>
      </c>
      <c r="E1655" s="64">
        <v>41252.135999999999</v>
      </c>
      <c r="F1655" s="64">
        <v>106.3</v>
      </c>
    </row>
    <row r="1656" spans="1:6" x14ac:dyDescent="0.25">
      <c r="A1656" s="47" t="s">
        <v>5607</v>
      </c>
      <c r="B1656" s="47" t="s">
        <v>5070</v>
      </c>
      <c r="C1656" s="47" t="s">
        <v>5608</v>
      </c>
      <c r="D1656" s="47" t="s">
        <v>5072</v>
      </c>
      <c r="E1656" s="64">
        <v>24219.075000000004</v>
      </c>
      <c r="F1656" s="64">
        <v>24</v>
      </c>
    </row>
    <row r="1657" spans="1:6" x14ac:dyDescent="0.25">
      <c r="A1657" s="47" t="s">
        <v>5609</v>
      </c>
      <c r="B1657" s="47" t="s">
        <v>5610</v>
      </c>
      <c r="C1657" s="47" t="s">
        <v>5611</v>
      </c>
      <c r="D1657" s="47" t="s">
        <v>5072</v>
      </c>
      <c r="E1657" s="64">
        <v>24219.075000000004</v>
      </c>
      <c r="F1657" s="64">
        <v>24</v>
      </c>
    </row>
    <row r="1658" spans="1:6" x14ac:dyDescent="0.25">
      <c r="A1658" s="47" t="s">
        <v>5612</v>
      </c>
      <c r="B1658" s="47" t="s">
        <v>5613</v>
      </c>
      <c r="C1658" s="47" t="s">
        <v>5614</v>
      </c>
      <c r="D1658" s="47" t="s">
        <v>4851</v>
      </c>
      <c r="E1658" s="64">
        <v>20700.12</v>
      </c>
      <c r="F1658" s="64">
        <v>1</v>
      </c>
    </row>
    <row r="1659" spans="1:6" x14ac:dyDescent="0.25">
      <c r="A1659" s="47" t="s">
        <v>5615</v>
      </c>
      <c r="B1659" s="47" t="s">
        <v>5351</v>
      </c>
      <c r="C1659" s="47" t="s">
        <v>5616</v>
      </c>
      <c r="D1659" s="47" t="s">
        <v>5072</v>
      </c>
      <c r="E1659" s="64">
        <v>24219.075000000004</v>
      </c>
      <c r="F1659" s="64">
        <v>24</v>
      </c>
    </row>
    <row r="1660" spans="1:6" x14ac:dyDescent="0.25">
      <c r="A1660" s="47" t="s">
        <v>5617</v>
      </c>
      <c r="B1660" s="47" t="s">
        <v>5618</v>
      </c>
      <c r="C1660" s="47" t="s">
        <v>5619</v>
      </c>
      <c r="D1660" s="47" t="s">
        <v>5072</v>
      </c>
      <c r="E1660" s="64">
        <v>24219.075000000004</v>
      </c>
      <c r="F1660" s="64">
        <v>24</v>
      </c>
    </row>
    <row r="1661" spans="1:6" x14ac:dyDescent="0.25">
      <c r="A1661" s="47" t="s">
        <v>5620</v>
      </c>
      <c r="B1661" s="47" t="s">
        <v>5621</v>
      </c>
      <c r="C1661" s="47" t="s">
        <v>5622</v>
      </c>
      <c r="D1661" s="47" t="s">
        <v>5198</v>
      </c>
      <c r="E1661" s="64">
        <v>45465.033333333333</v>
      </c>
      <c r="F1661" s="64">
        <v>1.41</v>
      </c>
    </row>
    <row r="1662" spans="1:6" x14ac:dyDescent="0.25">
      <c r="A1662" s="47" t="s">
        <v>5623</v>
      </c>
      <c r="B1662" s="47" t="s">
        <v>5624</v>
      </c>
      <c r="C1662" s="47" t="s">
        <v>5625</v>
      </c>
      <c r="D1662" s="47" t="s">
        <v>5626</v>
      </c>
      <c r="E1662" s="64">
        <v>45289.296249999992</v>
      </c>
      <c r="F1662" s="64">
        <v>291.62042857142859</v>
      </c>
    </row>
    <row r="1663" spans="1:6" x14ac:dyDescent="0.25">
      <c r="A1663" s="47" t="s">
        <v>5627</v>
      </c>
      <c r="B1663" s="47" t="s">
        <v>5628</v>
      </c>
      <c r="C1663" s="47" t="s">
        <v>5629</v>
      </c>
      <c r="D1663" s="47" t="s">
        <v>5299</v>
      </c>
      <c r="E1663" s="64">
        <v>99999.93</v>
      </c>
      <c r="F1663" s="64">
        <v>166.8</v>
      </c>
    </row>
    <row r="1664" spans="1:6" x14ac:dyDescent="0.25">
      <c r="A1664" s="47" t="s">
        <v>5630</v>
      </c>
      <c r="B1664" s="47" t="s">
        <v>5631</v>
      </c>
      <c r="C1664" s="47" t="s">
        <v>5632</v>
      </c>
      <c r="D1664" s="47" t="s">
        <v>5349</v>
      </c>
      <c r="E1664" s="64">
        <v>27452.38</v>
      </c>
      <c r="F1664" s="64">
        <v>46.809013666666665</v>
      </c>
    </row>
    <row r="1665" spans="1:6" x14ac:dyDescent="0.25">
      <c r="A1665" s="47" t="s">
        <v>5633</v>
      </c>
      <c r="B1665" s="47" t="s">
        <v>5634</v>
      </c>
      <c r="C1665" s="47" t="s">
        <v>5635</v>
      </c>
      <c r="D1665" s="47" t="s">
        <v>4851</v>
      </c>
      <c r="E1665" s="64">
        <v>20700.12</v>
      </c>
      <c r="F1665" s="64">
        <v>1</v>
      </c>
    </row>
    <row r="1666" spans="1:6" x14ac:dyDescent="0.25">
      <c r="A1666" s="47" t="s">
        <v>5636</v>
      </c>
      <c r="B1666" s="47" t="s">
        <v>5637</v>
      </c>
      <c r="C1666" s="47" t="s">
        <v>5638</v>
      </c>
      <c r="D1666" s="47" t="s">
        <v>4500</v>
      </c>
      <c r="E1666" s="64">
        <v>41252.135999999999</v>
      </c>
      <c r="F1666" s="64">
        <v>106.3</v>
      </c>
    </row>
    <row r="1667" spans="1:6" x14ac:dyDescent="0.25">
      <c r="A1667" s="47" t="s">
        <v>5639</v>
      </c>
      <c r="B1667" s="47" t="s">
        <v>5640</v>
      </c>
      <c r="C1667" s="47" t="s">
        <v>5641</v>
      </c>
      <c r="D1667" s="47" t="s">
        <v>687</v>
      </c>
      <c r="E1667" s="64">
        <v>42828.240000000005</v>
      </c>
      <c r="F1667" s="64">
        <v>1.28</v>
      </c>
    </row>
    <row r="1668" spans="1:6" x14ac:dyDescent="0.25">
      <c r="A1668" s="47" t="s">
        <v>5642</v>
      </c>
      <c r="B1668" s="47" t="s">
        <v>5643</v>
      </c>
      <c r="C1668" s="47" t="s">
        <v>5644</v>
      </c>
      <c r="D1668" s="47" t="s">
        <v>4886</v>
      </c>
      <c r="E1668" s="64">
        <v>25559.58</v>
      </c>
      <c r="F1668" s="64">
        <v>99.3</v>
      </c>
    </row>
    <row r="1669" spans="1:6" x14ac:dyDescent="0.25">
      <c r="A1669" s="47" t="s">
        <v>5645</v>
      </c>
      <c r="B1669" s="47" t="s">
        <v>5646</v>
      </c>
      <c r="C1669" s="47" t="s">
        <v>5647</v>
      </c>
      <c r="D1669" s="47" t="s">
        <v>4886</v>
      </c>
      <c r="E1669" s="64">
        <v>25559.58</v>
      </c>
      <c r="F1669" s="64">
        <v>99.3</v>
      </c>
    </row>
    <row r="1670" spans="1:6" x14ac:dyDescent="0.25">
      <c r="A1670" s="47" t="s">
        <v>5648</v>
      </c>
      <c r="B1670" s="47" t="s">
        <v>5649</v>
      </c>
      <c r="C1670" s="47" t="s">
        <v>5650</v>
      </c>
      <c r="D1670" s="47" t="s">
        <v>4851</v>
      </c>
      <c r="E1670" s="64">
        <v>20700.12</v>
      </c>
      <c r="F1670" s="64">
        <v>1</v>
      </c>
    </row>
    <row r="1671" spans="1:6" x14ac:dyDescent="0.25">
      <c r="A1671" s="47" t="s">
        <v>5651</v>
      </c>
      <c r="B1671" s="47" t="s">
        <v>5652</v>
      </c>
      <c r="C1671" s="47" t="s">
        <v>5653</v>
      </c>
      <c r="D1671" s="47" t="s">
        <v>5333</v>
      </c>
      <c r="E1671" s="64">
        <v>18000.449999999997</v>
      </c>
      <c r="F1671" s="64">
        <v>368.48649999999998</v>
      </c>
    </row>
    <row r="1672" spans="1:6" x14ac:dyDescent="0.25">
      <c r="A1672" s="47" t="s">
        <v>5654</v>
      </c>
      <c r="B1672" s="47" t="s">
        <v>5655</v>
      </c>
      <c r="C1672" s="47" t="s">
        <v>5656</v>
      </c>
      <c r="D1672" s="47" t="s">
        <v>5072</v>
      </c>
      <c r="E1672" s="64">
        <v>24219.075000000004</v>
      </c>
      <c r="F1672" s="64">
        <v>24</v>
      </c>
    </row>
    <row r="1673" spans="1:6" x14ac:dyDescent="0.25">
      <c r="A1673" s="47" t="s">
        <v>5657</v>
      </c>
      <c r="B1673" s="47" t="s">
        <v>5658</v>
      </c>
      <c r="C1673" s="47" t="s">
        <v>5659</v>
      </c>
      <c r="D1673" s="47" t="s">
        <v>5072</v>
      </c>
      <c r="E1673" s="64">
        <v>24219.075000000004</v>
      </c>
      <c r="F1673" s="64">
        <v>24</v>
      </c>
    </row>
    <row r="1674" spans="1:6" x14ac:dyDescent="0.25">
      <c r="A1674" s="47" t="s">
        <v>5660</v>
      </c>
      <c r="B1674" s="47" t="s">
        <v>5661</v>
      </c>
      <c r="C1674" s="47" t="s">
        <v>5662</v>
      </c>
      <c r="D1674" s="47" t="s">
        <v>5072</v>
      </c>
      <c r="E1674" s="64">
        <v>24219.075000000004</v>
      </c>
      <c r="F1674" s="64">
        <v>24</v>
      </c>
    </row>
    <row r="1675" spans="1:6" x14ac:dyDescent="0.25">
      <c r="A1675" s="47" t="s">
        <v>5663</v>
      </c>
      <c r="B1675" s="47" t="s">
        <v>5664</v>
      </c>
      <c r="C1675" s="47" t="s">
        <v>5665</v>
      </c>
      <c r="D1675" s="47" t="s">
        <v>5072</v>
      </c>
      <c r="E1675" s="64">
        <v>24219.075000000004</v>
      </c>
      <c r="F1675" s="64">
        <v>24</v>
      </c>
    </row>
    <row r="1676" spans="1:6" x14ac:dyDescent="0.25">
      <c r="A1676" s="47" t="s">
        <v>5666</v>
      </c>
      <c r="B1676" s="47" t="s">
        <v>5667</v>
      </c>
      <c r="C1676" s="47" t="s">
        <v>5668</v>
      </c>
      <c r="D1676" s="47" t="s">
        <v>4847</v>
      </c>
      <c r="E1676" s="64">
        <v>28449.919999999998</v>
      </c>
      <c r="F1676" s="64">
        <v>90.131772727272732</v>
      </c>
    </row>
    <row r="1677" spans="1:6" x14ac:dyDescent="0.25">
      <c r="A1677" s="47" t="s">
        <v>5669</v>
      </c>
      <c r="B1677" s="47" t="s">
        <v>5670</v>
      </c>
      <c r="C1677" s="47" t="s">
        <v>5671</v>
      </c>
      <c r="D1677" s="47" t="s">
        <v>408</v>
      </c>
      <c r="E1677" s="64">
        <v>18212.13</v>
      </c>
      <c r="F1677" s="64">
        <v>1009</v>
      </c>
    </row>
    <row r="1678" spans="1:6" x14ac:dyDescent="0.25">
      <c r="A1678" s="47" t="s">
        <v>5672</v>
      </c>
      <c r="B1678" s="47" t="s">
        <v>5673</v>
      </c>
      <c r="C1678" s="47" t="s">
        <v>5674</v>
      </c>
      <c r="D1678" s="47" t="s">
        <v>2303</v>
      </c>
      <c r="E1678" s="64">
        <v>64458.75</v>
      </c>
      <c r="F1678" s="64">
        <v>95.19583333333334</v>
      </c>
    </row>
    <row r="1679" spans="1:6" x14ac:dyDescent="0.25">
      <c r="A1679" s="47" t="s">
        <v>5675</v>
      </c>
      <c r="B1679" s="47" t="s">
        <v>5676</v>
      </c>
      <c r="C1679" s="47" t="s">
        <v>5677</v>
      </c>
      <c r="D1679" s="47" t="s">
        <v>2303</v>
      </c>
      <c r="E1679" s="64">
        <v>64458.75</v>
      </c>
      <c r="F1679" s="64">
        <v>95.19583333333334</v>
      </c>
    </row>
    <row r="1680" spans="1:6" x14ac:dyDescent="0.25">
      <c r="A1680" s="47" t="s">
        <v>5678</v>
      </c>
      <c r="B1680" s="47" t="s">
        <v>5679</v>
      </c>
      <c r="C1680" s="47" t="s">
        <v>5680</v>
      </c>
      <c r="D1680" s="47" t="s">
        <v>2303</v>
      </c>
      <c r="E1680" s="64">
        <v>64458.75</v>
      </c>
      <c r="F1680" s="64">
        <v>95.19583333333334</v>
      </c>
    </row>
    <row r="1681" spans="1:6" x14ac:dyDescent="0.25">
      <c r="A1681" s="47" t="s">
        <v>5681</v>
      </c>
      <c r="B1681" s="47" t="s">
        <v>5682</v>
      </c>
      <c r="C1681" s="47" t="s">
        <v>5683</v>
      </c>
      <c r="D1681" s="47" t="s">
        <v>5369</v>
      </c>
      <c r="E1681" s="64">
        <v>35933.300000000003</v>
      </c>
      <c r="F1681" s="64">
        <v>75.042000000000002</v>
      </c>
    </row>
    <row r="1682" spans="1:6" x14ac:dyDescent="0.25">
      <c r="A1682" s="47" t="s">
        <v>5684</v>
      </c>
      <c r="B1682" s="47" t="s">
        <v>5685</v>
      </c>
      <c r="C1682" s="47" t="s">
        <v>5686</v>
      </c>
      <c r="D1682" s="47" t="s">
        <v>2303</v>
      </c>
      <c r="E1682" s="64">
        <v>64458.75</v>
      </c>
      <c r="F1682" s="64">
        <v>95.19583333333334</v>
      </c>
    </row>
    <row r="1683" spans="1:6" x14ac:dyDescent="0.25">
      <c r="A1683" s="47" t="s">
        <v>5687</v>
      </c>
      <c r="B1683" s="47" t="s">
        <v>5688</v>
      </c>
      <c r="C1683" s="47" t="s">
        <v>5689</v>
      </c>
      <c r="D1683" s="47" t="s">
        <v>2303</v>
      </c>
      <c r="E1683" s="64">
        <v>64458.75</v>
      </c>
      <c r="F1683" s="64">
        <v>95.19583333333334</v>
      </c>
    </row>
    <row r="1684" spans="1:6" x14ac:dyDescent="0.25">
      <c r="A1684" s="47" t="s">
        <v>5690</v>
      </c>
      <c r="B1684" s="47" t="s">
        <v>5691</v>
      </c>
      <c r="C1684" s="47" t="s">
        <v>5692</v>
      </c>
      <c r="D1684" s="47" t="s">
        <v>2303</v>
      </c>
      <c r="E1684" s="64">
        <v>64458.75</v>
      </c>
      <c r="F1684" s="64">
        <v>95.19583333333334</v>
      </c>
    </row>
    <row r="1685" spans="1:6" x14ac:dyDescent="0.25">
      <c r="A1685" s="47" t="s">
        <v>5693</v>
      </c>
      <c r="B1685" s="47" t="s">
        <v>5694</v>
      </c>
      <c r="C1685" s="47" t="s">
        <v>5695</v>
      </c>
      <c r="D1685" s="47" t="s">
        <v>2303</v>
      </c>
      <c r="E1685" s="64">
        <v>64458.75</v>
      </c>
      <c r="F1685" s="64">
        <v>95.19583333333334</v>
      </c>
    </row>
    <row r="1686" spans="1:6" x14ac:dyDescent="0.25">
      <c r="A1686" s="47" t="s">
        <v>5696</v>
      </c>
      <c r="B1686" s="47" t="s">
        <v>5697</v>
      </c>
      <c r="C1686" s="47" t="s">
        <v>5698</v>
      </c>
      <c r="D1686" s="47" t="s">
        <v>2303</v>
      </c>
      <c r="E1686" s="64">
        <v>64458.75</v>
      </c>
      <c r="F1686" s="64">
        <v>95.19583333333334</v>
      </c>
    </row>
    <row r="1687" spans="1:6" x14ac:dyDescent="0.25">
      <c r="A1687" s="47" t="s">
        <v>5699</v>
      </c>
      <c r="B1687" s="47" t="s">
        <v>5700</v>
      </c>
      <c r="C1687" s="47" t="s">
        <v>5701</v>
      </c>
      <c r="D1687" s="47" t="s">
        <v>2303</v>
      </c>
      <c r="E1687" s="64">
        <v>64458.75</v>
      </c>
      <c r="F1687" s="64">
        <v>95.19583333333334</v>
      </c>
    </row>
    <row r="1688" spans="1:6" x14ac:dyDescent="0.25">
      <c r="A1688" s="47" t="s">
        <v>5702</v>
      </c>
      <c r="B1688" s="47" t="s">
        <v>5703</v>
      </c>
      <c r="C1688" s="47" t="s">
        <v>5704</v>
      </c>
      <c r="D1688" s="47" t="s">
        <v>2303</v>
      </c>
      <c r="E1688" s="64">
        <v>64458.75</v>
      </c>
      <c r="F1688" s="64">
        <v>95.19583333333334</v>
      </c>
    </row>
    <row r="1689" spans="1:6" x14ac:dyDescent="0.25">
      <c r="A1689" s="47" t="s">
        <v>5705</v>
      </c>
      <c r="B1689" s="47" t="s">
        <v>5706</v>
      </c>
      <c r="C1689" s="47" t="s">
        <v>5707</v>
      </c>
      <c r="D1689" s="47" t="s">
        <v>5106</v>
      </c>
      <c r="E1689" s="64">
        <v>29020.54</v>
      </c>
      <c r="F1689" s="64">
        <v>152</v>
      </c>
    </row>
    <row r="1690" spans="1:6" x14ac:dyDescent="0.25">
      <c r="A1690" s="47" t="s">
        <v>5708</v>
      </c>
      <c r="B1690" s="47" t="s">
        <v>5709</v>
      </c>
      <c r="C1690" s="47" t="s">
        <v>5710</v>
      </c>
      <c r="D1690" s="47" t="s">
        <v>2303</v>
      </c>
      <c r="E1690" s="64">
        <v>64458.75</v>
      </c>
      <c r="F1690" s="64">
        <v>95.19583333333334</v>
      </c>
    </row>
    <row r="1691" spans="1:6" x14ac:dyDescent="0.25">
      <c r="A1691" s="47" t="s">
        <v>5711</v>
      </c>
      <c r="B1691" s="47" t="s">
        <v>5712</v>
      </c>
      <c r="C1691" s="47" t="s">
        <v>5713</v>
      </c>
      <c r="D1691" s="47" t="s">
        <v>5198</v>
      </c>
      <c r="E1691" s="64">
        <v>45465.033333333333</v>
      </c>
      <c r="F1691" s="64">
        <v>1.41</v>
      </c>
    </row>
    <row r="1692" spans="1:6" x14ac:dyDescent="0.25">
      <c r="A1692" s="47" t="s">
        <v>5714</v>
      </c>
      <c r="B1692" s="47" t="s">
        <v>5715</v>
      </c>
      <c r="C1692" s="47" t="s">
        <v>5716</v>
      </c>
      <c r="D1692" s="47" t="s">
        <v>1732</v>
      </c>
      <c r="E1692" s="64">
        <v>51226.469999999994</v>
      </c>
      <c r="F1692" s="64">
        <v>1</v>
      </c>
    </row>
    <row r="1693" spans="1:6" x14ac:dyDescent="0.25">
      <c r="A1693" s="47" t="s">
        <v>5717</v>
      </c>
      <c r="B1693" s="47" t="s">
        <v>5718</v>
      </c>
      <c r="C1693" s="47" t="s">
        <v>5719</v>
      </c>
      <c r="D1693" s="47" t="s">
        <v>1732</v>
      </c>
      <c r="E1693" s="64">
        <v>51226.469999999994</v>
      </c>
      <c r="F1693" s="64">
        <v>1</v>
      </c>
    </row>
    <row r="1694" spans="1:6" x14ac:dyDescent="0.25">
      <c r="A1694" s="47" t="s">
        <v>5720</v>
      </c>
      <c r="B1694" s="47" t="s">
        <v>5721</v>
      </c>
      <c r="C1694" s="47" t="s">
        <v>5722</v>
      </c>
      <c r="D1694" s="47" t="s">
        <v>2303</v>
      </c>
      <c r="E1694" s="64">
        <v>64458.75</v>
      </c>
      <c r="F1694" s="64">
        <v>95.19583333333334</v>
      </c>
    </row>
    <row r="1695" spans="1:6" x14ac:dyDescent="0.25">
      <c r="A1695" s="47" t="s">
        <v>5723</v>
      </c>
      <c r="B1695" s="47" t="s">
        <v>5724</v>
      </c>
      <c r="C1695" s="47" t="s">
        <v>5725</v>
      </c>
      <c r="D1695" s="47" t="s">
        <v>2303</v>
      </c>
      <c r="E1695" s="64">
        <v>64458.75</v>
      </c>
      <c r="F1695" s="64">
        <v>95.19583333333334</v>
      </c>
    </row>
    <row r="1696" spans="1:6" x14ac:dyDescent="0.25">
      <c r="A1696" s="47" t="s">
        <v>5726</v>
      </c>
      <c r="B1696" s="47" t="s">
        <v>5727</v>
      </c>
      <c r="C1696" s="47" t="s">
        <v>5728</v>
      </c>
      <c r="D1696" s="47" t="s">
        <v>4890</v>
      </c>
      <c r="E1696" s="64">
        <v>43907.639999999992</v>
      </c>
      <c r="F1696" s="64">
        <v>6.7000000000000004E-2</v>
      </c>
    </row>
    <row r="1697" spans="1:6" x14ac:dyDescent="0.25">
      <c r="A1697" s="47" t="s">
        <v>5729</v>
      </c>
      <c r="B1697" s="47" t="s">
        <v>5730</v>
      </c>
      <c r="C1697" s="47" t="s">
        <v>5731</v>
      </c>
      <c r="D1697" s="47" t="s">
        <v>4890</v>
      </c>
      <c r="E1697" s="64">
        <v>43907.639999999992</v>
      </c>
      <c r="F1697" s="64">
        <v>6.7000000000000004E-2</v>
      </c>
    </row>
    <row r="1698" spans="1:6" x14ac:dyDescent="0.25">
      <c r="A1698" s="47" t="s">
        <v>5732</v>
      </c>
      <c r="B1698" s="47" t="s">
        <v>5733</v>
      </c>
      <c r="C1698" s="47" t="s">
        <v>5734</v>
      </c>
      <c r="D1698" s="47" t="s">
        <v>4890</v>
      </c>
      <c r="E1698" s="64">
        <v>43907.639999999992</v>
      </c>
      <c r="F1698" s="64">
        <v>6.7000000000000004E-2</v>
      </c>
    </row>
    <row r="1699" spans="1:6" x14ac:dyDescent="0.25">
      <c r="A1699" s="47" t="s">
        <v>5735</v>
      </c>
      <c r="B1699" s="47" t="s">
        <v>5736</v>
      </c>
      <c r="C1699" s="47" t="s">
        <v>5737</v>
      </c>
      <c r="D1699" s="47" t="s">
        <v>5116</v>
      </c>
      <c r="E1699" s="64">
        <v>29020.54</v>
      </c>
      <c r="F1699" s="64">
        <v>184</v>
      </c>
    </row>
    <row r="1700" spans="1:6" x14ac:dyDescent="0.25">
      <c r="A1700" s="47" t="s">
        <v>5738</v>
      </c>
      <c r="B1700" s="47" t="s">
        <v>5739</v>
      </c>
      <c r="C1700" s="47" t="s">
        <v>5740</v>
      </c>
      <c r="D1700" s="47" t="s">
        <v>5106</v>
      </c>
      <c r="E1700" s="64">
        <v>29020.54</v>
      </c>
      <c r="F1700" s="64">
        <v>152</v>
      </c>
    </row>
    <row r="1701" spans="1:6" x14ac:dyDescent="0.25">
      <c r="A1701" s="47" t="s">
        <v>5741</v>
      </c>
      <c r="B1701" s="47" t="s">
        <v>5742</v>
      </c>
      <c r="C1701" s="47" t="s">
        <v>5743</v>
      </c>
      <c r="D1701" s="47" t="s">
        <v>5106</v>
      </c>
      <c r="E1701" s="64">
        <v>29020.54</v>
      </c>
      <c r="F1701" s="64">
        <v>152</v>
      </c>
    </row>
    <row r="1702" spans="1:6" x14ac:dyDescent="0.25">
      <c r="A1702" s="47" t="s">
        <v>5744</v>
      </c>
      <c r="B1702" s="47" t="s">
        <v>5745</v>
      </c>
      <c r="C1702" s="47" t="s">
        <v>5746</v>
      </c>
      <c r="D1702" s="47" t="s">
        <v>5747</v>
      </c>
      <c r="E1702" s="64">
        <v>63802.469999999994</v>
      </c>
      <c r="F1702" s="64">
        <v>1</v>
      </c>
    </row>
    <row r="1703" spans="1:6" x14ac:dyDescent="0.25">
      <c r="A1703" s="47" t="s">
        <v>5748</v>
      </c>
      <c r="B1703" s="47" t="s">
        <v>5749</v>
      </c>
      <c r="C1703" s="47" t="s">
        <v>5750</v>
      </c>
      <c r="D1703" s="47" t="s">
        <v>4855</v>
      </c>
      <c r="E1703" s="64">
        <v>52800.22</v>
      </c>
      <c r="F1703" s="64">
        <v>1</v>
      </c>
    </row>
    <row r="1704" spans="1:6" x14ac:dyDescent="0.25">
      <c r="A1704" s="47" t="s">
        <v>5751</v>
      </c>
      <c r="B1704" s="47" t="s">
        <v>5752</v>
      </c>
      <c r="C1704" s="47" t="s">
        <v>5753</v>
      </c>
      <c r="D1704" s="47" t="s">
        <v>4855</v>
      </c>
      <c r="E1704" s="64">
        <v>52800.22</v>
      </c>
      <c r="F1704" s="64">
        <v>1</v>
      </c>
    </row>
    <row r="1705" spans="1:6" x14ac:dyDescent="0.25">
      <c r="A1705" s="47" t="s">
        <v>5754</v>
      </c>
      <c r="B1705" s="47" t="s">
        <v>5755</v>
      </c>
      <c r="C1705" s="47" t="s">
        <v>5756</v>
      </c>
      <c r="D1705" s="47" t="s">
        <v>5356</v>
      </c>
      <c r="E1705" s="64">
        <v>13244.38</v>
      </c>
      <c r="F1705" s="64">
        <v>10.403333333333334</v>
      </c>
    </row>
    <row r="1706" spans="1:6" x14ac:dyDescent="0.25">
      <c r="A1706" s="47" t="s">
        <v>5757</v>
      </c>
      <c r="B1706" s="47" t="s">
        <v>5758</v>
      </c>
      <c r="C1706" s="47" t="s">
        <v>5759</v>
      </c>
      <c r="D1706" s="47" t="s">
        <v>5356</v>
      </c>
      <c r="E1706" s="64">
        <v>13244.38</v>
      </c>
      <c r="F1706" s="64">
        <v>10.403333333333334</v>
      </c>
    </row>
    <row r="1707" spans="1:6" x14ac:dyDescent="0.25">
      <c r="A1707" s="47" t="s">
        <v>5760</v>
      </c>
      <c r="B1707" s="47" t="s">
        <v>5761</v>
      </c>
      <c r="C1707" s="47" t="s">
        <v>5762</v>
      </c>
      <c r="D1707" s="47" t="s">
        <v>5356</v>
      </c>
      <c r="E1707" s="64">
        <v>13244.38</v>
      </c>
      <c r="F1707" s="64">
        <v>10.403333333333334</v>
      </c>
    </row>
    <row r="1708" spans="1:6" x14ac:dyDescent="0.25">
      <c r="A1708" s="47" t="s">
        <v>5763</v>
      </c>
      <c r="B1708" s="47" t="s">
        <v>5764</v>
      </c>
      <c r="C1708" s="47" t="s">
        <v>5765</v>
      </c>
      <c r="D1708" s="47" t="s">
        <v>5356</v>
      </c>
      <c r="E1708" s="64">
        <v>13244.38</v>
      </c>
      <c r="F1708" s="64">
        <v>10.403333333333334</v>
      </c>
    </row>
    <row r="1709" spans="1:6" x14ac:dyDescent="0.25">
      <c r="A1709" s="47" t="s">
        <v>5766</v>
      </c>
      <c r="B1709" s="47" t="s">
        <v>5767</v>
      </c>
      <c r="C1709" s="47" t="s">
        <v>5768</v>
      </c>
      <c r="D1709" s="47" t="s">
        <v>5349</v>
      </c>
      <c r="E1709" s="64">
        <v>27452.38</v>
      </c>
      <c r="F1709" s="64">
        <v>46.809013666666665</v>
      </c>
    </row>
    <row r="1710" spans="1:6" x14ac:dyDescent="0.25">
      <c r="A1710" s="47" t="s">
        <v>5769</v>
      </c>
      <c r="B1710" s="47" t="s">
        <v>5770</v>
      </c>
      <c r="C1710" s="47" t="s">
        <v>5771</v>
      </c>
      <c r="D1710" s="47" t="s">
        <v>5198</v>
      </c>
      <c r="E1710" s="64">
        <v>36811.08285714285</v>
      </c>
      <c r="F1710" s="64">
        <v>1.41</v>
      </c>
    </row>
    <row r="1711" spans="1:6" x14ac:dyDescent="0.25">
      <c r="A1711" s="47" t="s">
        <v>5772</v>
      </c>
      <c r="B1711" s="47" t="s">
        <v>5773</v>
      </c>
      <c r="C1711" s="47" t="s">
        <v>5774</v>
      </c>
      <c r="D1711" s="47" t="s">
        <v>5198</v>
      </c>
      <c r="E1711" s="64">
        <v>36811.08285714285</v>
      </c>
      <c r="F1711" s="64">
        <v>1.41</v>
      </c>
    </row>
    <row r="1712" spans="1:6" x14ac:dyDescent="0.25">
      <c r="A1712" s="47" t="s">
        <v>5775</v>
      </c>
      <c r="B1712" s="47" t="s">
        <v>5776</v>
      </c>
      <c r="C1712" s="47" t="s">
        <v>5777</v>
      </c>
      <c r="D1712" s="47" t="s">
        <v>5626</v>
      </c>
      <c r="E1712" s="64">
        <v>45289.296249999992</v>
      </c>
      <c r="F1712" s="64">
        <v>291.62042857142859</v>
      </c>
    </row>
    <row r="1713" spans="1:6" x14ac:dyDescent="0.25">
      <c r="A1713" s="47" t="s">
        <v>5778</v>
      </c>
      <c r="B1713" s="47" t="s">
        <v>5779</v>
      </c>
      <c r="C1713" s="47" t="s">
        <v>5780</v>
      </c>
      <c r="D1713" s="47"/>
      <c r="E1713" s="64">
        <v>39959.482499999998</v>
      </c>
      <c r="F1713" s="64">
        <v>100000000</v>
      </c>
    </row>
    <row r="1714" spans="1:6" x14ac:dyDescent="0.25">
      <c r="A1714" s="47" t="s">
        <v>5781</v>
      </c>
      <c r="B1714" s="47" t="s">
        <v>5782</v>
      </c>
      <c r="C1714" s="47" t="s">
        <v>5783</v>
      </c>
      <c r="D1714" s="47" t="s">
        <v>5333</v>
      </c>
      <c r="E1714" s="64">
        <v>18000.449999999997</v>
      </c>
      <c r="F1714" s="64">
        <v>368.48649999999998</v>
      </c>
    </row>
    <row r="1715" spans="1:6" x14ac:dyDescent="0.25">
      <c r="A1715" s="47" t="s">
        <v>5784</v>
      </c>
      <c r="B1715" s="47" t="s">
        <v>5785</v>
      </c>
      <c r="C1715" s="47" t="s">
        <v>5786</v>
      </c>
      <c r="D1715" s="47" t="s">
        <v>4753</v>
      </c>
      <c r="E1715" s="64">
        <v>33162.049999999996</v>
      </c>
      <c r="F1715" s="64">
        <v>2.48</v>
      </c>
    </row>
    <row r="1716" spans="1:6" x14ac:dyDescent="0.25">
      <c r="A1716" s="47" t="s">
        <v>5787</v>
      </c>
      <c r="B1716" s="47" t="s">
        <v>5788</v>
      </c>
      <c r="C1716" s="47" t="s">
        <v>5789</v>
      </c>
      <c r="D1716" s="47" t="s">
        <v>687</v>
      </c>
      <c r="E1716" s="64">
        <v>42828.240000000005</v>
      </c>
      <c r="F1716" s="64">
        <v>0.97</v>
      </c>
    </row>
    <row r="1717" spans="1:6" x14ac:dyDescent="0.25">
      <c r="A1717" s="47" t="s">
        <v>5790</v>
      </c>
      <c r="B1717" s="47" t="s">
        <v>5791</v>
      </c>
      <c r="C1717" s="47" t="s">
        <v>5792</v>
      </c>
      <c r="D1717" s="47" t="s">
        <v>687</v>
      </c>
      <c r="E1717" s="64">
        <v>42828.240000000005</v>
      </c>
      <c r="F1717" s="64">
        <v>1.0999999999999999E-2</v>
      </c>
    </row>
    <row r="1718" spans="1:6" x14ac:dyDescent="0.25">
      <c r="A1718" s="47" t="s">
        <v>5793</v>
      </c>
      <c r="B1718" s="47" t="s">
        <v>5794</v>
      </c>
      <c r="C1718" s="47" t="s">
        <v>5795</v>
      </c>
      <c r="D1718" s="47" t="s">
        <v>4886</v>
      </c>
      <c r="E1718" s="64">
        <v>25559.58</v>
      </c>
      <c r="F1718" s="64">
        <v>99.3</v>
      </c>
    </row>
    <row r="1719" spans="1:6" x14ac:dyDescent="0.25">
      <c r="A1719" s="47" t="s">
        <v>5796</v>
      </c>
      <c r="B1719" s="47" t="s">
        <v>5797</v>
      </c>
      <c r="C1719" s="47" t="s">
        <v>5798</v>
      </c>
      <c r="D1719" s="47" t="s">
        <v>4886</v>
      </c>
      <c r="E1719" s="64">
        <v>25559.58</v>
      </c>
      <c r="F1719" s="64">
        <v>99.3</v>
      </c>
    </row>
    <row r="1720" spans="1:6" x14ac:dyDescent="0.25">
      <c r="A1720" s="47" t="s">
        <v>5799</v>
      </c>
      <c r="B1720" s="47" t="s">
        <v>5800</v>
      </c>
      <c r="C1720" s="47" t="s">
        <v>5801</v>
      </c>
      <c r="D1720" s="47" t="s">
        <v>4500</v>
      </c>
      <c r="E1720" s="64">
        <v>41252.135999999999</v>
      </c>
      <c r="F1720" s="64">
        <v>106.3</v>
      </c>
    </row>
    <row r="1721" spans="1:6" x14ac:dyDescent="0.25">
      <c r="A1721" s="47" t="s">
        <v>5802</v>
      </c>
      <c r="B1721" s="47" t="s">
        <v>5803</v>
      </c>
      <c r="C1721" s="47" t="s">
        <v>5804</v>
      </c>
      <c r="D1721" s="47" t="s">
        <v>4500</v>
      </c>
      <c r="E1721" s="64">
        <v>41252.135999999999</v>
      </c>
      <c r="F1721" s="64">
        <v>106.3</v>
      </c>
    </row>
    <row r="1722" spans="1:6" x14ac:dyDescent="0.25">
      <c r="A1722" s="47" t="s">
        <v>5805</v>
      </c>
      <c r="B1722" s="47" t="s">
        <v>5806</v>
      </c>
      <c r="C1722" s="47" t="s">
        <v>5807</v>
      </c>
      <c r="D1722" s="47"/>
      <c r="E1722" s="64">
        <v>41654.650000000009</v>
      </c>
      <c r="F1722" s="64">
        <v>100000000</v>
      </c>
    </row>
    <row r="1723" spans="1:6" x14ac:dyDescent="0.25">
      <c r="A1723" s="47" t="s">
        <v>5808</v>
      </c>
      <c r="B1723" s="47" t="s">
        <v>5809</v>
      </c>
      <c r="C1723" s="47" t="s">
        <v>5810</v>
      </c>
      <c r="D1723" s="47"/>
      <c r="E1723" s="64">
        <v>41654.650000000009</v>
      </c>
      <c r="F1723" s="64">
        <v>100000000</v>
      </c>
    </row>
    <row r="1724" spans="1:6" x14ac:dyDescent="0.25">
      <c r="A1724" s="47" t="s">
        <v>5811</v>
      </c>
      <c r="B1724" s="47" t="s">
        <v>5812</v>
      </c>
      <c r="C1724" s="47" t="s">
        <v>5813</v>
      </c>
      <c r="D1724" s="47"/>
      <c r="E1724" s="64">
        <v>41654.650000000009</v>
      </c>
      <c r="F1724" s="64">
        <v>100000000</v>
      </c>
    </row>
    <row r="1725" spans="1:6" x14ac:dyDescent="0.25">
      <c r="A1725" s="47" t="s">
        <v>5814</v>
      </c>
      <c r="B1725" s="47" t="s">
        <v>5815</v>
      </c>
      <c r="C1725" s="47" t="s">
        <v>5816</v>
      </c>
      <c r="D1725" s="47"/>
      <c r="E1725" s="64">
        <v>41654.650000000009</v>
      </c>
      <c r="F1725" s="64">
        <v>100000000</v>
      </c>
    </row>
    <row r="1726" spans="1:6" x14ac:dyDescent="0.25">
      <c r="A1726" s="47" t="s">
        <v>5817</v>
      </c>
      <c r="B1726" s="47" t="s">
        <v>5818</v>
      </c>
      <c r="C1726" s="47" t="s">
        <v>5819</v>
      </c>
      <c r="D1726" s="47"/>
      <c r="E1726" s="64">
        <v>41654.650000000009</v>
      </c>
      <c r="F1726" s="64">
        <v>100000000</v>
      </c>
    </row>
    <row r="1727" spans="1:6" x14ac:dyDescent="0.25">
      <c r="A1727" s="47" t="s">
        <v>5820</v>
      </c>
      <c r="B1727" s="47" t="s">
        <v>5821</v>
      </c>
      <c r="C1727" s="47" t="s">
        <v>5822</v>
      </c>
      <c r="D1727" s="47" t="s">
        <v>4753</v>
      </c>
      <c r="E1727" s="64">
        <v>33162.049999999996</v>
      </c>
      <c r="F1727" s="64">
        <v>2.48</v>
      </c>
    </row>
    <row r="1728" spans="1:6" x14ac:dyDescent="0.25">
      <c r="A1728" s="47" t="s">
        <v>5823</v>
      </c>
      <c r="B1728" s="47" t="s">
        <v>5824</v>
      </c>
      <c r="C1728" s="47" t="s">
        <v>5825</v>
      </c>
      <c r="D1728" s="47" t="s">
        <v>4753</v>
      </c>
      <c r="E1728" s="64">
        <v>33162.049999999996</v>
      </c>
      <c r="F1728" s="64">
        <v>2.48</v>
      </c>
    </row>
    <row r="1729" spans="1:6" x14ac:dyDescent="0.25">
      <c r="A1729" s="47" t="s">
        <v>5826</v>
      </c>
      <c r="B1729" s="47" t="s">
        <v>5827</v>
      </c>
      <c r="C1729" s="47" t="s">
        <v>5828</v>
      </c>
      <c r="D1729" s="47" t="s">
        <v>4682</v>
      </c>
      <c r="E1729" s="64">
        <v>38977.050000000003</v>
      </c>
      <c r="F1729" s="64">
        <v>1016</v>
      </c>
    </row>
    <row r="1730" spans="1:6" x14ac:dyDescent="0.25">
      <c r="A1730" s="47" t="s">
        <v>5829</v>
      </c>
      <c r="B1730" s="47" t="s">
        <v>5830</v>
      </c>
      <c r="C1730" s="47" t="s">
        <v>5831</v>
      </c>
      <c r="D1730" s="47" t="s">
        <v>4682</v>
      </c>
      <c r="E1730" s="64">
        <v>38977.050000000003</v>
      </c>
      <c r="F1730" s="64">
        <v>1016</v>
      </c>
    </row>
    <row r="1731" spans="1:6" x14ac:dyDescent="0.25">
      <c r="A1731" s="47" t="s">
        <v>5832</v>
      </c>
      <c r="B1731" s="47" t="s">
        <v>5833</v>
      </c>
      <c r="C1731" s="47" t="s">
        <v>5834</v>
      </c>
      <c r="D1731" s="47" t="s">
        <v>4682</v>
      </c>
      <c r="E1731" s="64">
        <v>38977.050000000003</v>
      </c>
      <c r="F1731" s="64">
        <v>1016</v>
      </c>
    </row>
    <row r="1732" spans="1:6" x14ac:dyDescent="0.25">
      <c r="A1732" s="47" t="s">
        <v>5835</v>
      </c>
      <c r="B1732" s="47" t="s">
        <v>5836</v>
      </c>
      <c r="C1732" s="47" t="s">
        <v>5837</v>
      </c>
      <c r="D1732" s="47"/>
      <c r="E1732" s="64">
        <v>41654.650000000009</v>
      </c>
      <c r="F1732" s="64">
        <v>100000000</v>
      </c>
    </row>
    <row r="1733" spans="1:6" x14ac:dyDescent="0.25">
      <c r="A1733" s="47" t="s">
        <v>5838</v>
      </c>
      <c r="B1733" s="47" t="s">
        <v>5839</v>
      </c>
      <c r="C1733" s="47" t="s">
        <v>5840</v>
      </c>
      <c r="D1733" s="47"/>
      <c r="E1733" s="64">
        <v>41654.650000000009</v>
      </c>
      <c r="F1733" s="64">
        <v>100000000</v>
      </c>
    </row>
    <row r="1734" spans="1:6" x14ac:dyDescent="0.25">
      <c r="A1734" s="47" t="s">
        <v>5841</v>
      </c>
      <c r="B1734" s="47" t="s">
        <v>5842</v>
      </c>
      <c r="C1734" s="47" t="s">
        <v>5843</v>
      </c>
      <c r="D1734" s="47"/>
      <c r="E1734" s="64">
        <v>41654.650000000009</v>
      </c>
      <c r="F1734" s="64">
        <v>100000000</v>
      </c>
    </row>
    <row r="1735" spans="1:6" x14ac:dyDescent="0.25">
      <c r="A1735" s="47" t="s">
        <v>5844</v>
      </c>
      <c r="B1735" s="47" t="s">
        <v>5845</v>
      </c>
      <c r="C1735" s="47" t="s">
        <v>5846</v>
      </c>
      <c r="D1735" s="47"/>
      <c r="E1735" s="64">
        <v>41654.650000000009</v>
      </c>
      <c r="F1735" s="64">
        <v>100000000</v>
      </c>
    </row>
    <row r="1736" spans="1:6" x14ac:dyDescent="0.25">
      <c r="A1736" s="47" t="s">
        <v>5847</v>
      </c>
      <c r="B1736" s="47" t="s">
        <v>5848</v>
      </c>
      <c r="C1736" s="47" t="s">
        <v>5849</v>
      </c>
      <c r="D1736" s="47"/>
      <c r="E1736" s="64">
        <v>41654.650000000009</v>
      </c>
      <c r="F1736" s="64">
        <v>100000000</v>
      </c>
    </row>
    <row r="1737" spans="1:6" x14ac:dyDescent="0.25">
      <c r="A1737" s="47" t="s">
        <v>5850</v>
      </c>
      <c r="B1737" s="47" t="s">
        <v>5851</v>
      </c>
      <c r="C1737" s="47" t="s">
        <v>5852</v>
      </c>
      <c r="D1737" s="47"/>
      <c r="E1737" s="64">
        <v>41654.650000000009</v>
      </c>
      <c r="F1737" s="64">
        <v>100000000</v>
      </c>
    </row>
    <row r="1738" spans="1:6" x14ac:dyDescent="0.25">
      <c r="A1738" s="47" t="s">
        <v>5853</v>
      </c>
      <c r="B1738" s="47" t="s">
        <v>5854</v>
      </c>
      <c r="C1738" s="47" t="s">
        <v>5855</v>
      </c>
      <c r="D1738" s="47"/>
      <c r="E1738" s="64">
        <v>41654.650000000009</v>
      </c>
      <c r="F1738" s="64">
        <v>100000000</v>
      </c>
    </row>
    <row r="1739" spans="1:6" x14ac:dyDescent="0.25">
      <c r="A1739" s="47" t="s">
        <v>5856</v>
      </c>
      <c r="B1739" s="47" t="s">
        <v>5857</v>
      </c>
      <c r="C1739" s="47" t="s">
        <v>5858</v>
      </c>
      <c r="D1739" s="47"/>
      <c r="E1739" s="64">
        <v>41654.650000000009</v>
      </c>
      <c r="F1739" s="64">
        <v>100000000</v>
      </c>
    </row>
    <row r="1740" spans="1:6" x14ac:dyDescent="0.25">
      <c r="A1740" s="47" t="s">
        <v>5859</v>
      </c>
      <c r="B1740" s="47" t="s">
        <v>5860</v>
      </c>
      <c r="C1740" s="47" t="s">
        <v>5861</v>
      </c>
      <c r="D1740" s="47" t="s">
        <v>4682</v>
      </c>
      <c r="E1740" s="64">
        <v>38977.050000000003</v>
      </c>
      <c r="F1740" s="64">
        <v>1016</v>
      </c>
    </row>
    <row r="1741" spans="1:6" x14ac:dyDescent="0.25">
      <c r="A1741" s="47" t="s">
        <v>5862</v>
      </c>
      <c r="B1741" s="47" t="s">
        <v>5863</v>
      </c>
      <c r="C1741" s="47" t="s">
        <v>5864</v>
      </c>
      <c r="D1741" s="47" t="s">
        <v>2303</v>
      </c>
      <c r="E1741" s="64">
        <v>64458.75</v>
      </c>
      <c r="F1741" s="64">
        <v>95.19583333333334</v>
      </c>
    </row>
    <row r="1742" spans="1:6" x14ac:dyDescent="0.25">
      <c r="A1742" s="47" t="s">
        <v>5865</v>
      </c>
      <c r="B1742" s="47" t="s">
        <v>5866</v>
      </c>
      <c r="C1742" s="47" t="s">
        <v>5867</v>
      </c>
      <c r="D1742" s="47" t="s">
        <v>2303</v>
      </c>
      <c r="E1742" s="64">
        <v>64458.75</v>
      </c>
      <c r="F1742" s="64">
        <v>95.19583333333334</v>
      </c>
    </row>
    <row r="1743" spans="1:6" x14ac:dyDescent="0.25">
      <c r="A1743" s="47" t="s">
        <v>5868</v>
      </c>
      <c r="B1743" s="47" t="s">
        <v>5869</v>
      </c>
      <c r="C1743" s="47" t="s">
        <v>5870</v>
      </c>
      <c r="D1743" s="47" t="s">
        <v>2303</v>
      </c>
      <c r="E1743" s="64">
        <v>64458.75</v>
      </c>
      <c r="F1743" s="64">
        <v>95.19583333333334</v>
      </c>
    </row>
    <row r="1744" spans="1:6" x14ac:dyDescent="0.25">
      <c r="A1744" s="47" t="s">
        <v>5871</v>
      </c>
      <c r="B1744" s="47" t="s">
        <v>5872</v>
      </c>
      <c r="C1744" s="47" t="s">
        <v>5873</v>
      </c>
      <c r="D1744" s="47" t="s">
        <v>5072</v>
      </c>
      <c r="E1744" s="64">
        <v>24219.075000000004</v>
      </c>
      <c r="F1744" s="64">
        <v>24</v>
      </c>
    </row>
    <row r="1745" spans="1:6" x14ac:dyDescent="0.25">
      <c r="A1745" s="47" t="s">
        <v>5874</v>
      </c>
      <c r="B1745" s="47" t="s">
        <v>5875</v>
      </c>
      <c r="C1745" s="47" t="s">
        <v>5876</v>
      </c>
      <c r="D1745" s="47" t="s">
        <v>2303</v>
      </c>
      <c r="E1745" s="64">
        <v>64458.75</v>
      </c>
      <c r="F1745" s="64">
        <v>95.19583333333334</v>
      </c>
    </row>
    <row r="1746" spans="1:6" x14ac:dyDescent="0.25">
      <c r="A1746" s="47" t="s">
        <v>5877</v>
      </c>
      <c r="B1746" s="47" t="s">
        <v>5878</v>
      </c>
      <c r="C1746" s="47" t="s">
        <v>5879</v>
      </c>
      <c r="D1746" s="47" t="s">
        <v>2303</v>
      </c>
      <c r="E1746" s="64">
        <v>64458.75</v>
      </c>
      <c r="F1746" s="64">
        <v>95.19583333333334</v>
      </c>
    </row>
    <row r="1747" spans="1:6" x14ac:dyDescent="0.25">
      <c r="A1747" s="47" t="s">
        <v>5880</v>
      </c>
      <c r="B1747" s="47" t="s">
        <v>5881</v>
      </c>
      <c r="C1747" s="47" t="s">
        <v>5882</v>
      </c>
      <c r="D1747" s="47" t="s">
        <v>5106</v>
      </c>
      <c r="E1747" s="64">
        <v>29020.54</v>
      </c>
      <c r="F1747" s="64">
        <v>152</v>
      </c>
    </row>
    <row r="1748" spans="1:6" x14ac:dyDescent="0.25">
      <c r="A1748" s="47" t="s">
        <v>5883</v>
      </c>
      <c r="B1748" s="47" t="s">
        <v>5884</v>
      </c>
      <c r="C1748" s="47" t="s">
        <v>5885</v>
      </c>
      <c r="D1748" s="47" t="s">
        <v>5106</v>
      </c>
      <c r="E1748" s="64">
        <v>29020.54</v>
      </c>
      <c r="F1748" s="64">
        <v>152</v>
      </c>
    </row>
    <row r="1749" spans="1:6" x14ac:dyDescent="0.25">
      <c r="A1749" s="47" t="s">
        <v>5886</v>
      </c>
      <c r="B1749" s="47" t="s">
        <v>5887</v>
      </c>
      <c r="C1749" s="47" t="s">
        <v>5888</v>
      </c>
      <c r="D1749" s="47" t="s">
        <v>5106</v>
      </c>
      <c r="E1749" s="64">
        <v>29020.54</v>
      </c>
      <c r="F1749" s="64">
        <v>152</v>
      </c>
    </row>
    <row r="1750" spans="1:6" x14ac:dyDescent="0.25">
      <c r="A1750" s="47" t="s">
        <v>5889</v>
      </c>
      <c r="B1750" s="47" t="s">
        <v>5890</v>
      </c>
      <c r="C1750" s="47" t="s">
        <v>5891</v>
      </c>
      <c r="D1750" s="47"/>
      <c r="E1750" s="64">
        <v>39959.482499999998</v>
      </c>
      <c r="F1750" s="64">
        <v>100000000</v>
      </c>
    </row>
    <row r="1751" spans="1:6" x14ac:dyDescent="0.25">
      <c r="A1751" s="47" t="s">
        <v>5892</v>
      </c>
      <c r="B1751" s="47" t="s">
        <v>5893</v>
      </c>
      <c r="C1751" s="47" t="s">
        <v>5894</v>
      </c>
      <c r="D1751" s="47"/>
      <c r="E1751" s="64">
        <v>43227.55</v>
      </c>
      <c r="F1751" s="64">
        <v>22</v>
      </c>
    </row>
    <row r="1752" spans="1:6" x14ac:dyDescent="0.25">
      <c r="A1752" s="47" t="s">
        <v>5895</v>
      </c>
      <c r="B1752" s="47" t="s">
        <v>5896</v>
      </c>
      <c r="C1752" s="47" t="s">
        <v>5897</v>
      </c>
      <c r="D1752" s="47"/>
      <c r="E1752" s="64">
        <v>43227.55</v>
      </c>
      <c r="F1752" s="64">
        <v>22</v>
      </c>
    </row>
    <row r="1753" spans="1:6" x14ac:dyDescent="0.25">
      <c r="A1753" s="47" t="s">
        <v>5898</v>
      </c>
      <c r="B1753" s="47" t="s">
        <v>5899</v>
      </c>
      <c r="C1753" s="47" t="s">
        <v>5900</v>
      </c>
      <c r="D1753" s="47" t="s">
        <v>5901</v>
      </c>
      <c r="E1753" s="64">
        <v>75455.785000000018</v>
      </c>
      <c r="F1753" s="64">
        <v>1.4038499999999998</v>
      </c>
    </row>
    <row r="1754" spans="1:6" x14ac:dyDescent="0.25">
      <c r="A1754" s="47" t="s">
        <v>5902</v>
      </c>
      <c r="B1754" s="47" t="s">
        <v>5903</v>
      </c>
      <c r="C1754" s="47" t="s">
        <v>5904</v>
      </c>
      <c r="D1754" s="47" t="s">
        <v>5905</v>
      </c>
      <c r="E1754" s="64">
        <v>87396.419999999984</v>
      </c>
      <c r="F1754" s="64">
        <v>0.70220699999999991</v>
      </c>
    </row>
    <row r="1755" spans="1:6" x14ac:dyDescent="0.25">
      <c r="A1755" s="47" t="s">
        <v>5906</v>
      </c>
      <c r="B1755" s="47" t="s">
        <v>5907</v>
      </c>
      <c r="C1755" s="47" t="s">
        <v>5908</v>
      </c>
      <c r="D1755" s="47"/>
      <c r="E1755" s="64">
        <v>203425.91999999998</v>
      </c>
      <c r="F1755" s="64">
        <v>22</v>
      </c>
    </row>
    <row r="1756" spans="1:6" x14ac:dyDescent="0.25">
      <c r="A1756" s="47" t="s">
        <v>5909</v>
      </c>
      <c r="B1756" s="47" t="s">
        <v>5910</v>
      </c>
      <c r="C1756" s="47" t="s">
        <v>5911</v>
      </c>
      <c r="D1756" s="47" t="s">
        <v>5382</v>
      </c>
      <c r="E1756" s="64">
        <v>33162.049999999996</v>
      </c>
      <c r="F1756" s="64">
        <v>3.86</v>
      </c>
    </row>
    <row r="1757" spans="1:6" x14ac:dyDescent="0.25">
      <c r="A1757" s="47" t="s">
        <v>5912</v>
      </c>
      <c r="B1757" s="47" t="s">
        <v>5913</v>
      </c>
      <c r="C1757" s="47" t="s">
        <v>5914</v>
      </c>
      <c r="D1757" s="47" t="s">
        <v>5382</v>
      </c>
      <c r="E1757" s="64">
        <v>33162.049999999996</v>
      </c>
      <c r="F1757" s="64">
        <v>3.86</v>
      </c>
    </row>
    <row r="1758" spans="1:6" x14ac:dyDescent="0.25">
      <c r="A1758" s="47" t="s">
        <v>5915</v>
      </c>
      <c r="B1758" s="47" t="s">
        <v>5916</v>
      </c>
      <c r="C1758" s="47" t="s">
        <v>5917</v>
      </c>
      <c r="D1758" s="47" t="s">
        <v>4682</v>
      </c>
      <c r="E1758" s="64">
        <v>38977.050000000003</v>
      </c>
      <c r="F1758" s="64">
        <v>1016</v>
      </c>
    </row>
    <row r="1759" spans="1:6" x14ac:dyDescent="0.25">
      <c r="A1759" s="47" t="s">
        <v>5918</v>
      </c>
      <c r="B1759" s="47" t="s">
        <v>5919</v>
      </c>
      <c r="C1759" s="47" t="s">
        <v>5920</v>
      </c>
      <c r="D1759" s="47" t="s">
        <v>4830</v>
      </c>
      <c r="E1759" s="64">
        <v>27863.119999999995</v>
      </c>
      <c r="F1759" s="64">
        <v>5.3</v>
      </c>
    </row>
    <row r="1760" spans="1:6" x14ac:dyDescent="0.25">
      <c r="A1760" s="47" t="s">
        <v>5921</v>
      </c>
      <c r="B1760" s="47" t="s">
        <v>5922</v>
      </c>
      <c r="C1760" s="47" t="s">
        <v>5923</v>
      </c>
      <c r="D1760" s="47" t="s">
        <v>4830</v>
      </c>
      <c r="E1760" s="64">
        <v>27863.119999999995</v>
      </c>
      <c r="F1760" s="64">
        <v>5.3</v>
      </c>
    </row>
    <row r="1761" spans="1:6" x14ac:dyDescent="0.25">
      <c r="A1761" s="47" t="s">
        <v>5924</v>
      </c>
      <c r="B1761" s="47" t="s">
        <v>5925</v>
      </c>
      <c r="C1761" s="47" t="s">
        <v>5926</v>
      </c>
      <c r="D1761" s="47" t="s">
        <v>4830</v>
      </c>
      <c r="E1761" s="64">
        <v>27863.119999999995</v>
      </c>
      <c r="F1761" s="64">
        <v>5.3</v>
      </c>
    </row>
    <row r="1762" spans="1:6" x14ac:dyDescent="0.25">
      <c r="A1762" s="47" t="s">
        <v>5927</v>
      </c>
      <c r="B1762" s="47" t="s">
        <v>5928</v>
      </c>
      <c r="C1762" s="47" t="s">
        <v>5929</v>
      </c>
      <c r="D1762" s="47" t="s">
        <v>4830</v>
      </c>
      <c r="E1762" s="64">
        <v>27863.119999999995</v>
      </c>
      <c r="F1762" s="64">
        <v>5.3</v>
      </c>
    </row>
    <row r="1763" spans="1:6" x14ac:dyDescent="0.25">
      <c r="A1763" s="47" t="s">
        <v>5930</v>
      </c>
      <c r="B1763" s="47" t="s">
        <v>5931</v>
      </c>
      <c r="C1763" s="47" t="s">
        <v>5932</v>
      </c>
      <c r="D1763" s="47" t="s">
        <v>687</v>
      </c>
      <c r="E1763" s="64">
        <v>42612.02</v>
      </c>
      <c r="F1763" s="64">
        <v>0.72499999999999998</v>
      </c>
    </row>
    <row r="1764" spans="1:6" x14ac:dyDescent="0.25">
      <c r="A1764" s="47" t="s">
        <v>5933</v>
      </c>
      <c r="B1764" s="47" t="s">
        <v>5934</v>
      </c>
      <c r="C1764" s="47" t="s">
        <v>5935</v>
      </c>
      <c r="D1764" s="47" t="s">
        <v>687</v>
      </c>
      <c r="E1764" s="64">
        <v>42828.240000000005</v>
      </c>
      <c r="F1764" s="64">
        <v>1.63</v>
      </c>
    </row>
    <row r="1765" spans="1:6" x14ac:dyDescent="0.25">
      <c r="A1765" s="47" t="s">
        <v>5936</v>
      </c>
      <c r="B1765" s="47" t="s">
        <v>5937</v>
      </c>
      <c r="C1765" s="47" t="s">
        <v>5938</v>
      </c>
      <c r="D1765" s="47" t="s">
        <v>687</v>
      </c>
      <c r="E1765" s="64">
        <v>42828.240000000005</v>
      </c>
      <c r="F1765" s="64">
        <v>3.1</v>
      </c>
    </row>
    <row r="1766" spans="1:6" x14ac:dyDescent="0.25">
      <c r="A1766" s="47" t="s">
        <v>5939</v>
      </c>
      <c r="B1766" s="47" t="s">
        <v>5940</v>
      </c>
      <c r="C1766" s="47" t="s">
        <v>5941</v>
      </c>
      <c r="D1766" s="47" t="s">
        <v>687</v>
      </c>
      <c r="E1766" s="64">
        <v>42828.240000000005</v>
      </c>
      <c r="F1766" s="64">
        <v>0.35599999999999998</v>
      </c>
    </row>
    <row r="1767" spans="1:6" x14ac:dyDescent="0.25">
      <c r="A1767" s="47" t="s">
        <v>5942</v>
      </c>
      <c r="B1767" s="47" t="s">
        <v>5943</v>
      </c>
      <c r="C1767" s="47" t="s">
        <v>5944</v>
      </c>
      <c r="D1767" s="47" t="s">
        <v>4886</v>
      </c>
      <c r="E1767" s="64">
        <v>25559.58</v>
      </c>
      <c r="F1767" s="64">
        <v>99.3</v>
      </c>
    </row>
    <row r="1768" spans="1:6" x14ac:dyDescent="0.25">
      <c r="A1768" s="47" t="s">
        <v>5945</v>
      </c>
      <c r="B1768" s="47" t="s">
        <v>5946</v>
      </c>
      <c r="C1768" s="47" t="s">
        <v>5947</v>
      </c>
      <c r="D1768" s="47" t="s">
        <v>4886</v>
      </c>
      <c r="E1768" s="64">
        <v>25559.58</v>
      </c>
      <c r="F1768" s="64">
        <v>99.3</v>
      </c>
    </row>
    <row r="1769" spans="1:6" x14ac:dyDescent="0.25">
      <c r="A1769" s="47" t="s">
        <v>5948</v>
      </c>
      <c r="B1769" s="47" t="s">
        <v>5949</v>
      </c>
      <c r="C1769" s="47" t="s">
        <v>5950</v>
      </c>
      <c r="D1769" s="47" t="s">
        <v>5333</v>
      </c>
      <c r="E1769" s="64">
        <v>18000.449999999997</v>
      </c>
      <c r="F1769" s="64">
        <v>368.48649999999998</v>
      </c>
    </row>
    <row r="1770" spans="1:6" x14ac:dyDescent="0.25">
      <c r="A1770" s="47" t="s">
        <v>5951</v>
      </c>
      <c r="B1770" s="47" t="s">
        <v>5952</v>
      </c>
      <c r="C1770" s="47" t="s">
        <v>5953</v>
      </c>
      <c r="D1770" s="47" t="s">
        <v>5333</v>
      </c>
      <c r="E1770" s="64">
        <v>18000.449999999997</v>
      </c>
      <c r="F1770" s="64">
        <v>368.48649999999998</v>
      </c>
    </row>
    <row r="1771" spans="1:6" x14ac:dyDescent="0.25">
      <c r="A1771" s="47" t="s">
        <v>5954</v>
      </c>
      <c r="B1771" s="47" t="s">
        <v>5955</v>
      </c>
      <c r="C1771" s="47" t="s">
        <v>5956</v>
      </c>
      <c r="D1771" s="47" t="s">
        <v>5333</v>
      </c>
      <c r="E1771" s="64">
        <v>18000.449999999997</v>
      </c>
      <c r="F1771" s="64">
        <v>368.48649999999998</v>
      </c>
    </row>
    <row r="1772" spans="1:6" x14ac:dyDescent="0.25">
      <c r="A1772" s="47" t="s">
        <v>5957</v>
      </c>
      <c r="B1772" s="47" t="s">
        <v>5958</v>
      </c>
      <c r="C1772" s="47" t="s">
        <v>5959</v>
      </c>
      <c r="D1772" s="47" t="s">
        <v>5333</v>
      </c>
      <c r="E1772" s="64">
        <v>18000.449999999997</v>
      </c>
      <c r="F1772" s="64">
        <v>368.48649999999998</v>
      </c>
    </row>
    <row r="1773" spans="1:6" x14ac:dyDescent="0.25">
      <c r="A1773" s="47" t="s">
        <v>5960</v>
      </c>
      <c r="B1773" s="47" t="s">
        <v>5961</v>
      </c>
      <c r="C1773" s="47" t="s">
        <v>5962</v>
      </c>
      <c r="D1773" s="47" t="s">
        <v>5349</v>
      </c>
      <c r="E1773" s="64">
        <v>27452.38</v>
      </c>
      <c r="F1773" s="64">
        <v>46.809013666666665</v>
      </c>
    </row>
    <row r="1774" spans="1:6" x14ac:dyDescent="0.25">
      <c r="A1774" s="47" t="s">
        <v>5963</v>
      </c>
      <c r="B1774" s="47" t="s">
        <v>5964</v>
      </c>
      <c r="C1774" s="47" t="s">
        <v>5965</v>
      </c>
      <c r="D1774" s="47" t="s">
        <v>5349</v>
      </c>
      <c r="E1774" s="64">
        <v>27452.38</v>
      </c>
      <c r="F1774" s="64">
        <v>46.809013666666665</v>
      </c>
    </row>
    <row r="1775" spans="1:6" x14ac:dyDescent="0.25">
      <c r="A1775" s="47" t="s">
        <v>5966</v>
      </c>
      <c r="B1775" s="47" t="s">
        <v>5967</v>
      </c>
      <c r="C1775" s="47" t="s">
        <v>5968</v>
      </c>
      <c r="D1775" s="47" t="s">
        <v>5349</v>
      </c>
      <c r="E1775" s="64">
        <v>27452.38</v>
      </c>
      <c r="F1775" s="64">
        <v>46.809013666666665</v>
      </c>
    </row>
    <row r="1776" spans="1:6" x14ac:dyDescent="0.25">
      <c r="A1776" s="47" t="s">
        <v>5969</v>
      </c>
      <c r="B1776" s="47" t="s">
        <v>5970</v>
      </c>
      <c r="C1776" s="47" t="s">
        <v>5971</v>
      </c>
      <c r="D1776" s="47" t="s">
        <v>4837</v>
      </c>
      <c r="E1776" s="64">
        <v>31453.040000000001</v>
      </c>
      <c r="F1776" s="64">
        <v>8.92</v>
      </c>
    </row>
    <row r="1777" spans="1:6" x14ac:dyDescent="0.25">
      <c r="A1777" s="47" t="s">
        <v>5972</v>
      </c>
      <c r="B1777" s="47" t="s">
        <v>5973</v>
      </c>
      <c r="C1777" s="47" t="s">
        <v>5974</v>
      </c>
      <c r="D1777" s="47" t="s">
        <v>4830</v>
      </c>
      <c r="E1777" s="64">
        <v>27863.119999999995</v>
      </c>
      <c r="F1777" s="64">
        <v>5.3</v>
      </c>
    </row>
    <row r="1778" spans="1:6" x14ac:dyDescent="0.25">
      <c r="A1778" s="47" t="s">
        <v>5975</v>
      </c>
      <c r="B1778" s="47" t="s">
        <v>5976</v>
      </c>
      <c r="C1778" s="47" t="s">
        <v>5977</v>
      </c>
      <c r="D1778" s="47" t="s">
        <v>4830</v>
      </c>
      <c r="E1778" s="64">
        <v>27863.119999999995</v>
      </c>
      <c r="F1778" s="64">
        <v>5.3</v>
      </c>
    </row>
    <row r="1779" spans="1:6" x14ac:dyDescent="0.25">
      <c r="A1779" s="47" t="s">
        <v>5978</v>
      </c>
      <c r="B1779" s="47" t="s">
        <v>5979</v>
      </c>
      <c r="C1779" s="47" t="s">
        <v>5980</v>
      </c>
      <c r="D1779" s="47" t="s">
        <v>5981</v>
      </c>
      <c r="E1779" s="64">
        <v>30135.750000000007</v>
      </c>
      <c r="F1779" s="64">
        <v>0.5</v>
      </c>
    </row>
    <row r="1780" spans="1:6" x14ac:dyDescent="0.25">
      <c r="A1780" s="47" t="s">
        <v>5982</v>
      </c>
      <c r="B1780" s="47" t="s">
        <v>5983</v>
      </c>
      <c r="C1780" s="47" t="s">
        <v>5984</v>
      </c>
      <c r="D1780" s="47" t="s">
        <v>5981</v>
      </c>
      <c r="E1780" s="64">
        <v>30135.750000000007</v>
      </c>
      <c r="F1780" s="64">
        <v>0.5</v>
      </c>
    </row>
    <row r="1781" spans="1:6" x14ac:dyDescent="0.25">
      <c r="A1781" s="47" t="s">
        <v>5985</v>
      </c>
      <c r="B1781" s="47" t="s">
        <v>5986</v>
      </c>
      <c r="C1781" s="47" t="s">
        <v>5987</v>
      </c>
      <c r="D1781" s="47" t="s">
        <v>5626</v>
      </c>
      <c r="E1781" s="64">
        <v>45289.296249999992</v>
      </c>
      <c r="F1781" s="64">
        <v>291.62042857142859</v>
      </c>
    </row>
    <row r="1782" spans="1:6" x14ac:dyDescent="0.25">
      <c r="A1782" s="47" t="s">
        <v>5988</v>
      </c>
      <c r="B1782" s="47" t="s">
        <v>5989</v>
      </c>
      <c r="C1782" s="47" t="s">
        <v>5990</v>
      </c>
      <c r="D1782" s="47" t="s">
        <v>5626</v>
      </c>
      <c r="E1782" s="64">
        <v>45289.296249999992</v>
      </c>
      <c r="F1782" s="64">
        <v>291.62042857142859</v>
      </c>
    </row>
    <row r="1783" spans="1:6" x14ac:dyDescent="0.25">
      <c r="A1783" s="47" t="s">
        <v>5991</v>
      </c>
      <c r="B1783" s="47" t="s">
        <v>5992</v>
      </c>
      <c r="C1783" s="47" t="s">
        <v>5993</v>
      </c>
      <c r="D1783" s="47" t="s">
        <v>4830</v>
      </c>
      <c r="E1783" s="64">
        <v>27863.119999999995</v>
      </c>
      <c r="F1783" s="64">
        <v>5.3</v>
      </c>
    </row>
    <row r="1784" spans="1:6" x14ac:dyDescent="0.25">
      <c r="A1784" s="47" t="s">
        <v>5994</v>
      </c>
      <c r="B1784" s="47" t="s">
        <v>5995</v>
      </c>
      <c r="C1784" s="47" t="s">
        <v>5996</v>
      </c>
      <c r="D1784" s="47" t="s">
        <v>4830</v>
      </c>
      <c r="E1784" s="64">
        <v>27863.119999999995</v>
      </c>
      <c r="F1784" s="64">
        <v>5.3</v>
      </c>
    </row>
    <row r="1785" spans="1:6" x14ac:dyDescent="0.25">
      <c r="A1785" s="47" t="s">
        <v>5997</v>
      </c>
      <c r="B1785" s="47" t="s">
        <v>5998</v>
      </c>
      <c r="C1785" s="47" t="s">
        <v>5999</v>
      </c>
      <c r="D1785" s="47" t="s">
        <v>2303</v>
      </c>
      <c r="E1785" s="64">
        <v>64458.75</v>
      </c>
      <c r="F1785" s="64">
        <v>95.19583333333334</v>
      </c>
    </row>
    <row r="1786" spans="1:6" x14ac:dyDescent="0.25">
      <c r="A1786" s="47" t="s">
        <v>6000</v>
      </c>
      <c r="B1786" s="47" t="s">
        <v>6001</v>
      </c>
      <c r="C1786" s="47" t="s">
        <v>6002</v>
      </c>
      <c r="D1786" s="47" t="s">
        <v>408</v>
      </c>
      <c r="E1786" s="64">
        <v>18212.13</v>
      </c>
      <c r="F1786" s="64">
        <v>38.493250000000003</v>
      </c>
    </row>
    <row r="1787" spans="1:6" x14ac:dyDescent="0.25">
      <c r="A1787" s="47" t="s">
        <v>6003</v>
      </c>
      <c r="B1787" s="47" t="s">
        <v>6004</v>
      </c>
      <c r="C1787" s="47" t="s">
        <v>6005</v>
      </c>
      <c r="D1787" s="47" t="s">
        <v>687</v>
      </c>
      <c r="E1787" s="64">
        <v>42828.240000000005</v>
      </c>
      <c r="F1787" s="64">
        <v>0.72499999999999998</v>
      </c>
    </row>
    <row r="1788" spans="1:6" x14ac:dyDescent="0.25">
      <c r="A1788" s="47" t="s">
        <v>6006</v>
      </c>
      <c r="B1788" s="47" t="s">
        <v>6007</v>
      </c>
      <c r="C1788" s="47" t="s">
        <v>6008</v>
      </c>
      <c r="D1788" s="47" t="s">
        <v>5333</v>
      </c>
      <c r="E1788" s="64">
        <v>18000.449999999997</v>
      </c>
      <c r="F1788" s="64">
        <v>368.48649999999998</v>
      </c>
    </row>
    <row r="1789" spans="1:6" x14ac:dyDescent="0.25">
      <c r="A1789" s="47" t="s">
        <v>6009</v>
      </c>
      <c r="B1789" s="47" t="s">
        <v>6010</v>
      </c>
      <c r="C1789" s="47" t="s">
        <v>6011</v>
      </c>
      <c r="D1789" s="47" t="s">
        <v>4847</v>
      </c>
      <c r="E1789" s="64">
        <v>28449.919999999998</v>
      </c>
      <c r="F1789" s="64">
        <v>90.131772727272732</v>
      </c>
    </row>
    <row r="1790" spans="1:6" x14ac:dyDescent="0.25">
      <c r="A1790" s="47" t="s">
        <v>6012</v>
      </c>
      <c r="B1790" s="47" t="s">
        <v>6013</v>
      </c>
      <c r="C1790" s="47" t="s">
        <v>6014</v>
      </c>
      <c r="D1790" s="47" t="s">
        <v>4855</v>
      </c>
      <c r="E1790" s="64">
        <v>52800.22</v>
      </c>
      <c r="F1790" s="64">
        <v>1</v>
      </c>
    </row>
    <row r="1791" spans="1:6" x14ac:dyDescent="0.25">
      <c r="A1791" s="47" t="s">
        <v>6015</v>
      </c>
      <c r="B1791" s="47" t="s">
        <v>6016</v>
      </c>
      <c r="C1791" s="47" t="s">
        <v>6017</v>
      </c>
      <c r="D1791" s="47" t="s">
        <v>5369</v>
      </c>
      <c r="E1791" s="64">
        <v>35933.300000000003</v>
      </c>
      <c r="F1791" s="64">
        <v>75.042000000000002</v>
      </c>
    </row>
    <row r="1792" spans="1:6" x14ac:dyDescent="0.25">
      <c r="A1792" s="47" t="s">
        <v>6018</v>
      </c>
      <c r="B1792" s="47" t="s">
        <v>6019</v>
      </c>
      <c r="C1792" s="47" t="s">
        <v>6020</v>
      </c>
      <c r="D1792" s="47" t="s">
        <v>5106</v>
      </c>
      <c r="E1792" s="64">
        <v>29020.54</v>
      </c>
      <c r="F1792" s="64">
        <v>152</v>
      </c>
    </row>
    <row r="1793" spans="1:6" x14ac:dyDescent="0.25">
      <c r="A1793" s="47" t="s">
        <v>6021</v>
      </c>
      <c r="B1793" s="47" t="s">
        <v>6022</v>
      </c>
      <c r="C1793" s="47" t="s">
        <v>6023</v>
      </c>
      <c r="D1793" s="47" t="s">
        <v>5198</v>
      </c>
      <c r="E1793" s="64">
        <v>36811.08285714285</v>
      </c>
      <c r="F1793" s="64">
        <v>1.41</v>
      </c>
    </row>
    <row r="1794" spans="1:6" x14ac:dyDescent="0.25">
      <c r="A1794" s="47" t="s">
        <v>6024</v>
      </c>
      <c r="B1794" s="47" t="s">
        <v>6025</v>
      </c>
      <c r="C1794" s="47" t="s">
        <v>6026</v>
      </c>
      <c r="D1794" s="47" t="s">
        <v>5198</v>
      </c>
      <c r="E1794" s="64">
        <v>36811.08285714285</v>
      </c>
      <c r="F1794" s="64">
        <v>1.41</v>
      </c>
    </row>
    <row r="1795" spans="1:6" x14ac:dyDescent="0.25">
      <c r="A1795" s="47" t="s">
        <v>6027</v>
      </c>
      <c r="B1795" s="47" t="s">
        <v>6028</v>
      </c>
      <c r="C1795" s="47" t="s">
        <v>6029</v>
      </c>
      <c r="D1795" s="47" t="s">
        <v>5369</v>
      </c>
      <c r="E1795" s="64">
        <v>35933.300000000003</v>
      </c>
      <c r="F1795" s="64">
        <v>75.042000000000002</v>
      </c>
    </row>
    <row r="1796" spans="1:6" x14ac:dyDescent="0.25">
      <c r="A1796" s="47" t="s">
        <v>6030</v>
      </c>
      <c r="B1796" s="47" t="s">
        <v>6031</v>
      </c>
      <c r="C1796" s="47" t="s">
        <v>6032</v>
      </c>
      <c r="D1796" s="47" t="s">
        <v>5356</v>
      </c>
      <c r="E1796" s="64">
        <v>13244.38</v>
      </c>
      <c r="F1796" s="64">
        <v>10.403333333333334</v>
      </c>
    </row>
    <row r="1797" spans="1:6" x14ac:dyDescent="0.25">
      <c r="A1797" s="47" t="s">
        <v>6033</v>
      </c>
      <c r="B1797" s="47" t="s">
        <v>6034</v>
      </c>
      <c r="C1797" s="47" t="s">
        <v>6035</v>
      </c>
      <c r="D1797" s="47" t="s">
        <v>5356</v>
      </c>
      <c r="E1797" s="64">
        <v>13244.38</v>
      </c>
      <c r="F1797" s="64">
        <v>10.403333333333334</v>
      </c>
    </row>
    <row r="1798" spans="1:6" x14ac:dyDescent="0.25">
      <c r="A1798" s="47" t="s">
        <v>6036</v>
      </c>
      <c r="B1798" s="47" t="s">
        <v>6037</v>
      </c>
      <c r="C1798" s="47" t="s">
        <v>6038</v>
      </c>
      <c r="D1798" s="47" t="s">
        <v>4753</v>
      </c>
      <c r="E1798" s="64">
        <v>33162.049999999996</v>
      </c>
      <c r="F1798" s="64">
        <v>2.48</v>
      </c>
    </row>
    <row r="1799" spans="1:6" x14ac:dyDescent="0.25">
      <c r="A1799" s="47" t="s">
        <v>6039</v>
      </c>
      <c r="B1799" s="47" t="s">
        <v>6040</v>
      </c>
      <c r="C1799" s="47" t="s">
        <v>6041</v>
      </c>
      <c r="D1799" s="47" t="s">
        <v>4753</v>
      </c>
      <c r="E1799" s="64">
        <v>33162.049999999996</v>
      </c>
      <c r="F1799" s="64">
        <v>2.48</v>
      </c>
    </row>
    <row r="1800" spans="1:6" x14ac:dyDescent="0.25">
      <c r="A1800" s="47" t="s">
        <v>6042</v>
      </c>
      <c r="B1800" s="47" t="s">
        <v>6043</v>
      </c>
      <c r="C1800" s="47" t="s">
        <v>6044</v>
      </c>
      <c r="D1800" s="47" t="s">
        <v>4753</v>
      </c>
      <c r="E1800" s="64">
        <v>33162.049999999996</v>
      </c>
      <c r="F1800" s="64">
        <v>2.48</v>
      </c>
    </row>
    <row r="1801" spans="1:6" x14ac:dyDescent="0.25">
      <c r="A1801" s="47" t="s">
        <v>6045</v>
      </c>
      <c r="B1801" s="47" t="s">
        <v>6046</v>
      </c>
      <c r="C1801" s="47" t="s">
        <v>6047</v>
      </c>
      <c r="D1801" s="47" t="s">
        <v>4682</v>
      </c>
      <c r="E1801" s="64">
        <v>23621.5</v>
      </c>
      <c r="F1801" s="64">
        <v>1016</v>
      </c>
    </row>
    <row r="1802" spans="1:6" x14ac:dyDescent="0.25">
      <c r="A1802" s="47" t="s">
        <v>6048</v>
      </c>
      <c r="B1802" s="47" t="s">
        <v>6049</v>
      </c>
      <c r="C1802" s="47" t="s">
        <v>6050</v>
      </c>
      <c r="D1802" s="47" t="s">
        <v>4682</v>
      </c>
      <c r="E1802" s="64">
        <v>23621.5</v>
      </c>
      <c r="F1802" s="64">
        <v>1016</v>
      </c>
    </row>
    <row r="1803" spans="1:6" x14ac:dyDescent="0.25">
      <c r="A1803" s="47" t="s">
        <v>6051</v>
      </c>
      <c r="B1803" s="47" t="s">
        <v>6052</v>
      </c>
      <c r="C1803" s="47" t="s">
        <v>6053</v>
      </c>
      <c r="D1803" s="47" t="s">
        <v>4682</v>
      </c>
      <c r="E1803" s="64">
        <v>23621.5</v>
      </c>
      <c r="F1803" s="64">
        <v>1016</v>
      </c>
    </row>
    <row r="1804" spans="1:6" x14ac:dyDescent="0.25">
      <c r="A1804" s="47" t="s">
        <v>6054</v>
      </c>
      <c r="B1804" s="47" t="s">
        <v>6055</v>
      </c>
      <c r="C1804" s="47" t="s">
        <v>6056</v>
      </c>
      <c r="D1804" s="47" t="s">
        <v>4682</v>
      </c>
      <c r="E1804" s="64">
        <v>23621.5</v>
      </c>
      <c r="F1804" s="64">
        <v>1016</v>
      </c>
    </row>
    <row r="1805" spans="1:6" x14ac:dyDescent="0.25">
      <c r="A1805" s="47" t="s">
        <v>6057</v>
      </c>
      <c r="B1805" s="47" t="s">
        <v>6058</v>
      </c>
      <c r="C1805" s="47" t="s">
        <v>6059</v>
      </c>
      <c r="D1805" s="47" t="s">
        <v>4886</v>
      </c>
      <c r="E1805" s="64">
        <v>25559.58</v>
      </c>
      <c r="F1805" s="64">
        <v>99.3</v>
      </c>
    </row>
    <row r="1806" spans="1:6" x14ac:dyDescent="0.25">
      <c r="A1806" s="47" t="s">
        <v>6060</v>
      </c>
      <c r="B1806" s="47" t="s">
        <v>6061</v>
      </c>
      <c r="C1806" s="47" t="s">
        <v>6062</v>
      </c>
      <c r="D1806" s="47" t="s">
        <v>5299</v>
      </c>
      <c r="E1806" s="64">
        <v>99999.93</v>
      </c>
      <c r="F1806" s="64">
        <v>166.8</v>
      </c>
    </row>
    <row r="1807" spans="1:6" x14ac:dyDescent="0.25">
      <c r="A1807" s="47" t="s">
        <v>6063</v>
      </c>
      <c r="B1807" s="47" t="s">
        <v>6064</v>
      </c>
      <c r="C1807" s="47" t="s">
        <v>6065</v>
      </c>
      <c r="D1807" s="47" t="s">
        <v>4851</v>
      </c>
      <c r="E1807" s="64">
        <v>20700.12</v>
      </c>
      <c r="F1807" s="64">
        <v>1</v>
      </c>
    </row>
    <row r="1808" spans="1:6" x14ac:dyDescent="0.25">
      <c r="A1808" s="47" t="s">
        <v>6066</v>
      </c>
      <c r="B1808" s="47" t="s">
        <v>6067</v>
      </c>
      <c r="C1808" s="47" t="s">
        <v>6068</v>
      </c>
      <c r="D1808" s="47" t="s">
        <v>5901</v>
      </c>
      <c r="E1808" s="64">
        <v>89269.73</v>
      </c>
      <c r="F1808" s="64">
        <v>1.4038499999999998</v>
      </c>
    </row>
    <row r="1809" spans="1:6" x14ac:dyDescent="0.25">
      <c r="A1809" s="47" t="s">
        <v>6069</v>
      </c>
      <c r="B1809" s="47" t="s">
        <v>6070</v>
      </c>
      <c r="C1809" s="47" t="s">
        <v>6071</v>
      </c>
      <c r="D1809" s="47"/>
      <c r="E1809" s="64">
        <v>39959.482499999998</v>
      </c>
      <c r="F1809" s="64">
        <v>100000000</v>
      </c>
    </row>
    <row r="1810" spans="1:6" x14ac:dyDescent="0.25">
      <c r="A1810" s="47" t="s">
        <v>6072</v>
      </c>
      <c r="B1810" s="47" t="s">
        <v>6073</v>
      </c>
      <c r="C1810" s="47" t="s">
        <v>6074</v>
      </c>
      <c r="D1810" s="47"/>
      <c r="E1810" s="64">
        <v>127954.93999999999</v>
      </c>
      <c r="F1810" s="64">
        <v>22</v>
      </c>
    </row>
    <row r="1811" spans="1:6" x14ac:dyDescent="0.25">
      <c r="A1811" s="47" t="s">
        <v>6075</v>
      </c>
      <c r="B1811" s="47" t="s">
        <v>6076</v>
      </c>
      <c r="C1811" s="47" t="s">
        <v>6077</v>
      </c>
      <c r="D1811" s="47" t="s">
        <v>6078</v>
      </c>
      <c r="E1811" s="64">
        <v>76918.2</v>
      </c>
      <c r="F1811" s="64">
        <v>1.1000000000000001</v>
      </c>
    </row>
    <row r="1812" spans="1:6" x14ac:dyDescent="0.25">
      <c r="A1812" s="47" t="s">
        <v>6079</v>
      </c>
      <c r="B1812" s="47" t="s">
        <v>6080</v>
      </c>
      <c r="C1812" s="47" t="s">
        <v>6081</v>
      </c>
      <c r="D1812" s="47" t="s">
        <v>6082</v>
      </c>
      <c r="E1812" s="64">
        <v>89221.91</v>
      </c>
      <c r="F1812" s="64">
        <v>2.3825000000000003</v>
      </c>
    </row>
    <row r="1813" spans="1:6" x14ac:dyDescent="0.25">
      <c r="A1813" s="47" t="s">
        <v>6083</v>
      </c>
      <c r="B1813" s="47" t="s">
        <v>6084</v>
      </c>
      <c r="C1813" s="47" t="s">
        <v>6085</v>
      </c>
      <c r="D1813" s="47" t="s">
        <v>6082</v>
      </c>
      <c r="E1813" s="64">
        <v>89221.91</v>
      </c>
      <c r="F1813" s="64">
        <v>5.13</v>
      </c>
    </row>
    <row r="1814" spans="1:6" x14ac:dyDescent="0.25">
      <c r="A1814" s="47" t="s">
        <v>6086</v>
      </c>
      <c r="B1814" s="47" t="s">
        <v>6087</v>
      </c>
      <c r="C1814" s="47" t="s">
        <v>6088</v>
      </c>
      <c r="D1814" s="47" t="s">
        <v>6089</v>
      </c>
      <c r="E1814" s="64">
        <v>89221.91</v>
      </c>
      <c r="F1814" s="64">
        <v>9.17</v>
      </c>
    </row>
    <row r="1815" spans="1:6" x14ac:dyDescent="0.25">
      <c r="A1815" s="47" t="s">
        <v>6090</v>
      </c>
      <c r="B1815" s="47" t="s">
        <v>6091</v>
      </c>
      <c r="C1815" s="47" t="s">
        <v>6092</v>
      </c>
      <c r="D1815" s="47" t="s">
        <v>6082</v>
      </c>
      <c r="E1815" s="64">
        <v>89221.91</v>
      </c>
      <c r="F1815" s="64">
        <v>9.625</v>
      </c>
    </row>
    <row r="1816" spans="1:6" x14ac:dyDescent="0.25">
      <c r="A1816" s="47" t="s">
        <v>6093</v>
      </c>
      <c r="B1816" s="47" t="s">
        <v>6094</v>
      </c>
      <c r="C1816" s="47" t="s">
        <v>6095</v>
      </c>
      <c r="D1816" s="47" t="s">
        <v>6096</v>
      </c>
      <c r="E1816" s="64">
        <v>89221.91</v>
      </c>
      <c r="F1816" s="64">
        <v>4700</v>
      </c>
    </row>
    <row r="1817" spans="1:6" x14ac:dyDescent="0.25">
      <c r="A1817" s="47" t="s">
        <v>6097</v>
      </c>
      <c r="B1817" s="47" t="s">
        <v>6098</v>
      </c>
      <c r="C1817" s="47" t="s">
        <v>6099</v>
      </c>
      <c r="D1817" s="47" t="s">
        <v>6096</v>
      </c>
      <c r="E1817" s="64">
        <v>89221.91</v>
      </c>
      <c r="F1817" s="64">
        <v>782.86222222222204</v>
      </c>
    </row>
    <row r="1818" spans="1:6" x14ac:dyDescent="0.25">
      <c r="A1818" s="47" t="s">
        <v>6100</v>
      </c>
      <c r="B1818" s="47" t="s">
        <v>6101</v>
      </c>
      <c r="C1818" s="47" t="s">
        <v>6102</v>
      </c>
      <c r="D1818" s="47" t="s">
        <v>6089</v>
      </c>
      <c r="E1818" s="64">
        <v>89221.91</v>
      </c>
      <c r="F1818" s="64">
        <v>5.5566666666666675</v>
      </c>
    </row>
    <row r="1819" spans="1:6" x14ac:dyDescent="0.25">
      <c r="A1819" s="47" t="s">
        <v>6103</v>
      </c>
      <c r="B1819" s="47" t="s">
        <v>6104</v>
      </c>
      <c r="C1819" s="47" t="s">
        <v>6105</v>
      </c>
      <c r="D1819" s="47" t="s">
        <v>6106</v>
      </c>
      <c r="E1819" s="64">
        <v>540182.86</v>
      </c>
      <c r="F1819" s="64">
        <v>767.5</v>
      </c>
    </row>
    <row r="1820" spans="1:6" x14ac:dyDescent="0.25">
      <c r="A1820" s="47" t="s">
        <v>6107</v>
      </c>
      <c r="B1820" s="47" t="s">
        <v>6108</v>
      </c>
      <c r="C1820" s="47" t="s">
        <v>6109</v>
      </c>
      <c r="D1820" s="47" t="s">
        <v>6106</v>
      </c>
      <c r="E1820" s="64">
        <v>540182.86</v>
      </c>
      <c r="F1820" s="64">
        <v>767.5</v>
      </c>
    </row>
    <row r="1821" spans="1:6" x14ac:dyDescent="0.25">
      <c r="A1821" s="47" t="s">
        <v>6110</v>
      </c>
      <c r="B1821" s="47" t="s">
        <v>6111</v>
      </c>
      <c r="C1821" s="47" t="s">
        <v>6112</v>
      </c>
      <c r="D1821" s="47"/>
      <c r="E1821" s="64">
        <v>53862.034999999996</v>
      </c>
      <c r="F1821" s="64">
        <v>22</v>
      </c>
    </row>
    <row r="1822" spans="1:6" x14ac:dyDescent="0.25">
      <c r="A1822" s="47" t="s">
        <v>6113</v>
      </c>
      <c r="B1822" s="47" t="s">
        <v>6114</v>
      </c>
      <c r="C1822" s="47" t="s">
        <v>6115</v>
      </c>
      <c r="D1822" s="47"/>
      <c r="E1822" s="64">
        <v>51658.23</v>
      </c>
      <c r="F1822" s="64">
        <v>22</v>
      </c>
    </row>
    <row r="1823" spans="1:6" x14ac:dyDescent="0.25">
      <c r="A1823" s="47" t="s">
        <v>6116</v>
      </c>
      <c r="B1823" s="47" t="s">
        <v>6117</v>
      </c>
      <c r="C1823" s="47" t="s">
        <v>6118</v>
      </c>
      <c r="D1823" s="47"/>
      <c r="E1823" s="64">
        <v>51661.539999999994</v>
      </c>
      <c r="F1823" s="64">
        <v>22</v>
      </c>
    </row>
    <row r="1824" spans="1:6" x14ac:dyDescent="0.25">
      <c r="A1824" s="47" t="s">
        <v>6119</v>
      </c>
      <c r="B1824" s="47" t="s">
        <v>6120</v>
      </c>
      <c r="C1824" s="47" t="s">
        <v>6121</v>
      </c>
      <c r="D1824" s="47"/>
      <c r="E1824" s="64">
        <v>27757.269999999997</v>
      </c>
      <c r="F1824" s="64">
        <v>22</v>
      </c>
    </row>
    <row r="1825" spans="1:6" x14ac:dyDescent="0.25">
      <c r="A1825" s="47" t="s">
        <v>6122</v>
      </c>
      <c r="B1825" s="47" t="s">
        <v>6123</v>
      </c>
      <c r="C1825" s="47" t="s">
        <v>6124</v>
      </c>
      <c r="D1825" s="47" t="s">
        <v>6125</v>
      </c>
      <c r="E1825" s="64">
        <v>58557.359999999993</v>
      </c>
      <c r="F1825" s="64">
        <v>11.589499999999999</v>
      </c>
    </row>
    <row r="1826" spans="1:6" x14ac:dyDescent="0.25">
      <c r="A1826" s="47" t="s">
        <v>6126</v>
      </c>
      <c r="B1826" s="47" t="s">
        <v>6127</v>
      </c>
      <c r="C1826" s="47" t="s">
        <v>6128</v>
      </c>
      <c r="D1826" s="47" t="s">
        <v>1079</v>
      </c>
      <c r="E1826" s="64">
        <v>52534.630000000005</v>
      </c>
      <c r="F1826" s="64">
        <v>170</v>
      </c>
    </row>
    <row r="1827" spans="1:6" x14ac:dyDescent="0.25">
      <c r="A1827" s="47" t="s">
        <v>6129</v>
      </c>
      <c r="B1827" s="47" t="s">
        <v>6130</v>
      </c>
      <c r="C1827" s="47" t="s">
        <v>6131</v>
      </c>
      <c r="D1827" s="47" t="s">
        <v>408</v>
      </c>
      <c r="E1827" s="64">
        <v>21748.01</v>
      </c>
      <c r="F1827" s="64">
        <v>151</v>
      </c>
    </row>
    <row r="1828" spans="1:6" x14ac:dyDescent="0.25">
      <c r="A1828" s="47" t="s">
        <v>6132</v>
      </c>
      <c r="B1828" s="47" t="s">
        <v>6133</v>
      </c>
      <c r="C1828" s="47" t="s">
        <v>6134</v>
      </c>
      <c r="D1828" s="47" t="s">
        <v>6135</v>
      </c>
      <c r="E1828" s="64">
        <v>28072.3</v>
      </c>
      <c r="F1828" s="64">
        <v>5.2468399999999998E-2</v>
      </c>
    </row>
    <row r="1829" spans="1:6" x14ac:dyDescent="0.25">
      <c r="A1829" s="47" t="s">
        <v>6136</v>
      </c>
      <c r="B1829" s="47" t="s">
        <v>6137</v>
      </c>
      <c r="C1829" s="47" t="s">
        <v>6138</v>
      </c>
      <c r="D1829" s="47" t="s">
        <v>6139</v>
      </c>
      <c r="E1829" s="64">
        <v>22960.350000000002</v>
      </c>
      <c r="F1829" s="64">
        <v>4.0000000000000001E-3</v>
      </c>
    </row>
    <row r="1830" spans="1:6" x14ac:dyDescent="0.25">
      <c r="A1830" s="47" t="s">
        <v>6140</v>
      </c>
      <c r="B1830" s="47" t="s">
        <v>6137</v>
      </c>
      <c r="C1830" s="47" t="s">
        <v>6141</v>
      </c>
      <c r="D1830" s="47" t="s">
        <v>6139</v>
      </c>
      <c r="E1830" s="64">
        <v>22960.350000000002</v>
      </c>
      <c r="F1830" s="64">
        <v>4.0000000000000001E-3</v>
      </c>
    </row>
    <row r="1831" spans="1:6" x14ac:dyDescent="0.25">
      <c r="A1831" s="47" t="s">
        <v>6142</v>
      </c>
      <c r="B1831" s="47" t="s">
        <v>6137</v>
      </c>
      <c r="C1831" s="47" t="s">
        <v>6143</v>
      </c>
      <c r="D1831" s="47" t="s">
        <v>6139</v>
      </c>
      <c r="E1831" s="64">
        <v>22960.350000000002</v>
      </c>
      <c r="F1831" s="64">
        <v>4.0000000000000001E-3</v>
      </c>
    </row>
    <row r="1832" spans="1:6" x14ac:dyDescent="0.25">
      <c r="A1832" s="47" t="s">
        <v>6144</v>
      </c>
      <c r="B1832" s="47" t="s">
        <v>6137</v>
      </c>
      <c r="C1832" s="47" t="s">
        <v>6145</v>
      </c>
      <c r="D1832" s="47" t="s">
        <v>6139</v>
      </c>
      <c r="E1832" s="64">
        <v>22960.350000000002</v>
      </c>
      <c r="F1832" s="64">
        <v>4.0000000000000001E-3</v>
      </c>
    </row>
    <row r="1833" spans="1:6" x14ac:dyDescent="0.25">
      <c r="A1833" s="47" t="s">
        <v>6146</v>
      </c>
      <c r="B1833" s="47" t="s">
        <v>6147</v>
      </c>
      <c r="C1833" s="47" t="s">
        <v>6148</v>
      </c>
      <c r="D1833" s="47" t="s">
        <v>6125</v>
      </c>
      <c r="E1833" s="64">
        <v>58557.359999999993</v>
      </c>
      <c r="F1833" s="64">
        <v>11.589499999999999</v>
      </c>
    </row>
    <row r="1834" spans="1:6" x14ac:dyDescent="0.25">
      <c r="A1834" s="47" t="s">
        <v>6149</v>
      </c>
      <c r="B1834" s="47" t="s">
        <v>6150</v>
      </c>
      <c r="C1834" s="47" t="s">
        <v>6151</v>
      </c>
      <c r="D1834" s="47" t="s">
        <v>6125</v>
      </c>
      <c r="E1834" s="64">
        <v>58557.359999999993</v>
      </c>
      <c r="F1834" s="64">
        <v>11.589499999999999</v>
      </c>
    </row>
    <row r="1835" spans="1:6" x14ac:dyDescent="0.25">
      <c r="A1835" s="47" t="s">
        <v>6152</v>
      </c>
      <c r="B1835" s="47" t="s">
        <v>6153</v>
      </c>
      <c r="C1835" s="47" t="s">
        <v>6154</v>
      </c>
      <c r="D1835" s="47"/>
      <c r="E1835" s="64">
        <v>64359.839999999997</v>
      </c>
      <c r="F1835" s="64">
        <v>22</v>
      </c>
    </row>
    <row r="1836" spans="1:6" x14ac:dyDescent="0.25">
      <c r="A1836" s="47" t="s">
        <v>6155</v>
      </c>
      <c r="B1836" s="47" t="s">
        <v>6156</v>
      </c>
      <c r="C1836" s="47" t="s">
        <v>6157</v>
      </c>
      <c r="D1836" s="47"/>
      <c r="E1836" s="64">
        <v>51661.539999999994</v>
      </c>
      <c r="F1836" s="64">
        <v>22</v>
      </c>
    </row>
    <row r="1837" spans="1:6" x14ac:dyDescent="0.25">
      <c r="A1837" s="47" t="s">
        <v>6158</v>
      </c>
      <c r="B1837" s="47" t="s">
        <v>6159</v>
      </c>
      <c r="C1837" s="47" t="s">
        <v>6160</v>
      </c>
      <c r="D1837" s="47" t="s">
        <v>3728</v>
      </c>
      <c r="E1837" s="64">
        <v>31167.910000000003</v>
      </c>
      <c r="F1837" s="64">
        <v>9201.8125</v>
      </c>
    </row>
    <row r="1838" spans="1:6" x14ac:dyDescent="0.25">
      <c r="A1838" s="47" t="s">
        <v>6161</v>
      </c>
      <c r="B1838" s="47" t="s">
        <v>6162</v>
      </c>
      <c r="C1838" s="47" t="s">
        <v>6163</v>
      </c>
      <c r="D1838" s="47"/>
      <c r="E1838" s="64">
        <v>47575.29</v>
      </c>
      <c r="F1838" s="64">
        <v>22</v>
      </c>
    </row>
    <row r="1839" spans="1:6" x14ac:dyDescent="0.25">
      <c r="A1839" s="47" t="s">
        <v>6164</v>
      </c>
      <c r="B1839" s="47" t="s">
        <v>6165</v>
      </c>
      <c r="C1839" s="47" t="s">
        <v>6166</v>
      </c>
      <c r="D1839" s="47"/>
      <c r="E1839" s="64">
        <v>39959.482499999998</v>
      </c>
      <c r="F1839" s="64">
        <v>100000000</v>
      </c>
    </row>
    <row r="1840" spans="1:6" x14ac:dyDescent="0.25">
      <c r="A1840" s="47" t="s">
        <v>6167</v>
      </c>
      <c r="B1840" s="47" t="s">
        <v>6168</v>
      </c>
      <c r="C1840" s="47" t="s">
        <v>6169</v>
      </c>
      <c r="D1840" s="47"/>
      <c r="E1840" s="64">
        <v>31536.364999999998</v>
      </c>
      <c r="F1840" s="64">
        <v>22</v>
      </c>
    </row>
    <row r="1841" spans="1:6" x14ac:dyDescent="0.25">
      <c r="A1841" s="47" t="s">
        <v>6170</v>
      </c>
      <c r="B1841" s="47" t="s">
        <v>6171</v>
      </c>
      <c r="C1841" s="47" t="s">
        <v>6172</v>
      </c>
      <c r="D1841" s="47" t="s">
        <v>6173</v>
      </c>
      <c r="E1841" s="64">
        <v>60579.479999999989</v>
      </c>
      <c r="F1841" s="64">
        <v>60.7</v>
      </c>
    </row>
    <row r="1842" spans="1:6" x14ac:dyDescent="0.25">
      <c r="A1842" s="47" t="s">
        <v>6174</v>
      </c>
      <c r="B1842" s="47" t="s">
        <v>6175</v>
      </c>
      <c r="C1842" s="47" t="s">
        <v>6176</v>
      </c>
      <c r="D1842" s="47" t="s">
        <v>4682</v>
      </c>
      <c r="E1842" s="64">
        <v>38977.050000000003</v>
      </c>
      <c r="F1842" s="64">
        <v>1016</v>
      </c>
    </row>
    <row r="1843" spans="1:6" x14ac:dyDescent="0.25">
      <c r="A1843" s="47" t="s">
        <v>6177</v>
      </c>
      <c r="B1843" s="47" t="s">
        <v>6178</v>
      </c>
      <c r="C1843" s="47" t="s">
        <v>6179</v>
      </c>
      <c r="D1843" s="47" t="s">
        <v>4682</v>
      </c>
      <c r="E1843" s="64">
        <v>38977.050000000003</v>
      </c>
      <c r="F1843" s="64">
        <v>1016</v>
      </c>
    </row>
    <row r="1844" spans="1:6" x14ac:dyDescent="0.25">
      <c r="A1844" s="47" t="s">
        <v>6180</v>
      </c>
      <c r="B1844" s="47" t="s">
        <v>6181</v>
      </c>
      <c r="C1844" s="47" t="s">
        <v>6182</v>
      </c>
      <c r="D1844" s="47" t="s">
        <v>4682</v>
      </c>
      <c r="E1844" s="64">
        <v>38977.050000000003</v>
      </c>
      <c r="F1844" s="64">
        <v>1016</v>
      </c>
    </row>
    <row r="1845" spans="1:6" x14ac:dyDescent="0.25">
      <c r="A1845" s="47" t="s">
        <v>6183</v>
      </c>
      <c r="B1845" s="47" t="s">
        <v>6184</v>
      </c>
      <c r="C1845" s="47" t="s">
        <v>6185</v>
      </c>
      <c r="D1845" s="47" t="s">
        <v>4682</v>
      </c>
      <c r="E1845" s="64">
        <v>38977.050000000003</v>
      </c>
      <c r="F1845" s="64">
        <v>1016</v>
      </c>
    </row>
    <row r="1846" spans="1:6" x14ac:dyDescent="0.25">
      <c r="A1846" s="47" t="s">
        <v>6186</v>
      </c>
      <c r="B1846" s="47" t="s">
        <v>6187</v>
      </c>
      <c r="C1846" s="47" t="s">
        <v>6188</v>
      </c>
      <c r="D1846" s="47" t="s">
        <v>4682</v>
      </c>
      <c r="E1846" s="64">
        <v>38977.050000000003</v>
      </c>
      <c r="F1846" s="64">
        <v>1016</v>
      </c>
    </row>
    <row r="1847" spans="1:6" x14ac:dyDescent="0.25">
      <c r="A1847" s="47" t="s">
        <v>6189</v>
      </c>
      <c r="B1847" s="47" t="s">
        <v>6190</v>
      </c>
      <c r="C1847" s="47" t="s">
        <v>6191</v>
      </c>
      <c r="D1847" s="47" t="s">
        <v>6192</v>
      </c>
      <c r="E1847" s="64">
        <v>49872.78</v>
      </c>
      <c r="F1847" s="64">
        <v>4.83</v>
      </c>
    </row>
    <row r="1848" spans="1:6" x14ac:dyDescent="0.25">
      <c r="A1848" s="47" t="s">
        <v>6193</v>
      </c>
      <c r="B1848" s="47" t="s">
        <v>6194</v>
      </c>
      <c r="C1848" s="47" t="s">
        <v>6195</v>
      </c>
      <c r="D1848" s="47" t="s">
        <v>6192</v>
      </c>
      <c r="E1848" s="64">
        <v>49872.78</v>
      </c>
      <c r="F1848" s="64">
        <v>4.83</v>
      </c>
    </row>
    <row r="1849" spans="1:6" x14ac:dyDescent="0.25">
      <c r="A1849" s="47" t="s">
        <v>6196</v>
      </c>
      <c r="B1849" s="47" t="s">
        <v>6197</v>
      </c>
      <c r="C1849" s="47" t="s">
        <v>6198</v>
      </c>
      <c r="D1849" s="47" t="s">
        <v>408</v>
      </c>
      <c r="E1849" s="64">
        <v>23901.255000000001</v>
      </c>
      <c r="F1849" s="64">
        <v>90.131772727272732</v>
      </c>
    </row>
    <row r="1850" spans="1:6" x14ac:dyDescent="0.25">
      <c r="A1850" s="47" t="s">
        <v>6199</v>
      </c>
      <c r="B1850" s="47" t="s">
        <v>6200</v>
      </c>
      <c r="C1850" s="47" t="s">
        <v>6201</v>
      </c>
      <c r="D1850" s="47"/>
      <c r="E1850" s="64">
        <v>26484.149999999998</v>
      </c>
      <c r="F1850" s="64">
        <v>22</v>
      </c>
    </row>
    <row r="1851" spans="1:6" x14ac:dyDescent="0.25">
      <c r="A1851" s="47" t="s">
        <v>6202</v>
      </c>
      <c r="B1851" s="47" t="s">
        <v>6203</v>
      </c>
      <c r="C1851" s="47" t="s">
        <v>6204</v>
      </c>
      <c r="D1851" s="47"/>
      <c r="E1851" s="64">
        <v>36588.58</v>
      </c>
      <c r="F1851" s="64">
        <v>22</v>
      </c>
    </row>
    <row r="1852" spans="1:6" x14ac:dyDescent="0.25">
      <c r="A1852" s="47" t="s">
        <v>6205</v>
      </c>
      <c r="B1852" s="47" t="s">
        <v>6206</v>
      </c>
      <c r="C1852" s="47" t="s">
        <v>6207</v>
      </c>
      <c r="D1852" s="47"/>
      <c r="E1852" s="64">
        <v>33801.954999999994</v>
      </c>
      <c r="F1852" s="64">
        <v>22</v>
      </c>
    </row>
    <row r="1853" spans="1:6" x14ac:dyDescent="0.25">
      <c r="A1853" s="47" t="s">
        <v>6208</v>
      </c>
      <c r="B1853" s="47" t="s">
        <v>6209</v>
      </c>
      <c r="C1853" s="47" t="s">
        <v>6210</v>
      </c>
      <c r="D1853" s="47" t="s">
        <v>4757</v>
      </c>
      <c r="E1853" s="64">
        <v>33162.049999999996</v>
      </c>
      <c r="F1853" s="64">
        <v>1.1000000000000001</v>
      </c>
    </row>
    <row r="1854" spans="1:6" x14ac:dyDescent="0.25">
      <c r="A1854" s="47" t="s">
        <v>6211</v>
      </c>
      <c r="B1854" s="47" t="s">
        <v>6212</v>
      </c>
      <c r="C1854" s="47" t="s">
        <v>6213</v>
      </c>
      <c r="D1854" s="47" t="s">
        <v>4757</v>
      </c>
      <c r="E1854" s="64">
        <v>33162.049999999996</v>
      </c>
      <c r="F1854" s="64">
        <v>1.1000000000000001</v>
      </c>
    </row>
    <row r="1855" spans="1:6" x14ac:dyDescent="0.25">
      <c r="A1855" s="47" t="s">
        <v>6214</v>
      </c>
      <c r="B1855" s="47" t="s">
        <v>6215</v>
      </c>
      <c r="C1855" s="47" t="s">
        <v>6216</v>
      </c>
      <c r="D1855" s="47" t="s">
        <v>4757</v>
      </c>
      <c r="E1855" s="64">
        <v>33162.049999999996</v>
      </c>
      <c r="F1855" s="64">
        <v>1.1000000000000001</v>
      </c>
    </row>
    <row r="1856" spans="1:6" x14ac:dyDescent="0.25">
      <c r="A1856" s="47" t="s">
        <v>6217</v>
      </c>
      <c r="B1856" s="47" t="s">
        <v>6218</v>
      </c>
      <c r="C1856" s="47" t="s">
        <v>6219</v>
      </c>
      <c r="D1856" s="47" t="s">
        <v>4757</v>
      </c>
      <c r="E1856" s="64">
        <v>33162.049999999996</v>
      </c>
      <c r="F1856" s="64">
        <v>1.1000000000000001</v>
      </c>
    </row>
    <row r="1857" spans="1:6" x14ac:dyDescent="0.25">
      <c r="A1857" s="47" t="s">
        <v>6220</v>
      </c>
      <c r="B1857" s="47" t="s">
        <v>6221</v>
      </c>
      <c r="C1857" s="47" t="s">
        <v>6222</v>
      </c>
      <c r="D1857" s="47" t="s">
        <v>4753</v>
      </c>
      <c r="E1857" s="64">
        <v>33162.049999999996</v>
      </c>
      <c r="F1857" s="64">
        <v>2.48</v>
      </c>
    </row>
    <row r="1858" spans="1:6" x14ac:dyDescent="0.25">
      <c r="A1858" s="47" t="s">
        <v>6223</v>
      </c>
      <c r="B1858" s="47" t="s">
        <v>6224</v>
      </c>
      <c r="C1858" s="47" t="s">
        <v>6225</v>
      </c>
      <c r="D1858" s="47" t="s">
        <v>4757</v>
      </c>
      <c r="E1858" s="64">
        <v>33162.049999999996</v>
      </c>
      <c r="F1858" s="64">
        <v>1.1000000000000001</v>
      </c>
    </row>
    <row r="1859" spans="1:6" x14ac:dyDescent="0.25">
      <c r="A1859" s="47" t="s">
        <v>6226</v>
      </c>
      <c r="B1859" s="47" t="s">
        <v>6227</v>
      </c>
      <c r="C1859" s="47" t="s">
        <v>6228</v>
      </c>
      <c r="D1859" s="47" t="s">
        <v>4682</v>
      </c>
      <c r="E1859" s="64">
        <v>38977.050000000003</v>
      </c>
      <c r="F1859" s="64">
        <v>1016</v>
      </c>
    </row>
    <row r="1860" spans="1:6" x14ac:dyDescent="0.25">
      <c r="A1860" s="47" t="s">
        <v>6229</v>
      </c>
      <c r="B1860" s="47" t="s">
        <v>6230</v>
      </c>
      <c r="C1860" s="47" t="s">
        <v>6231</v>
      </c>
      <c r="D1860" s="47"/>
      <c r="E1860" s="64">
        <v>34739.759999999995</v>
      </c>
      <c r="F1860" s="64">
        <v>22</v>
      </c>
    </row>
    <row r="1861" spans="1:6" x14ac:dyDescent="0.25">
      <c r="A1861" s="47" t="s">
        <v>6232</v>
      </c>
      <c r="B1861" s="47" t="s">
        <v>6233</v>
      </c>
      <c r="C1861" s="47" t="s">
        <v>6234</v>
      </c>
      <c r="D1861" s="47"/>
      <c r="E1861" s="64">
        <v>46040.200000000004</v>
      </c>
      <c r="F1861" s="64">
        <v>22</v>
      </c>
    </row>
    <row r="1862" spans="1:6" x14ac:dyDescent="0.25">
      <c r="A1862" s="47" t="s">
        <v>6235</v>
      </c>
      <c r="B1862" s="47" t="s">
        <v>6236</v>
      </c>
      <c r="C1862" s="47" t="s">
        <v>6237</v>
      </c>
      <c r="D1862" s="47"/>
      <c r="E1862" s="64">
        <v>47075.46</v>
      </c>
      <c r="F1862" s="64">
        <v>22</v>
      </c>
    </row>
    <row r="1863" spans="1:6" x14ac:dyDescent="0.25">
      <c r="A1863" s="47" t="s">
        <v>6238</v>
      </c>
      <c r="B1863" s="47" t="s">
        <v>6239</v>
      </c>
      <c r="C1863" s="47" t="s">
        <v>6240</v>
      </c>
      <c r="D1863" s="47"/>
      <c r="E1863" s="64">
        <v>39959.482499999998</v>
      </c>
      <c r="F1863" s="64">
        <v>100000000</v>
      </c>
    </row>
    <row r="1864" spans="1:6" x14ac:dyDescent="0.25">
      <c r="A1864" s="47" t="s">
        <v>6241</v>
      </c>
      <c r="B1864" s="47" t="s">
        <v>6242</v>
      </c>
      <c r="C1864" s="47" t="s">
        <v>6243</v>
      </c>
      <c r="D1864" s="47" t="s">
        <v>6244</v>
      </c>
      <c r="E1864" s="64">
        <v>31075.359999999993</v>
      </c>
      <c r="F1864" s="64">
        <v>1265.4616666666666</v>
      </c>
    </row>
    <row r="1865" spans="1:6" x14ac:dyDescent="0.25">
      <c r="A1865" s="47" t="s">
        <v>6245</v>
      </c>
      <c r="B1865" s="47" t="s">
        <v>6246</v>
      </c>
      <c r="C1865" s="47" t="s">
        <v>6247</v>
      </c>
      <c r="D1865" s="47"/>
      <c r="E1865" s="64">
        <v>39167.489999999991</v>
      </c>
      <c r="F1865" s="64">
        <v>22</v>
      </c>
    </row>
    <row r="1866" spans="1:6" x14ac:dyDescent="0.25">
      <c r="A1866" s="47" t="s">
        <v>6248</v>
      </c>
      <c r="B1866" s="47" t="s">
        <v>6249</v>
      </c>
      <c r="C1866" s="47" t="s">
        <v>6250</v>
      </c>
      <c r="D1866" s="47" t="s">
        <v>6106</v>
      </c>
      <c r="E1866" s="64">
        <v>540182.86</v>
      </c>
      <c r="F1866" s="64">
        <v>767.5</v>
      </c>
    </row>
    <row r="1867" spans="1:6" x14ac:dyDescent="0.25">
      <c r="A1867" s="47" t="s">
        <v>6251</v>
      </c>
      <c r="B1867" s="47" t="s">
        <v>6137</v>
      </c>
      <c r="C1867" s="47" t="s">
        <v>6252</v>
      </c>
      <c r="D1867" s="47" t="s">
        <v>6139</v>
      </c>
      <c r="E1867" s="64">
        <v>22960.350000000002</v>
      </c>
      <c r="F1867" s="64">
        <v>4.0000000000000001E-3</v>
      </c>
    </row>
    <row r="1868" spans="1:6" x14ac:dyDescent="0.25">
      <c r="A1868" s="47" t="s">
        <v>6253</v>
      </c>
      <c r="B1868" s="47" t="s">
        <v>6137</v>
      </c>
      <c r="C1868" s="47" t="s">
        <v>6254</v>
      </c>
      <c r="D1868" s="47" t="s">
        <v>6139</v>
      </c>
      <c r="E1868" s="64">
        <v>22960.350000000002</v>
      </c>
      <c r="F1868" s="64">
        <v>4.0000000000000001E-3</v>
      </c>
    </row>
    <row r="1869" spans="1:6" x14ac:dyDescent="0.25">
      <c r="A1869" s="47" t="s">
        <v>6255</v>
      </c>
      <c r="B1869" s="47" t="s">
        <v>6256</v>
      </c>
      <c r="C1869" s="47" t="s">
        <v>6257</v>
      </c>
      <c r="D1869" s="47"/>
      <c r="E1869" s="64">
        <v>23175.200000000001</v>
      </c>
      <c r="F1869" s="64">
        <v>22</v>
      </c>
    </row>
    <row r="1870" spans="1:6" x14ac:dyDescent="0.25">
      <c r="A1870" s="47" t="s">
        <v>6258</v>
      </c>
      <c r="B1870" s="47" t="s">
        <v>6137</v>
      </c>
      <c r="C1870" s="47" t="s">
        <v>6259</v>
      </c>
      <c r="D1870" s="47" t="s">
        <v>6139</v>
      </c>
      <c r="E1870" s="64">
        <v>22960.350000000002</v>
      </c>
      <c r="F1870" s="64">
        <v>4.0000000000000001E-3</v>
      </c>
    </row>
    <row r="1871" spans="1:6" x14ac:dyDescent="0.25">
      <c r="A1871" s="47" t="s">
        <v>6260</v>
      </c>
      <c r="B1871" s="47" t="s">
        <v>6261</v>
      </c>
      <c r="C1871" s="47" t="s">
        <v>6262</v>
      </c>
      <c r="D1871" s="47"/>
      <c r="E1871" s="64">
        <v>39959.482499999998</v>
      </c>
      <c r="F1871" s="64">
        <v>100000000</v>
      </c>
    </row>
    <row r="1872" spans="1:6" x14ac:dyDescent="0.25">
      <c r="A1872" s="47" t="s">
        <v>6263</v>
      </c>
      <c r="B1872" s="47" t="s">
        <v>6264</v>
      </c>
      <c r="C1872" s="47" t="s">
        <v>6265</v>
      </c>
      <c r="D1872" s="47"/>
      <c r="E1872" s="64">
        <v>39959.482499999998</v>
      </c>
      <c r="F1872" s="64">
        <v>100000000</v>
      </c>
    </row>
    <row r="1873" spans="1:6" x14ac:dyDescent="0.25">
      <c r="A1873" s="47" t="s">
        <v>6266</v>
      </c>
      <c r="B1873" s="47" t="s">
        <v>6267</v>
      </c>
      <c r="C1873" s="47" t="s">
        <v>6268</v>
      </c>
      <c r="D1873" s="47"/>
      <c r="E1873" s="64">
        <v>54342.78</v>
      </c>
      <c r="F1873" s="64">
        <v>22</v>
      </c>
    </row>
    <row r="1874" spans="1:6" x14ac:dyDescent="0.25">
      <c r="A1874" s="47" t="s">
        <v>6269</v>
      </c>
      <c r="B1874" s="47" t="s">
        <v>6270</v>
      </c>
      <c r="C1874" s="47" t="s">
        <v>6271</v>
      </c>
      <c r="D1874" s="47"/>
      <c r="E1874" s="64">
        <v>45435.139999999992</v>
      </c>
      <c r="F1874" s="64">
        <v>22</v>
      </c>
    </row>
    <row r="1875" spans="1:6" x14ac:dyDescent="0.25">
      <c r="A1875" s="47" t="s">
        <v>6272</v>
      </c>
      <c r="B1875" s="47" t="s">
        <v>6273</v>
      </c>
      <c r="C1875" s="47" t="s">
        <v>6274</v>
      </c>
      <c r="D1875" s="47"/>
      <c r="E1875" s="64">
        <v>45435.139999999992</v>
      </c>
      <c r="F1875" s="64">
        <v>22</v>
      </c>
    </row>
    <row r="1876" spans="1:6" x14ac:dyDescent="0.25">
      <c r="A1876" s="47" t="s">
        <v>6275</v>
      </c>
      <c r="B1876" s="47" t="s">
        <v>6276</v>
      </c>
      <c r="C1876" s="47" t="s">
        <v>6277</v>
      </c>
      <c r="D1876" s="47"/>
      <c r="E1876" s="64">
        <v>39959.482499999998</v>
      </c>
      <c r="F1876" s="64">
        <v>100000000</v>
      </c>
    </row>
    <row r="1877" spans="1:6" x14ac:dyDescent="0.25">
      <c r="A1877" s="47" t="s">
        <v>6278</v>
      </c>
      <c r="B1877" s="47" t="s">
        <v>6279</v>
      </c>
      <c r="C1877" s="47" t="s">
        <v>6280</v>
      </c>
      <c r="D1877" s="47" t="s">
        <v>588</v>
      </c>
      <c r="E1877" s="64">
        <v>60103.59</v>
      </c>
      <c r="F1877" s="64">
        <v>1149.5</v>
      </c>
    </row>
    <row r="1878" spans="1:6" x14ac:dyDescent="0.25">
      <c r="A1878" s="47" t="s">
        <v>6281</v>
      </c>
      <c r="B1878" s="47" t="s">
        <v>6282</v>
      </c>
      <c r="C1878" s="47" t="s">
        <v>6283</v>
      </c>
      <c r="D1878" s="47" t="s">
        <v>4753</v>
      </c>
      <c r="E1878" s="64">
        <v>33162.049999999996</v>
      </c>
      <c r="F1878" s="64">
        <v>2.48</v>
      </c>
    </row>
    <row r="1879" spans="1:6" x14ac:dyDescent="0.25">
      <c r="A1879" s="47" t="s">
        <v>6284</v>
      </c>
      <c r="B1879" s="47" t="s">
        <v>6285</v>
      </c>
      <c r="C1879" s="47" t="s">
        <v>6286</v>
      </c>
      <c r="D1879" s="47" t="s">
        <v>4753</v>
      </c>
      <c r="E1879" s="64">
        <v>33162.049999999996</v>
      </c>
      <c r="F1879" s="64">
        <v>2.48</v>
      </c>
    </row>
    <row r="1880" spans="1:6" x14ac:dyDescent="0.25">
      <c r="A1880" s="47" t="s">
        <v>6287</v>
      </c>
      <c r="B1880" s="47" t="s">
        <v>6288</v>
      </c>
      <c r="C1880" s="47" t="s">
        <v>6289</v>
      </c>
      <c r="D1880" s="47" t="s">
        <v>4753</v>
      </c>
      <c r="E1880" s="64">
        <v>33162.049999999996</v>
      </c>
      <c r="F1880" s="64">
        <v>2.48</v>
      </c>
    </row>
    <row r="1881" spans="1:6" x14ac:dyDescent="0.25">
      <c r="A1881" s="47" t="s">
        <v>6290</v>
      </c>
      <c r="B1881" s="47" t="s">
        <v>6291</v>
      </c>
      <c r="C1881" s="47" t="s">
        <v>6292</v>
      </c>
      <c r="D1881" s="47" t="s">
        <v>4753</v>
      </c>
      <c r="E1881" s="64">
        <v>33162.049999999996</v>
      </c>
      <c r="F1881" s="64">
        <v>2.48</v>
      </c>
    </row>
    <row r="1882" spans="1:6" x14ac:dyDescent="0.25">
      <c r="A1882" s="47" t="s">
        <v>6293</v>
      </c>
      <c r="B1882" s="47" t="s">
        <v>6294</v>
      </c>
      <c r="C1882" s="47" t="s">
        <v>6295</v>
      </c>
      <c r="D1882" s="47" t="s">
        <v>4682</v>
      </c>
      <c r="E1882" s="64">
        <v>23621.5</v>
      </c>
      <c r="F1882" s="64">
        <v>1016</v>
      </c>
    </row>
    <row r="1883" spans="1:6" x14ac:dyDescent="0.25">
      <c r="A1883" s="47" t="s">
        <v>6296</v>
      </c>
      <c r="B1883" s="47" t="s">
        <v>6297</v>
      </c>
      <c r="C1883" s="47" t="s">
        <v>6298</v>
      </c>
      <c r="D1883" s="47" t="s">
        <v>4682</v>
      </c>
      <c r="E1883" s="64">
        <v>23621.5</v>
      </c>
      <c r="F1883" s="64">
        <v>1016</v>
      </c>
    </row>
    <row r="1884" spans="1:6" x14ac:dyDescent="0.25">
      <c r="A1884" s="47" t="s">
        <v>6299</v>
      </c>
      <c r="B1884" s="47" t="s">
        <v>6300</v>
      </c>
      <c r="C1884" s="47" t="s">
        <v>6301</v>
      </c>
      <c r="D1884" s="47"/>
      <c r="E1884" s="64">
        <v>47575.29</v>
      </c>
      <c r="F1884" s="64">
        <v>22</v>
      </c>
    </row>
    <row r="1885" spans="1:6" x14ac:dyDescent="0.25">
      <c r="A1885" s="47" t="s">
        <v>6302</v>
      </c>
      <c r="B1885" s="47" t="s">
        <v>6303</v>
      </c>
      <c r="C1885" s="47" t="s">
        <v>6304</v>
      </c>
      <c r="D1885" s="47"/>
      <c r="E1885" s="64">
        <v>53574.450000000004</v>
      </c>
      <c r="F1885" s="64">
        <v>22</v>
      </c>
    </row>
    <row r="1886" spans="1:6" x14ac:dyDescent="0.25">
      <c r="A1886" s="47" t="s">
        <v>6305</v>
      </c>
      <c r="B1886" s="47" t="s">
        <v>6306</v>
      </c>
      <c r="C1886" s="47" t="s">
        <v>6307</v>
      </c>
      <c r="D1886" s="47"/>
      <c r="E1886" s="64">
        <v>52268.985000000008</v>
      </c>
      <c r="F1886" s="64">
        <v>22</v>
      </c>
    </row>
    <row r="1887" spans="1:6" x14ac:dyDescent="0.25">
      <c r="A1887" s="47" t="s">
        <v>6308</v>
      </c>
      <c r="B1887" s="47" t="s">
        <v>6309</v>
      </c>
      <c r="C1887" s="47" t="s">
        <v>6310</v>
      </c>
      <c r="D1887" s="47"/>
      <c r="E1887" s="64">
        <v>52355.78</v>
      </c>
      <c r="F1887" s="64">
        <v>22</v>
      </c>
    </row>
    <row r="1888" spans="1:6" x14ac:dyDescent="0.25">
      <c r="A1888" s="47" t="s">
        <v>6311</v>
      </c>
      <c r="B1888" s="47" t="s">
        <v>6312</v>
      </c>
      <c r="C1888" s="47" t="s">
        <v>6313</v>
      </c>
      <c r="D1888" s="47"/>
      <c r="E1888" s="64">
        <v>51658.23</v>
      </c>
      <c r="F1888" s="64">
        <v>22</v>
      </c>
    </row>
    <row r="1889" spans="1:6" x14ac:dyDescent="0.25">
      <c r="A1889" s="47" t="s">
        <v>6314</v>
      </c>
      <c r="B1889" s="47" t="s">
        <v>6315</v>
      </c>
      <c r="C1889" s="47" t="s">
        <v>6316</v>
      </c>
      <c r="D1889" s="47"/>
      <c r="E1889" s="64">
        <v>51658.23</v>
      </c>
      <c r="F1889" s="64">
        <v>22</v>
      </c>
    </row>
    <row r="1890" spans="1:6" x14ac:dyDescent="0.25">
      <c r="A1890" s="47" t="s">
        <v>6317</v>
      </c>
      <c r="B1890" s="47" t="s">
        <v>6318</v>
      </c>
      <c r="C1890" s="47" t="s">
        <v>6319</v>
      </c>
      <c r="D1890" s="47"/>
      <c r="E1890" s="64">
        <v>26484.149999999998</v>
      </c>
      <c r="F1890" s="64">
        <v>22</v>
      </c>
    </row>
    <row r="1891" spans="1:6" x14ac:dyDescent="0.25">
      <c r="A1891" s="47" t="s">
        <v>6320</v>
      </c>
      <c r="B1891" s="47" t="s">
        <v>6321</v>
      </c>
      <c r="C1891" s="47" t="s">
        <v>6322</v>
      </c>
      <c r="D1891" s="47"/>
      <c r="E1891" s="64">
        <v>26484.149999999998</v>
      </c>
      <c r="F1891" s="64">
        <v>22</v>
      </c>
    </row>
    <row r="1892" spans="1:6" x14ac:dyDescent="0.25">
      <c r="A1892" s="47" t="s">
        <v>6323</v>
      </c>
      <c r="B1892" s="47" t="s">
        <v>6324</v>
      </c>
      <c r="C1892" s="47" t="s">
        <v>6325</v>
      </c>
      <c r="D1892" s="47"/>
      <c r="E1892" s="64">
        <v>36588.58</v>
      </c>
      <c r="F1892" s="64">
        <v>100000000</v>
      </c>
    </row>
    <row r="1893" spans="1:6" x14ac:dyDescent="0.25">
      <c r="A1893" s="47" t="s">
        <v>6326</v>
      </c>
      <c r="B1893" s="47" t="s">
        <v>6327</v>
      </c>
      <c r="C1893" s="47" t="s">
        <v>6328</v>
      </c>
      <c r="D1893" s="47"/>
      <c r="E1893" s="64">
        <v>33801.954999999994</v>
      </c>
      <c r="F1893" s="64">
        <v>22</v>
      </c>
    </row>
    <row r="1894" spans="1:6" x14ac:dyDescent="0.25">
      <c r="A1894" s="47" t="s">
        <v>6329</v>
      </c>
      <c r="B1894" s="47" t="s">
        <v>6330</v>
      </c>
      <c r="C1894" s="47" t="s">
        <v>6331</v>
      </c>
      <c r="D1894" s="47"/>
      <c r="E1894" s="64">
        <v>39959.482499999998</v>
      </c>
      <c r="F1894" s="64">
        <v>100000000</v>
      </c>
    </row>
    <row r="1895" spans="1:6" x14ac:dyDescent="0.25">
      <c r="A1895" s="47" t="s">
        <v>6332</v>
      </c>
      <c r="B1895" s="47" t="s">
        <v>6333</v>
      </c>
      <c r="C1895" s="47" t="s">
        <v>6334</v>
      </c>
      <c r="D1895" s="47"/>
      <c r="E1895" s="64">
        <v>49439.109999999993</v>
      </c>
      <c r="F1895" s="64">
        <v>22</v>
      </c>
    </row>
    <row r="1896" spans="1:6" x14ac:dyDescent="0.25">
      <c r="A1896" s="47" t="s">
        <v>6335</v>
      </c>
      <c r="B1896" s="47" t="s">
        <v>6336</v>
      </c>
      <c r="C1896" s="47" t="s">
        <v>6337</v>
      </c>
      <c r="D1896" s="47" t="s">
        <v>6338</v>
      </c>
      <c r="E1896" s="64">
        <v>36446.869999999995</v>
      </c>
      <c r="F1896" s="64">
        <v>76.088466666666676</v>
      </c>
    </row>
    <row r="1897" spans="1:6" x14ac:dyDescent="0.25">
      <c r="A1897" s="47" t="s">
        <v>6339</v>
      </c>
      <c r="B1897" s="47" t="s">
        <v>6340</v>
      </c>
      <c r="C1897" s="47" t="s">
        <v>6341</v>
      </c>
      <c r="D1897" s="47"/>
      <c r="E1897" s="64">
        <v>39959.482499999998</v>
      </c>
      <c r="F1897" s="64">
        <v>100000000</v>
      </c>
    </row>
    <row r="1898" spans="1:6" x14ac:dyDescent="0.25">
      <c r="A1898" s="47" t="s">
        <v>6342</v>
      </c>
      <c r="B1898" s="47" t="s">
        <v>6343</v>
      </c>
      <c r="C1898" s="47" t="s">
        <v>6344</v>
      </c>
      <c r="D1898" s="47"/>
      <c r="E1898" s="64">
        <v>39959.482499999998</v>
      </c>
      <c r="F1898" s="64">
        <v>100000000</v>
      </c>
    </row>
    <row r="1899" spans="1:6" x14ac:dyDescent="0.25">
      <c r="A1899" s="47" t="s">
        <v>6345</v>
      </c>
      <c r="B1899" s="47" t="s">
        <v>6346</v>
      </c>
      <c r="C1899" s="47" t="s">
        <v>6347</v>
      </c>
      <c r="D1899" s="47"/>
      <c r="E1899" s="64">
        <v>26484.149999999998</v>
      </c>
      <c r="F1899" s="64">
        <v>22</v>
      </c>
    </row>
    <row r="1900" spans="1:6" x14ac:dyDescent="0.25">
      <c r="A1900" s="47" t="s">
        <v>6348</v>
      </c>
      <c r="B1900" s="47" t="s">
        <v>6349</v>
      </c>
      <c r="C1900" s="47" t="s">
        <v>6350</v>
      </c>
      <c r="D1900" s="47"/>
      <c r="E1900" s="64">
        <v>32926.350000000006</v>
      </c>
      <c r="F1900" s="64">
        <v>22</v>
      </c>
    </row>
    <row r="1901" spans="1:6" x14ac:dyDescent="0.25">
      <c r="A1901" s="47" t="s">
        <v>6351</v>
      </c>
      <c r="B1901" s="47" t="s">
        <v>6352</v>
      </c>
      <c r="C1901" s="47" t="s">
        <v>6353</v>
      </c>
      <c r="D1901" s="47"/>
      <c r="E1901" s="64">
        <v>33801.954999999994</v>
      </c>
      <c r="F1901" s="64">
        <v>22</v>
      </c>
    </row>
    <row r="1902" spans="1:6" x14ac:dyDescent="0.25">
      <c r="A1902" s="47" t="s">
        <v>6354</v>
      </c>
      <c r="B1902" s="47" t="s">
        <v>6355</v>
      </c>
      <c r="C1902" s="47" t="s">
        <v>6356</v>
      </c>
      <c r="D1902" s="47"/>
      <c r="E1902" s="64">
        <v>26484.149999999998</v>
      </c>
      <c r="F1902" s="64">
        <v>22</v>
      </c>
    </row>
    <row r="1903" spans="1:6" x14ac:dyDescent="0.25">
      <c r="A1903" s="47" t="s">
        <v>6357</v>
      </c>
      <c r="B1903" s="47" t="s">
        <v>6358</v>
      </c>
      <c r="C1903" s="47" t="s">
        <v>6359</v>
      </c>
      <c r="D1903" s="47" t="s">
        <v>4139</v>
      </c>
      <c r="E1903" s="64">
        <v>40904.485000000001</v>
      </c>
      <c r="F1903" s="64">
        <v>1.87</v>
      </c>
    </row>
    <row r="1904" spans="1:6" x14ac:dyDescent="0.25">
      <c r="A1904" s="47" t="s">
        <v>6360</v>
      </c>
      <c r="B1904" s="47" t="s">
        <v>6361</v>
      </c>
      <c r="C1904" s="47" t="s">
        <v>6362</v>
      </c>
      <c r="D1904" s="47" t="s">
        <v>790</v>
      </c>
      <c r="E1904" s="64">
        <v>58120.520000000004</v>
      </c>
      <c r="F1904" s="64">
        <v>35.42</v>
      </c>
    </row>
    <row r="1905" spans="1:6" x14ac:dyDescent="0.25">
      <c r="A1905" s="47" t="s">
        <v>6363</v>
      </c>
      <c r="B1905" s="47" t="s">
        <v>6364</v>
      </c>
      <c r="C1905" s="47" t="s">
        <v>6365</v>
      </c>
      <c r="D1905" s="47" t="s">
        <v>6366</v>
      </c>
      <c r="E1905" s="64">
        <v>73574.51999999999</v>
      </c>
      <c r="F1905" s="64">
        <v>40.466666666666669</v>
      </c>
    </row>
    <row r="1906" spans="1:6" x14ac:dyDescent="0.25">
      <c r="A1906" s="47" t="s">
        <v>6367</v>
      </c>
      <c r="B1906" s="47" t="s">
        <v>6368</v>
      </c>
      <c r="C1906" s="47" t="s">
        <v>6369</v>
      </c>
      <c r="D1906" s="47"/>
      <c r="E1906" s="64">
        <v>50347.490000000005</v>
      </c>
      <c r="F1906" s="64">
        <v>22</v>
      </c>
    </row>
    <row r="1907" spans="1:6" x14ac:dyDescent="0.25">
      <c r="A1907" s="47" t="s">
        <v>6370</v>
      </c>
      <c r="B1907" s="47" t="s">
        <v>6371</v>
      </c>
      <c r="C1907" s="47" t="s">
        <v>6372</v>
      </c>
      <c r="D1907" s="47" t="s">
        <v>6373</v>
      </c>
      <c r="E1907" s="64">
        <v>148520.54499999998</v>
      </c>
      <c r="F1907" s="64">
        <v>10.84975</v>
      </c>
    </row>
    <row r="1908" spans="1:6" x14ac:dyDescent="0.25">
      <c r="A1908" s="47" t="s">
        <v>6374</v>
      </c>
      <c r="B1908" s="47" t="s">
        <v>6375</v>
      </c>
      <c r="C1908" s="47" t="s">
        <v>6376</v>
      </c>
      <c r="D1908" s="47" t="s">
        <v>699</v>
      </c>
      <c r="E1908" s="64">
        <v>78330.794999999998</v>
      </c>
      <c r="F1908" s="64">
        <v>229</v>
      </c>
    </row>
    <row r="1909" spans="1:6" x14ac:dyDescent="0.25">
      <c r="A1909" s="47" t="s">
        <v>6377</v>
      </c>
      <c r="B1909" s="47" t="s">
        <v>6378</v>
      </c>
      <c r="C1909" s="47" t="s">
        <v>6379</v>
      </c>
      <c r="D1909" s="47" t="s">
        <v>6380</v>
      </c>
      <c r="E1909" s="64">
        <v>79591.570000000007</v>
      </c>
      <c r="F1909" s="64">
        <v>63</v>
      </c>
    </row>
    <row r="1910" spans="1:6" x14ac:dyDescent="0.25">
      <c r="A1910" s="47" t="s">
        <v>6381</v>
      </c>
      <c r="B1910" s="47" t="s">
        <v>6378</v>
      </c>
      <c r="C1910" s="47" t="s">
        <v>6382</v>
      </c>
      <c r="D1910" s="47" t="s">
        <v>6380</v>
      </c>
      <c r="E1910" s="64">
        <v>79591.570000000007</v>
      </c>
      <c r="F1910" s="64">
        <v>63</v>
      </c>
    </row>
    <row r="1911" spans="1:6" x14ac:dyDescent="0.25">
      <c r="A1911" s="47" t="s">
        <v>6383</v>
      </c>
      <c r="B1911" s="47" t="s">
        <v>6384</v>
      </c>
      <c r="C1911" s="47" t="s">
        <v>6385</v>
      </c>
      <c r="D1911" s="47" t="s">
        <v>6386</v>
      </c>
      <c r="E1911" s="64">
        <v>28275.47</v>
      </c>
      <c r="F1911" s="64">
        <v>173</v>
      </c>
    </row>
    <row r="1912" spans="1:6" x14ac:dyDescent="0.25">
      <c r="A1912" s="47" t="s">
        <v>6387</v>
      </c>
      <c r="B1912" s="47" t="s">
        <v>6388</v>
      </c>
      <c r="C1912" s="47" t="s">
        <v>6389</v>
      </c>
      <c r="D1912" s="47" t="s">
        <v>1810</v>
      </c>
      <c r="E1912" s="64">
        <v>33514.15</v>
      </c>
      <c r="F1912" s="64">
        <v>0.46</v>
      </c>
    </row>
    <row r="1913" spans="1:6" x14ac:dyDescent="0.25">
      <c r="A1913" s="47" t="s">
        <v>6390</v>
      </c>
      <c r="B1913" s="47" t="s">
        <v>6391</v>
      </c>
      <c r="C1913" s="47" t="s">
        <v>6392</v>
      </c>
      <c r="D1913" s="47" t="s">
        <v>4886</v>
      </c>
      <c r="E1913" s="64">
        <v>25559.58</v>
      </c>
      <c r="F1913" s="64">
        <v>0.59</v>
      </c>
    </row>
    <row r="1914" spans="1:6" x14ac:dyDescent="0.25">
      <c r="A1914" s="47" t="s">
        <v>6393</v>
      </c>
      <c r="B1914" s="47" t="s">
        <v>6394</v>
      </c>
      <c r="C1914" s="47" t="s">
        <v>6395</v>
      </c>
      <c r="D1914" s="47" t="s">
        <v>687</v>
      </c>
      <c r="E1914" s="64">
        <v>42612.02</v>
      </c>
      <c r="F1914" s="64">
        <v>5.1650000000000001E-2</v>
      </c>
    </row>
    <row r="1915" spans="1:6" x14ac:dyDescent="0.25">
      <c r="A1915" s="47" t="s">
        <v>6396</v>
      </c>
      <c r="B1915" s="47" t="s">
        <v>6397</v>
      </c>
      <c r="C1915" s="47" t="s">
        <v>6398</v>
      </c>
      <c r="D1915" s="47" t="s">
        <v>2303</v>
      </c>
      <c r="E1915" s="64">
        <v>259517.81</v>
      </c>
      <c r="F1915" s="64">
        <v>95.19583333333334</v>
      </c>
    </row>
    <row r="1916" spans="1:6" x14ac:dyDescent="0.25">
      <c r="A1916" s="47" t="s">
        <v>6399</v>
      </c>
      <c r="B1916" s="47" t="s">
        <v>6400</v>
      </c>
      <c r="C1916" s="47" t="s">
        <v>6401</v>
      </c>
      <c r="D1916" s="47" t="s">
        <v>6402</v>
      </c>
      <c r="E1916" s="64">
        <v>44762.984000000004</v>
      </c>
      <c r="F1916" s="64">
        <v>1.2</v>
      </c>
    </row>
    <row r="1917" spans="1:6" x14ac:dyDescent="0.25">
      <c r="A1917" s="47" t="s">
        <v>6403</v>
      </c>
      <c r="B1917" s="47" t="s">
        <v>6404</v>
      </c>
      <c r="C1917" s="47" t="s">
        <v>6405</v>
      </c>
      <c r="D1917" s="47" t="s">
        <v>4421</v>
      </c>
      <c r="E1917" s="64">
        <v>64169.988000000005</v>
      </c>
      <c r="F1917" s="64">
        <v>3.6333333333333335E-4</v>
      </c>
    </row>
    <row r="1918" spans="1:6" x14ac:dyDescent="0.25">
      <c r="A1918" s="47" t="s">
        <v>6406</v>
      </c>
      <c r="B1918" s="47" t="s">
        <v>6407</v>
      </c>
      <c r="C1918" s="47" t="s">
        <v>6408</v>
      </c>
      <c r="D1918" s="47" t="s">
        <v>4421</v>
      </c>
      <c r="E1918" s="64">
        <v>74662.740000000005</v>
      </c>
      <c r="F1918" s="64">
        <v>3.6333333333333335E-4</v>
      </c>
    </row>
    <row r="1919" spans="1:6" x14ac:dyDescent="0.25">
      <c r="A1919" s="47" t="s">
        <v>6409</v>
      </c>
      <c r="B1919" s="47" t="s">
        <v>6410</v>
      </c>
      <c r="C1919" s="47" t="s">
        <v>6411</v>
      </c>
      <c r="D1919" s="47" t="s">
        <v>6412</v>
      </c>
      <c r="E1919" s="64">
        <v>21221.7</v>
      </c>
      <c r="F1919" s="64">
        <v>1.1999999999999999E-3</v>
      </c>
    </row>
    <row r="1920" spans="1:6" x14ac:dyDescent="0.25">
      <c r="A1920" s="47" t="s">
        <v>6413</v>
      </c>
      <c r="B1920" s="47" t="s">
        <v>6414</v>
      </c>
      <c r="C1920" s="47" t="s">
        <v>6415</v>
      </c>
      <c r="D1920" s="47" t="s">
        <v>4625</v>
      </c>
      <c r="E1920" s="64">
        <v>53827.79</v>
      </c>
      <c r="F1920" s="64">
        <v>0.5</v>
      </c>
    </row>
    <row r="1921" spans="1:6" x14ac:dyDescent="0.25">
      <c r="A1921" s="47" t="s">
        <v>6416</v>
      </c>
      <c r="B1921" s="47" t="s">
        <v>6417</v>
      </c>
      <c r="C1921" s="47" t="s">
        <v>6418</v>
      </c>
      <c r="D1921" s="47"/>
      <c r="E1921" s="64">
        <v>209205.685</v>
      </c>
      <c r="F1921" s="64">
        <v>22</v>
      </c>
    </row>
    <row r="1922" spans="1:6" x14ac:dyDescent="0.25">
      <c r="A1922" s="47" t="s">
        <v>6419</v>
      </c>
      <c r="B1922" s="47" t="s">
        <v>6420</v>
      </c>
      <c r="C1922" s="47" t="s">
        <v>6421</v>
      </c>
      <c r="D1922" s="47"/>
      <c r="E1922" s="64">
        <v>209205.685</v>
      </c>
      <c r="F1922" s="64">
        <v>22</v>
      </c>
    </row>
    <row r="1923" spans="1:6" x14ac:dyDescent="0.25">
      <c r="A1923" s="47" t="s">
        <v>6422</v>
      </c>
      <c r="B1923" s="47" t="s">
        <v>6423</v>
      </c>
      <c r="C1923" s="47" t="s">
        <v>6424</v>
      </c>
      <c r="D1923" s="47"/>
      <c r="E1923" s="64">
        <v>39959.482499999998</v>
      </c>
      <c r="F1923" s="64">
        <v>100000000</v>
      </c>
    </row>
    <row r="1924" spans="1:6" x14ac:dyDescent="0.25">
      <c r="A1924" s="47" t="s">
        <v>6425</v>
      </c>
      <c r="B1924" s="47" t="s">
        <v>6426</v>
      </c>
      <c r="C1924" s="47" t="s">
        <v>6427</v>
      </c>
      <c r="D1924" s="47"/>
      <c r="E1924" s="64">
        <v>209205.685</v>
      </c>
      <c r="F1924" s="64">
        <v>22</v>
      </c>
    </row>
    <row r="1925" spans="1:6" x14ac:dyDescent="0.25">
      <c r="A1925" s="47" t="s">
        <v>6428</v>
      </c>
      <c r="B1925" s="47" t="s">
        <v>6429</v>
      </c>
      <c r="C1925" s="47" t="s">
        <v>6430</v>
      </c>
      <c r="D1925" s="47"/>
      <c r="E1925" s="64">
        <v>39959.482499999998</v>
      </c>
      <c r="F1925" s="64">
        <v>100000000</v>
      </c>
    </row>
    <row r="1926" spans="1:6" x14ac:dyDescent="0.25">
      <c r="A1926" s="47" t="s">
        <v>6431</v>
      </c>
      <c r="B1926" s="47" t="s">
        <v>6432</v>
      </c>
      <c r="C1926" s="47" t="s">
        <v>6433</v>
      </c>
      <c r="D1926" s="47"/>
      <c r="E1926" s="64">
        <v>209205.685</v>
      </c>
      <c r="F1926" s="64">
        <v>22</v>
      </c>
    </row>
    <row r="1927" spans="1:6" x14ac:dyDescent="0.25">
      <c r="A1927" s="47" t="s">
        <v>6434</v>
      </c>
      <c r="B1927" s="47" t="s">
        <v>6435</v>
      </c>
      <c r="C1927" s="47" t="s">
        <v>6436</v>
      </c>
      <c r="D1927" s="47" t="s">
        <v>6437</v>
      </c>
      <c r="E1927" s="64">
        <v>28403.82</v>
      </c>
      <c r="F1927" s="64">
        <v>63</v>
      </c>
    </row>
    <row r="1928" spans="1:6" x14ac:dyDescent="0.25">
      <c r="A1928" s="47" t="s">
        <v>6438</v>
      </c>
      <c r="B1928" s="47" t="s">
        <v>6439</v>
      </c>
      <c r="C1928" s="47" t="s">
        <v>6440</v>
      </c>
      <c r="D1928" s="47" t="s">
        <v>6441</v>
      </c>
      <c r="E1928" s="64">
        <v>46834.61</v>
      </c>
      <c r="F1928" s="64">
        <v>1500</v>
      </c>
    </row>
    <row r="1929" spans="1:6" x14ac:dyDescent="0.25">
      <c r="A1929" s="47" t="s">
        <v>6442</v>
      </c>
      <c r="B1929" s="47" t="s">
        <v>6443</v>
      </c>
      <c r="C1929" s="47" t="s">
        <v>6444</v>
      </c>
      <c r="D1929" s="47" t="s">
        <v>6441</v>
      </c>
      <c r="E1929" s="64">
        <v>46834.61</v>
      </c>
      <c r="F1929" s="64">
        <v>1500</v>
      </c>
    </row>
    <row r="1930" spans="1:6" x14ac:dyDescent="0.25">
      <c r="A1930" s="47" t="s">
        <v>6445</v>
      </c>
      <c r="B1930" s="47" t="s">
        <v>6446</v>
      </c>
      <c r="C1930" s="47" t="s">
        <v>6447</v>
      </c>
      <c r="D1930" s="47" t="s">
        <v>6441</v>
      </c>
      <c r="E1930" s="64">
        <v>46834.61</v>
      </c>
      <c r="F1930" s="64">
        <v>1500</v>
      </c>
    </row>
    <row r="1931" spans="1:6" x14ac:dyDescent="0.25">
      <c r="A1931" s="47" t="s">
        <v>6448</v>
      </c>
      <c r="B1931" s="47" t="s">
        <v>6449</v>
      </c>
      <c r="C1931" s="47" t="s">
        <v>6450</v>
      </c>
      <c r="D1931" s="47" t="s">
        <v>5299</v>
      </c>
      <c r="E1931" s="64">
        <v>22192.85</v>
      </c>
      <c r="F1931" s="64">
        <v>166.8</v>
      </c>
    </row>
    <row r="1932" spans="1:6" x14ac:dyDescent="0.25">
      <c r="A1932" s="47" t="s">
        <v>6451</v>
      </c>
      <c r="B1932" s="47" t="s">
        <v>6452</v>
      </c>
      <c r="C1932" s="47" t="s">
        <v>6453</v>
      </c>
      <c r="D1932" s="47" t="s">
        <v>5299</v>
      </c>
      <c r="E1932" s="64">
        <v>22192.85</v>
      </c>
      <c r="F1932" s="64">
        <v>166.8</v>
      </c>
    </row>
    <row r="1933" spans="1:6" x14ac:dyDescent="0.25">
      <c r="A1933" s="47" t="s">
        <v>6454</v>
      </c>
      <c r="B1933" s="47" t="s">
        <v>6455</v>
      </c>
      <c r="C1933" s="47" t="s">
        <v>6456</v>
      </c>
      <c r="D1933" s="47" t="s">
        <v>5299</v>
      </c>
      <c r="E1933" s="64">
        <v>22192.85</v>
      </c>
      <c r="F1933" s="64">
        <v>166.8</v>
      </c>
    </row>
    <row r="1934" spans="1:6" x14ac:dyDescent="0.25">
      <c r="A1934" s="47" t="s">
        <v>6457</v>
      </c>
      <c r="B1934" s="47" t="s">
        <v>6458</v>
      </c>
      <c r="C1934" s="47" t="s">
        <v>6459</v>
      </c>
      <c r="D1934" s="47" t="s">
        <v>4625</v>
      </c>
      <c r="E1934" s="64">
        <v>45088.130000000005</v>
      </c>
      <c r="F1934" s="64">
        <v>0.5</v>
      </c>
    </row>
    <row r="1935" spans="1:6" x14ac:dyDescent="0.25">
      <c r="A1935" s="47" t="s">
        <v>6460</v>
      </c>
      <c r="B1935" s="47" t="s">
        <v>6461</v>
      </c>
      <c r="C1935" s="47" t="s">
        <v>6462</v>
      </c>
      <c r="D1935" s="47"/>
      <c r="E1935" s="64">
        <v>13848.16</v>
      </c>
      <c r="F1935" s="64">
        <v>22</v>
      </c>
    </row>
    <row r="1936" spans="1:6" x14ac:dyDescent="0.25">
      <c r="A1936" s="47" t="s">
        <v>6463</v>
      </c>
      <c r="B1936" s="47" t="s">
        <v>6464</v>
      </c>
      <c r="C1936" s="47" t="s">
        <v>6465</v>
      </c>
      <c r="D1936" s="47"/>
      <c r="E1936" s="64">
        <v>142392.19999999998</v>
      </c>
      <c r="F1936" s="64">
        <v>22</v>
      </c>
    </row>
    <row r="1937" spans="1:6" x14ac:dyDescent="0.25">
      <c r="A1937" s="47" t="s">
        <v>6466</v>
      </c>
      <c r="B1937" s="47" t="s">
        <v>6467</v>
      </c>
      <c r="C1937" s="47" t="s">
        <v>6468</v>
      </c>
      <c r="D1937" s="47" t="s">
        <v>6469</v>
      </c>
      <c r="E1937" s="64">
        <v>44065.91</v>
      </c>
      <c r="F1937" s="64">
        <v>1.375</v>
      </c>
    </row>
    <row r="1938" spans="1:6" x14ac:dyDescent="0.25">
      <c r="A1938" s="47" t="s">
        <v>6470</v>
      </c>
      <c r="B1938" s="47" t="s">
        <v>6471</v>
      </c>
      <c r="C1938" s="47" t="s">
        <v>6472</v>
      </c>
      <c r="D1938" s="47" t="s">
        <v>6469</v>
      </c>
      <c r="E1938" s="64">
        <v>44065.91</v>
      </c>
      <c r="F1938" s="64">
        <v>1.375</v>
      </c>
    </row>
    <row r="1939" spans="1:6" x14ac:dyDescent="0.25">
      <c r="A1939" s="47" t="s">
        <v>6473</v>
      </c>
      <c r="B1939" s="47" t="s">
        <v>6474</v>
      </c>
      <c r="C1939" s="47" t="s">
        <v>6475</v>
      </c>
      <c r="D1939" s="47" t="s">
        <v>6476</v>
      </c>
      <c r="E1939" s="64">
        <v>31314.67</v>
      </c>
      <c r="F1939" s="64">
        <v>4.7999999999999996E-3</v>
      </c>
    </row>
    <row r="1940" spans="1:6" x14ac:dyDescent="0.25">
      <c r="A1940" s="47" t="s">
        <v>6477</v>
      </c>
      <c r="B1940" s="47" t="s">
        <v>6478</v>
      </c>
      <c r="C1940" s="47" t="s">
        <v>6479</v>
      </c>
      <c r="D1940" s="47" t="s">
        <v>6476</v>
      </c>
      <c r="E1940" s="64">
        <v>31314.67</v>
      </c>
      <c r="F1940" s="64">
        <v>4.7999999999999996E-3</v>
      </c>
    </row>
    <row r="1941" spans="1:6" x14ac:dyDescent="0.25">
      <c r="A1941" s="47" t="s">
        <v>6480</v>
      </c>
      <c r="B1941" s="47" t="s">
        <v>6481</v>
      </c>
      <c r="C1941" s="47" t="s">
        <v>6482</v>
      </c>
      <c r="D1941" s="47" t="s">
        <v>6483</v>
      </c>
      <c r="E1941" s="64">
        <v>13619.139999999998</v>
      </c>
      <c r="F1941" s="64">
        <v>8.8999999999999996E-2</v>
      </c>
    </row>
    <row r="1942" spans="1:6" x14ac:dyDescent="0.25">
      <c r="A1942" s="47" t="s">
        <v>6484</v>
      </c>
      <c r="B1942" s="47" t="s">
        <v>6485</v>
      </c>
      <c r="C1942" s="47" t="s">
        <v>6486</v>
      </c>
      <c r="D1942" s="47" t="s">
        <v>4218</v>
      </c>
      <c r="E1942" s="64">
        <v>26347.58</v>
      </c>
      <c r="F1942" s="64">
        <v>19.2</v>
      </c>
    </row>
    <row r="1943" spans="1:6" x14ac:dyDescent="0.25">
      <c r="A1943" s="47" t="s">
        <v>6487</v>
      </c>
      <c r="B1943" s="47" t="s">
        <v>6488</v>
      </c>
      <c r="C1943" s="47" t="s">
        <v>6489</v>
      </c>
      <c r="D1943" s="47"/>
      <c r="E1943" s="64">
        <v>209205.685</v>
      </c>
      <c r="F1943" s="64">
        <v>22</v>
      </c>
    </row>
    <row r="1944" spans="1:6" x14ac:dyDescent="0.25">
      <c r="A1944" s="47" t="s">
        <v>6490</v>
      </c>
      <c r="B1944" s="47" t="s">
        <v>6491</v>
      </c>
      <c r="C1944" s="47" t="s">
        <v>6492</v>
      </c>
      <c r="D1944" s="47"/>
      <c r="E1944" s="64">
        <v>39959.482499999998</v>
      </c>
      <c r="F1944" s="64">
        <v>100000000</v>
      </c>
    </row>
    <row r="1945" spans="1:6" x14ac:dyDescent="0.25">
      <c r="A1945" s="47" t="s">
        <v>6493</v>
      </c>
      <c r="B1945" s="47" t="s">
        <v>6494</v>
      </c>
      <c r="C1945" s="47" t="s">
        <v>6495</v>
      </c>
      <c r="D1945" s="47"/>
      <c r="E1945" s="64">
        <v>39959.482499999998</v>
      </c>
      <c r="F1945" s="64">
        <v>100000000</v>
      </c>
    </row>
    <row r="1946" spans="1:6" x14ac:dyDescent="0.25">
      <c r="A1946" s="47" t="s">
        <v>6496</v>
      </c>
      <c r="B1946" s="47" t="s">
        <v>6497</v>
      </c>
      <c r="C1946" s="47" t="s">
        <v>6498</v>
      </c>
      <c r="D1946" s="47"/>
      <c r="E1946" s="64">
        <v>53693.619999999995</v>
      </c>
      <c r="F1946" s="64">
        <v>22</v>
      </c>
    </row>
    <row r="1947" spans="1:6" x14ac:dyDescent="0.25">
      <c r="A1947" s="47" t="s">
        <v>6499</v>
      </c>
      <c r="B1947" s="47" t="s">
        <v>6500</v>
      </c>
      <c r="C1947" s="47" t="s">
        <v>6501</v>
      </c>
      <c r="D1947" s="47" t="s">
        <v>4625</v>
      </c>
      <c r="E1947" s="64">
        <v>58918.270000000004</v>
      </c>
      <c r="F1947" s="64">
        <v>0.5</v>
      </c>
    </row>
    <row r="1948" spans="1:6" x14ac:dyDescent="0.25">
      <c r="A1948" s="47" t="s">
        <v>6502</v>
      </c>
      <c r="B1948" s="47" t="s">
        <v>6503</v>
      </c>
      <c r="C1948" s="47" t="s">
        <v>6504</v>
      </c>
      <c r="D1948" s="47"/>
      <c r="E1948" s="64">
        <v>25385.78</v>
      </c>
      <c r="F1948" s="64">
        <v>22</v>
      </c>
    </row>
    <row r="1949" spans="1:6" x14ac:dyDescent="0.25">
      <c r="A1949" s="47" t="s">
        <v>6505</v>
      </c>
      <c r="B1949" s="47" t="s">
        <v>6506</v>
      </c>
      <c r="C1949" s="47" t="s">
        <v>6507</v>
      </c>
      <c r="D1949" s="47" t="s">
        <v>4625</v>
      </c>
      <c r="E1949" s="64">
        <v>58918.270000000004</v>
      </c>
      <c r="F1949" s="64">
        <v>0.5</v>
      </c>
    </row>
    <row r="1950" spans="1:6" x14ac:dyDescent="0.25">
      <c r="A1950" s="47" t="s">
        <v>6508</v>
      </c>
      <c r="B1950" s="47" t="s">
        <v>6509</v>
      </c>
      <c r="C1950" s="47" t="s">
        <v>6510</v>
      </c>
      <c r="D1950" s="47"/>
      <c r="E1950" s="64">
        <v>25385.78</v>
      </c>
      <c r="F1950" s="64">
        <v>22</v>
      </c>
    </row>
    <row r="1951" spans="1:6" x14ac:dyDescent="0.25">
      <c r="A1951" s="47" t="s">
        <v>6511</v>
      </c>
      <c r="B1951" s="47" t="s">
        <v>6512</v>
      </c>
      <c r="C1951" s="47" t="s">
        <v>6513</v>
      </c>
      <c r="D1951" s="47"/>
      <c r="E1951" s="64">
        <v>142392.19999999998</v>
      </c>
      <c r="F1951" s="64">
        <v>22</v>
      </c>
    </row>
    <row r="1952" spans="1:6" x14ac:dyDescent="0.25">
      <c r="A1952" s="47" t="s">
        <v>6514</v>
      </c>
      <c r="B1952" s="47" t="s">
        <v>6515</v>
      </c>
      <c r="C1952" s="47" t="s">
        <v>6516</v>
      </c>
      <c r="D1952" s="47" t="s">
        <v>6517</v>
      </c>
      <c r="E1952" s="64">
        <v>189306.91</v>
      </c>
      <c r="F1952" s="64">
        <v>0.42499999999999999</v>
      </c>
    </row>
    <row r="1953" spans="1:6" x14ac:dyDescent="0.25">
      <c r="A1953" s="47" t="s">
        <v>6518</v>
      </c>
      <c r="B1953" s="47" t="s">
        <v>6519</v>
      </c>
      <c r="C1953" s="47" t="s">
        <v>6520</v>
      </c>
      <c r="D1953" s="47" t="s">
        <v>6521</v>
      </c>
      <c r="E1953" s="64">
        <v>38646.950000000004</v>
      </c>
      <c r="F1953" s="64">
        <v>13.9</v>
      </c>
    </row>
    <row r="1954" spans="1:6" x14ac:dyDescent="0.25">
      <c r="A1954" s="47" t="s">
        <v>6522</v>
      </c>
      <c r="B1954" s="47" t="s">
        <v>6523</v>
      </c>
      <c r="C1954" s="47" t="s">
        <v>6524</v>
      </c>
      <c r="D1954" s="47"/>
      <c r="E1954" s="64">
        <v>39959.482499999998</v>
      </c>
      <c r="F1954" s="64">
        <v>100000000</v>
      </c>
    </row>
    <row r="1955" spans="1:6" x14ac:dyDescent="0.25">
      <c r="A1955" s="47" t="s">
        <v>6525</v>
      </c>
      <c r="B1955" s="47" t="s">
        <v>6526</v>
      </c>
      <c r="C1955" s="47" t="s">
        <v>6527</v>
      </c>
      <c r="D1955" s="47"/>
      <c r="E1955" s="64">
        <v>39959.482499999998</v>
      </c>
      <c r="F1955" s="64">
        <v>100000000</v>
      </c>
    </row>
    <row r="1956" spans="1:6" x14ac:dyDescent="0.25">
      <c r="A1956" s="47" t="s">
        <v>6528</v>
      </c>
      <c r="B1956" s="47" t="s">
        <v>6529</v>
      </c>
      <c r="C1956" s="47" t="s">
        <v>6530</v>
      </c>
      <c r="D1956" s="47"/>
      <c r="E1956" s="64">
        <v>53693.619999999995</v>
      </c>
      <c r="F1956" s="64">
        <v>22</v>
      </c>
    </row>
    <row r="1957" spans="1:6" x14ac:dyDescent="0.25">
      <c r="A1957" s="47" t="s">
        <v>6531</v>
      </c>
      <c r="B1957" s="47" t="s">
        <v>6532</v>
      </c>
      <c r="C1957" s="47" t="s">
        <v>6533</v>
      </c>
      <c r="D1957" s="47" t="s">
        <v>6534</v>
      </c>
      <c r="E1957" s="64">
        <v>28897.379999999994</v>
      </c>
      <c r="F1957" s="64">
        <v>111.86944444444447</v>
      </c>
    </row>
    <row r="1958" spans="1:6" x14ac:dyDescent="0.25">
      <c r="A1958" s="47" t="s">
        <v>6535</v>
      </c>
      <c r="B1958" s="47" t="s">
        <v>6536</v>
      </c>
      <c r="C1958" s="47" t="s">
        <v>6537</v>
      </c>
      <c r="D1958" s="47"/>
      <c r="E1958" s="64">
        <v>39959.482499999998</v>
      </c>
      <c r="F1958" s="64">
        <v>100000000</v>
      </c>
    </row>
    <row r="1959" spans="1:6" x14ac:dyDescent="0.25">
      <c r="A1959" s="47" t="s">
        <v>6538</v>
      </c>
      <c r="B1959" s="47" t="s">
        <v>6539</v>
      </c>
      <c r="C1959" s="47" t="s">
        <v>6540</v>
      </c>
      <c r="D1959" s="47" t="s">
        <v>6541</v>
      </c>
      <c r="E1959" s="64">
        <v>25513.440000000002</v>
      </c>
      <c r="F1959" s="64">
        <v>5.2894444444444453</v>
      </c>
    </row>
    <row r="1960" spans="1:6" x14ac:dyDescent="0.25">
      <c r="A1960" s="47" t="s">
        <v>6542</v>
      </c>
      <c r="B1960" s="47" t="s">
        <v>6543</v>
      </c>
      <c r="C1960" s="47" t="s">
        <v>6544</v>
      </c>
      <c r="D1960" s="47" t="s">
        <v>6545</v>
      </c>
      <c r="E1960" s="64">
        <v>32586.460000000003</v>
      </c>
      <c r="F1960" s="64">
        <v>6.515E-2</v>
      </c>
    </row>
    <row r="1961" spans="1:6" x14ac:dyDescent="0.25">
      <c r="A1961" s="47" t="s">
        <v>6546</v>
      </c>
      <c r="B1961" s="47" t="s">
        <v>6547</v>
      </c>
      <c r="C1961" s="47" t="s">
        <v>6548</v>
      </c>
      <c r="D1961" s="47" t="s">
        <v>6549</v>
      </c>
      <c r="E1961" s="64">
        <v>24408.904999999999</v>
      </c>
      <c r="F1961" s="64">
        <v>115</v>
      </c>
    </row>
    <row r="1962" spans="1:6" x14ac:dyDescent="0.25">
      <c r="A1962" s="47" t="s">
        <v>6550</v>
      </c>
      <c r="B1962" s="47" t="s">
        <v>6551</v>
      </c>
      <c r="C1962" s="47" t="s">
        <v>6552</v>
      </c>
      <c r="D1962" s="47" t="s">
        <v>6441</v>
      </c>
      <c r="E1962" s="64">
        <v>46834.61</v>
      </c>
      <c r="F1962" s="64">
        <v>1500</v>
      </c>
    </row>
    <row r="1963" spans="1:6" x14ac:dyDescent="0.25">
      <c r="A1963" s="47" t="s">
        <v>6553</v>
      </c>
      <c r="B1963" s="47" t="s">
        <v>6554</v>
      </c>
      <c r="C1963" s="47" t="s">
        <v>6555</v>
      </c>
      <c r="D1963" s="47" t="s">
        <v>6556</v>
      </c>
      <c r="E1963" s="64">
        <v>13772.47</v>
      </c>
      <c r="F1963" s="64">
        <v>13.154142857142856</v>
      </c>
    </row>
    <row r="1964" spans="1:6" x14ac:dyDescent="0.25">
      <c r="A1964" s="47" t="s">
        <v>6557</v>
      </c>
      <c r="B1964" s="47" t="s">
        <v>6558</v>
      </c>
      <c r="C1964" s="47" t="s">
        <v>6559</v>
      </c>
      <c r="D1964" s="47" t="s">
        <v>6560</v>
      </c>
      <c r="E1964" s="64">
        <v>27681.599999999999</v>
      </c>
      <c r="F1964" s="64">
        <v>8.5</v>
      </c>
    </row>
    <row r="1965" spans="1:6" x14ac:dyDescent="0.25">
      <c r="A1965" s="47" t="s">
        <v>6561</v>
      </c>
      <c r="B1965" s="47" t="s">
        <v>6562</v>
      </c>
      <c r="C1965" s="47" t="s">
        <v>6563</v>
      </c>
      <c r="D1965" s="47" t="s">
        <v>6564</v>
      </c>
      <c r="E1965" s="64">
        <v>25207.9</v>
      </c>
      <c r="F1965" s="64">
        <v>111.86944444444447</v>
      </c>
    </row>
    <row r="1966" spans="1:6" x14ac:dyDescent="0.25">
      <c r="A1966" s="47" t="s">
        <v>6565</v>
      </c>
      <c r="B1966" s="47" t="s">
        <v>6566</v>
      </c>
      <c r="C1966" s="47" t="s">
        <v>6567</v>
      </c>
      <c r="D1966" s="47" t="s">
        <v>2109</v>
      </c>
      <c r="E1966" s="64">
        <v>13762.46</v>
      </c>
      <c r="F1966" s="64">
        <v>93.556478749999997</v>
      </c>
    </row>
    <row r="1967" spans="1:6" x14ac:dyDescent="0.25">
      <c r="A1967" s="47" t="s">
        <v>6568</v>
      </c>
      <c r="B1967" s="47" t="s">
        <v>6569</v>
      </c>
      <c r="C1967" s="47" t="s">
        <v>6570</v>
      </c>
      <c r="D1967" s="47" t="s">
        <v>6441</v>
      </c>
      <c r="E1967" s="64">
        <v>46834.61</v>
      </c>
      <c r="F1967" s="64">
        <v>1500</v>
      </c>
    </row>
    <row r="1968" spans="1:6" x14ac:dyDescent="0.25">
      <c r="A1968" s="47" t="s">
        <v>6571</v>
      </c>
      <c r="B1968" s="47" t="s">
        <v>6572</v>
      </c>
      <c r="C1968" s="47" t="s">
        <v>6573</v>
      </c>
      <c r="D1968" s="47" t="s">
        <v>6441</v>
      </c>
      <c r="E1968" s="64">
        <v>46834.61</v>
      </c>
      <c r="F1968" s="64">
        <v>1500</v>
      </c>
    </row>
    <row r="1969" spans="1:6" x14ac:dyDescent="0.25">
      <c r="A1969" s="47" t="s">
        <v>6574</v>
      </c>
      <c r="B1969" s="47" t="s">
        <v>6575</v>
      </c>
      <c r="C1969" s="47" t="s">
        <v>6576</v>
      </c>
      <c r="D1969" s="47" t="s">
        <v>6577</v>
      </c>
      <c r="E1969" s="64">
        <v>10299.43</v>
      </c>
      <c r="F1969" s="64">
        <v>1.55E-6</v>
      </c>
    </row>
    <row r="1970" spans="1:6" x14ac:dyDescent="0.25">
      <c r="A1970" s="47" t="s">
        <v>6578</v>
      </c>
      <c r="B1970" s="47" t="s">
        <v>6579</v>
      </c>
      <c r="C1970" s="47" t="s">
        <v>6580</v>
      </c>
      <c r="D1970" s="47" t="s">
        <v>6577</v>
      </c>
      <c r="E1970" s="64">
        <v>10299.43</v>
      </c>
      <c r="F1970" s="64">
        <v>1.55E-6</v>
      </c>
    </row>
    <row r="1971" spans="1:6" x14ac:dyDescent="0.25">
      <c r="A1971" s="47" t="s">
        <v>6581</v>
      </c>
      <c r="B1971" s="47" t="s">
        <v>6582</v>
      </c>
      <c r="C1971" s="47" t="s">
        <v>6583</v>
      </c>
      <c r="D1971" s="47" t="s">
        <v>6577</v>
      </c>
      <c r="E1971" s="64">
        <v>10299.43</v>
      </c>
      <c r="F1971" s="64">
        <v>1.55E-6</v>
      </c>
    </row>
    <row r="1972" spans="1:6" x14ac:dyDescent="0.25">
      <c r="A1972" s="47" t="s">
        <v>6584</v>
      </c>
      <c r="B1972" s="47" t="s">
        <v>6585</v>
      </c>
      <c r="C1972" s="47" t="s">
        <v>6586</v>
      </c>
      <c r="D1972" s="47" t="s">
        <v>6577</v>
      </c>
      <c r="E1972" s="64">
        <v>10299.43</v>
      </c>
      <c r="F1972" s="64">
        <v>1.55E-6</v>
      </c>
    </row>
    <row r="1973" spans="1:6" x14ac:dyDescent="0.25">
      <c r="A1973" s="47" t="s">
        <v>6587</v>
      </c>
      <c r="B1973" s="47" t="s">
        <v>6588</v>
      </c>
      <c r="C1973" s="47" t="s">
        <v>6589</v>
      </c>
      <c r="D1973" s="47" t="s">
        <v>6590</v>
      </c>
      <c r="E1973" s="64">
        <v>20468.91</v>
      </c>
      <c r="F1973" s="64">
        <v>241.61285714285714</v>
      </c>
    </row>
    <row r="1974" spans="1:6" x14ac:dyDescent="0.25">
      <c r="A1974" s="47" t="s">
        <v>6591</v>
      </c>
      <c r="B1974" s="47" t="s">
        <v>6592</v>
      </c>
      <c r="C1974" s="47" t="s">
        <v>6593</v>
      </c>
      <c r="D1974" s="47" t="s">
        <v>6594</v>
      </c>
      <c r="E1974" s="64">
        <v>61365.4</v>
      </c>
      <c r="F1974" s="64">
        <v>6.25E-2</v>
      </c>
    </row>
    <row r="1975" spans="1:6" x14ac:dyDescent="0.25">
      <c r="A1975" s="47" t="s">
        <v>6595</v>
      </c>
      <c r="B1975" s="47" t="s">
        <v>6596</v>
      </c>
      <c r="C1975" s="47" t="s">
        <v>6597</v>
      </c>
      <c r="D1975" s="47" t="s">
        <v>6598</v>
      </c>
      <c r="E1975" s="64">
        <v>31632.15</v>
      </c>
      <c r="F1975" s="64">
        <v>6.2E-2</v>
      </c>
    </row>
    <row r="1976" spans="1:6" x14ac:dyDescent="0.25">
      <c r="A1976" s="47" t="s">
        <v>6599</v>
      </c>
      <c r="B1976" s="47" t="s">
        <v>6600</v>
      </c>
      <c r="C1976" s="47" t="s">
        <v>6601</v>
      </c>
      <c r="D1976" s="47" t="s">
        <v>6602</v>
      </c>
      <c r="E1976" s="64">
        <v>14944.829999999998</v>
      </c>
      <c r="F1976" s="64">
        <v>3.165</v>
      </c>
    </row>
    <row r="1977" spans="1:6" x14ac:dyDescent="0.25">
      <c r="A1977" s="47" t="s">
        <v>6603</v>
      </c>
      <c r="B1977" s="47" t="s">
        <v>6604</v>
      </c>
      <c r="C1977" s="47" t="s">
        <v>6605</v>
      </c>
      <c r="D1977" s="47" t="s">
        <v>4625</v>
      </c>
      <c r="E1977" s="64">
        <v>58918.270000000004</v>
      </c>
      <c r="F1977" s="64">
        <v>0.5</v>
      </c>
    </row>
    <row r="1978" spans="1:6" x14ac:dyDescent="0.25">
      <c r="A1978" s="47" t="s">
        <v>6606</v>
      </c>
      <c r="B1978" s="47" t="s">
        <v>6607</v>
      </c>
      <c r="C1978" s="47" t="s">
        <v>6608</v>
      </c>
      <c r="D1978" s="47" t="s">
        <v>6609</v>
      </c>
      <c r="E1978" s="64">
        <v>26895.4</v>
      </c>
      <c r="F1978" s="64">
        <v>85.466666666666654</v>
      </c>
    </row>
    <row r="1979" spans="1:6" x14ac:dyDescent="0.25">
      <c r="A1979" s="47" t="s">
        <v>6610</v>
      </c>
      <c r="B1979" s="47" t="s">
        <v>6611</v>
      </c>
      <c r="C1979" s="47" t="s">
        <v>6612</v>
      </c>
      <c r="D1979" s="47" t="s">
        <v>4625</v>
      </c>
      <c r="E1979" s="64">
        <v>177586.44000000003</v>
      </c>
      <c r="F1979" s="64">
        <v>0.5</v>
      </c>
    </row>
    <row r="1980" spans="1:6" x14ac:dyDescent="0.25">
      <c r="A1980" s="47" t="s">
        <v>6613</v>
      </c>
      <c r="B1980" s="47" t="s">
        <v>6614</v>
      </c>
      <c r="C1980" s="47" t="s">
        <v>6615</v>
      </c>
      <c r="D1980" s="47" t="s">
        <v>5299</v>
      </c>
      <c r="E1980" s="64">
        <v>22192.85</v>
      </c>
      <c r="F1980" s="64">
        <v>166.8</v>
      </c>
    </row>
    <row r="1981" spans="1:6" x14ac:dyDescent="0.25">
      <c r="A1981" s="47" t="s">
        <v>6616</v>
      </c>
      <c r="B1981" s="47" t="s">
        <v>6617</v>
      </c>
      <c r="C1981" s="47" t="s">
        <v>6618</v>
      </c>
      <c r="D1981" s="47" t="s">
        <v>6577</v>
      </c>
      <c r="E1981" s="64">
        <v>10299.43</v>
      </c>
      <c r="F1981" s="64">
        <v>1.55E-6</v>
      </c>
    </row>
    <row r="1982" spans="1:6" x14ac:dyDescent="0.25">
      <c r="A1982" s="47" t="s">
        <v>6619</v>
      </c>
      <c r="B1982" s="47" t="s">
        <v>6620</v>
      </c>
      <c r="C1982" s="47" t="s">
        <v>6621</v>
      </c>
      <c r="D1982" s="47" t="s">
        <v>6622</v>
      </c>
      <c r="E1982" s="64">
        <v>21513.260000000002</v>
      </c>
      <c r="F1982" s="64">
        <v>4.5999999999999999E-3</v>
      </c>
    </row>
    <row r="1983" spans="1:6" x14ac:dyDescent="0.25">
      <c r="A1983" s="47" t="s">
        <v>6623</v>
      </c>
      <c r="B1983" s="47" t="s">
        <v>6624</v>
      </c>
      <c r="C1983" s="47" t="s">
        <v>6625</v>
      </c>
      <c r="D1983" s="47"/>
      <c r="E1983" s="64">
        <v>39959.482499999998</v>
      </c>
      <c r="F1983" s="64">
        <v>100000000</v>
      </c>
    </row>
    <row r="1984" spans="1:6" x14ac:dyDescent="0.25">
      <c r="A1984" s="47" t="s">
        <v>6626</v>
      </c>
      <c r="B1984" s="47" t="s">
        <v>6627</v>
      </c>
      <c r="C1984" s="47" t="s">
        <v>6628</v>
      </c>
      <c r="D1984" s="47"/>
      <c r="E1984" s="64">
        <v>39959.482499999998</v>
      </c>
      <c r="F1984" s="64">
        <v>100000000</v>
      </c>
    </row>
    <row r="1985" spans="1:6" x14ac:dyDescent="0.25">
      <c r="A1985" s="47" t="s">
        <v>6629</v>
      </c>
      <c r="B1985" s="47" t="s">
        <v>6630</v>
      </c>
      <c r="C1985" s="47" t="s">
        <v>6631</v>
      </c>
      <c r="D1985" s="47" t="s">
        <v>6632</v>
      </c>
      <c r="E1985" s="64">
        <v>45826.819999999992</v>
      </c>
      <c r="F1985" s="64">
        <v>4.75</v>
      </c>
    </row>
    <row r="1986" spans="1:6" x14ac:dyDescent="0.25">
      <c r="A1986" s="47" t="s">
        <v>6633</v>
      </c>
      <c r="B1986" s="47" t="s">
        <v>6634</v>
      </c>
      <c r="C1986" s="47" t="s">
        <v>6635</v>
      </c>
      <c r="D1986" s="47" t="s">
        <v>6636</v>
      </c>
      <c r="E1986" s="64">
        <v>131887.06</v>
      </c>
      <c r="F1986" s="64">
        <v>6.4705079365079357</v>
      </c>
    </row>
    <row r="1987" spans="1:6" x14ac:dyDescent="0.25">
      <c r="A1987" s="47" t="s">
        <v>6637</v>
      </c>
      <c r="B1987" s="47" t="s">
        <v>6638</v>
      </c>
      <c r="C1987" s="47" t="s">
        <v>6639</v>
      </c>
      <c r="D1987" s="47" t="s">
        <v>6640</v>
      </c>
      <c r="E1987" s="64">
        <v>70661.179999999993</v>
      </c>
      <c r="F1987" s="64">
        <v>7.8</v>
      </c>
    </row>
    <row r="1988" spans="1:6" x14ac:dyDescent="0.25">
      <c r="A1988" s="47" t="s">
        <v>6641</v>
      </c>
      <c r="B1988" s="47" t="s">
        <v>6642</v>
      </c>
      <c r="C1988" s="47" t="s">
        <v>6643</v>
      </c>
      <c r="D1988" s="47" t="s">
        <v>6338</v>
      </c>
      <c r="E1988" s="64">
        <v>51731.210000000006</v>
      </c>
      <c r="F1988" s="64">
        <v>76.088466666666676</v>
      </c>
    </row>
    <row r="1989" spans="1:6" x14ac:dyDescent="0.25">
      <c r="A1989" s="47" t="s">
        <v>6644</v>
      </c>
      <c r="B1989" s="47" t="s">
        <v>6645</v>
      </c>
      <c r="C1989" s="47" t="s">
        <v>6646</v>
      </c>
      <c r="D1989" s="47" t="s">
        <v>2303</v>
      </c>
      <c r="E1989" s="64">
        <v>259517.81</v>
      </c>
      <c r="F1989" s="64">
        <v>95.19583333333334</v>
      </c>
    </row>
    <row r="1990" spans="1:6" x14ac:dyDescent="0.25">
      <c r="A1990" s="47" t="s">
        <v>6647</v>
      </c>
      <c r="B1990" s="47" t="s">
        <v>6648</v>
      </c>
      <c r="C1990" s="47" t="s">
        <v>6649</v>
      </c>
      <c r="D1990" s="47" t="s">
        <v>2303</v>
      </c>
      <c r="E1990" s="64">
        <v>259517.81</v>
      </c>
      <c r="F1990" s="64">
        <v>95.19583333333334</v>
      </c>
    </row>
    <row r="1991" spans="1:6" x14ac:dyDescent="0.25">
      <c r="A1991" s="47" t="s">
        <v>6650</v>
      </c>
      <c r="B1991" s="47" t="s">
        <v>6651</v>
      </c>
      <c r="C1991" s="47" t="s">
        <v>6652</v>
      </c>
      <c r="D1991" s="47" t="s">
        <v>2303</v>
      </c>
      <c r="E1991" s="64">
        <v>259517.81</v>
      </c>
      <c r="F1991" s="64">
        <v>95.19583333333334</v>
      </c>
    </row>
    <row r="1992" spans="1:6" x14ac:dyDescent="0.25">
      <c r="A1992" s="47" t="s">
        <v>6653</v>
      </c>
      <c r="B1992" s="47" t="s">
        <v>6654</v>
      </c>
      <c r="C1992" s="47" t="s">
        <v>6655</v>
      </c>
      <c r="D1992" s="47" t="s">
        <v>6656</v>
      </c>
      <c r="E1992" s="64">
        <v>59948.299999999981</v>
      </c>
      <c r="F1992" s="64">
        <v>15.5</v>
      </c>
    </row>
    <row r="1993" spans="1:6" x14ac:dyDescent="0.25">
      <c r="A1993" s="47" t="s">
        <v>6657</v>
      </c>
      <c r="B1993" s="47" t="s">
        <v>6658</v>
      </c>
      <c r="C1993" s="47" t="s">
        <v>6659</v>
      </c>
      <c r="D1993" s="47" t="s">
        <v>6476</v>
      </c>
      <c r="E1993" s="64">
        <v>31314.67</v>
      </c>
      <c r="F1993" s="64">
        <v>4.7999999999999996E-3</v>
      </c>
    </row>
    <row r="1994" spans="1:6" x14ac:dyDescent="0.25">
      <c r="A1994" s="47" t="s">
        <v>6660</v>
      </c>
      <c r="B1994" s="47" t="s">
        <v>6661</v>
      </c>
      <c r="C1994" s="47" t="s">
        <v>6662</v>
      </c>
      <c r="D1994" s="47" t="s">
        <v>6663</v>
      </c>
      <c r="E1994" s="64">
        <v>25720.160000000003</v>
      </c>
      <c r="F1994" s="64">
        <v>85.466666666666654</v>
      </c>
    </row>
    <row r="1995" spans="1:6" x14ac:dyDescent="0.25">
      <c r="A1995" s="47" t="s">
        <v>6664</v>
      </c>
      <c r="B1995" s="47" t="s">
        <v>6665</v>
      </c>
      <c r="C1995" s="47" t="s">
        <v>6666</v>
      </c>
      <c r="D1995" s="47" t="s">
        <v>6469</v>
      </c>
      <c r="E1995" s="64">
        <v>44065.91</v>
      </c>
      <c r="F1995" s="64">
        <v>1.375</v>
      </c>
    </row>
    <row r="1996" spans="1:6" x14ac:dyDescent="0.25">
      <c r="A1996" s="47" t="s">
        <v>6667</v>
      </c>
      <c r="B1996" s="47" t="s">
        <v>6668</v>
      </c>
      <c r="C1996" s="47" t="s">
        <v>6669</v>
      </c>
      <c r="D1996" s="47" t="s">
        <v>6476</v>
      </c>
      <c r="E1996" s="64">
        <v>31314.67</v>
      </c>
      <c r="F1996" s="64">
        <v>4.7999999999999996E-3</v>
      </c>
    </row>
    <row r="1997" spans="1:6" x14ac:dyDescent="0.25">
      <c r="A1997" s="47" t="s">
        <v>6670</v>
      </c>
      <c r="B1997" s="47" t="s">
        <v>6671</v>
      </c>
      <c r="C1997" s="47" t="s">
        <v>6672</v>
      </c>
      <c r="D1997" s="47" t="s">
        <v>6517</v>
      </c>
      <c r="E1997" s="64">
        <v>189306.91</v>
      </c>
      <c r="F1997" s="64">
        <v>0.42499999999999999</v>
      </c>
    </row>
    <row r="1998" spans="1:6" x14ac:dyDescent="0.25">
      <c r="A1998" s="47" t="s">
        <v>6673</v>
      </c>
      <c r="B1998" s="47" t="s">
        <v>6674</v>
      </c>
      <c r="C1998" s="47" t="s">
        <v>6675</v>
      </c>
      <c r="D1998" s="47" t="s">
        <v>2245</v>
      </c>
      <c r="E1998" s="64">
        <v>43702.130000000005</v>
      </c>
      <c r="F1998" s="64">
        <v>1.4</v>
      </c>
    </row>
    <row r="1999" spans="1:6" x14ac:dyDescent="0.25">
      <c r="A1999" s="47" t="s">
        <v>6676</v>
      </c>
      <c r="B1999" s="47" t="s">
        <v>6378</v>
      </c>
      <c r="C1999" s="47" t="s">
        <v>6677</v>
      </c>
      <c r="D1999" s="47" t="s">
        <v>6380</v>
      </c>
      <c r="E1999" s="64">
        <v>79591.570000000007</v>
      </c>
      <c r="F1999" s="64">
        <v>63</v>
      </c>
    </row>
    <row r="2000" spans="1:6" x14ac:dyDescent="0.25">
      <c r="A2000" s="47" t="s">
        <v>6678</v>
      </c>
      <c r="B2000" s="47" t="s">
        <v>6679</v>
      </c>
      <c r="C2000" s="47" t="s">
        <v>6680</v>
      </c>
      <c r="D2000" s="47" t="s">
        <v>2303</v>
      </c>
      <c r="E2000" s="64">
        <v>259517.81</v>
      </c>
      <c r="F2000" s="64">
        <v>95.19583333333334</v>
      </c>
    </row>
    <row r="2001" spans="1:6" x14ac:dyDescent="0.25">
      <c r="A2001" s="47" t="s">
        <v>6681</v>
      </c>
      <c r="B2001" s="47" t="s">
        <v>6682</v>
      </c>
      <c r="C2001" s="47" t="s">
        <v>6683</v>
      </c>
      <c r="D2001" s="47" t="s">
        <v>2303</v>
      </c>
      <c r="E2001" s="64">
        <v>259517.81</v>
      </c>
      <c r="F2001" s="64">
        <v>95.19583333333334</v>
      </c>
    </row>
    <row r="2002" spans="1:6" x14ac:dyDescent="0.25">
      <c r="A2002" s="47" t="s">
        <v>6684</v>
      </c>
      <c r="B2002" s="47" t="s">
        <v>6685</v>
      </c>
      <c r="C2002" s="47" t="s">
        <v>6686</v>
      </c>
      <c r="D2002" s="47" t="s">
        <v>6687</v>
      </c>
      <c r="E2002" s="64">
        <v>170222.15999999997</v>
      </c>
      <c r="F2002" s="64">
        <v>36.1</v>
      </c>
    </row>
    <row r="2003" spans="1:6" x14ac:dyDescent="0.25">
      <c r="A2003" s="47" t="s">
        <v>6688</v>
      </c>
      <c r="B2003" s="47" t="s">
        <v>6689</v>
      </c>
      <c r="C2003" s="47" t="s">
        <v>6690</v>
      </c>
      <c r="D2003" s="47" t="s">
        <v>6687</v>
      </c>
      <c r="E2003" s="64">
        <v>170222.15999999997</v>
      </c>
      <c r="F2003" s="64">
        <v>36.1</v>
      </c>
    </row>
    <row r="2004" spans="1:6" x14ac:dyDescent="0.25">
      <c r="A2004" s="47" t="s">
        <v>6691</v>
      </c>
      <c r="B2004" s="47" t="s">
        <v>6692</v>
      </c>
      <c r="C2004" s="47" t="s">
        <v>6693</v>
      </c>
      <c r="D2004" s="47" t="s">
        <v>6441</v>
      </c>
      <c r="E2004" s="64">
        <v>46834.61</v>
      </c>
      <c r="F2004" s="64">
        <v>1500</v>
      </c>
    </row>
    <row r="2005" spans="1:6" x14ac:dyDescent="0.25">
      <c r="A2005" s="47" t="s">
        <v>6694</v>
      </c>
      <c r="B2005" s="47" t="s">
        <v>6695</v>
      </c>
      <c r="C2005" s="47" t="s">
        <v>6696</v>
      </c>
      <c r="D2005" s="47" t="s">
        <v>5299</v>
      </c>
      <c r="E2005" s="64">
        <v>22192.85</v>
      </c>
      <c r="F2005" s="64">
        <v>166.8</v>
      </c>
    </row>
    <row r="2006" spans="1:6" x14ac:dyDescent="0.25">
      <c r="A2006" s="47" t="s">
        <v>6697</v>
      </c>
      <c r="B2006" s="47" t="s">
        <v>6698</v>
      </c>
      <c r="C2006" s="47" t="s">
        <v>6699</v>
      </c>
      <c r="D2006" s="47" t="s">
        <v>5299</v>
      </c>
      <c r="E2006" s="64">
        <v>22192.85</v>
      </c>
      <c r="F2006" s="64">
        <v>166.8</v>
      </c>
    </row>
    <row r="2007" spans="1:6" x14ac:dyDescent="0.25">
      <c r="A2007" s="47" t="s">
        <v>6700</v>
      </c>
      <c r="B2007" s="47" t="s">
        <v>6701</v>
      </c>
      <c r="C2007" s="47" t="s">
        <v>6702</v>
      </c>
      <c r="D2007" s="47" t="s">
        <v>5299</v>
      </c>
      <c r="E2007" s="64">
        <v>22192.85</v>
      </c>
      <c r="F2007" s="64">
        <v>166.8</v>
      </c>
    </row>
    <row r="2008" spans="1:6" x14ac:dyDescent="0.25">
      <c r="A2008" s="47" t="s">
        <v>6703</v>
      </c>
      <c r="B2008" s="47" t="s">
        <v>6704</v>
      </c>
      <c r="C2008" s="47" t="s">
        <v>6705</v>
      </c>
      <c r="D2008" s="47" t="s">
        <v>6577</v>
      </c>
      <c r="E2008" s="64">
        <v>10299.43</v>
      </c>
      <c r="F2008" s="64">
        <v>1.55E-6</v>
      </c>
    </row>
    <row r="2009" spans="1:6" x14ac:dyDescent="0.25">
      <c r="A2009" s="47" t="s">
        <v>6706</v>
      </c>
      <c r="B2009" s="47" t="s">
        <v>6707</v>
      </c>
      <c r="C2009" s="47" t="s">
        <v>6708</v>
      </c>
      <c r="D2009" s="47" t="s">
        <v>6577</v>
      </c>
      <c r="E2009" s="64">
        <v>10299.43</v>
      </c>
      <c r="F2009" s="64">
        <v>1.55E-6</v>
      </c>
    </row>
    <row r="2010" spans="1:6" x14ac:dyDescent="0.25">
      <c r="A2010" s="47" t="s">
        <v>6709</v>
      </c>
      <c r="B2010" s="47" t="s">
        <v>6710</v>
      </c>
      <c r="C2010" s="47" t="s">
        <v>6711</v>
      </c>
      <c r="D2010" s="47" t="s">
        <v>5333</v>
      </c>
      <c r="E2010" s="64">
        <v>17032.43</v>
      </c>
      <c r="F2010" s="64">
        <v>368.48649999999998</v>
      </c>
    </row>
    <row r="2011" spans="1:6" x14ac:dyDescent="0.25">
      <c r="A2011" s="47" t="s">
        <v>6712</v>
      </c>
      <c r="B2011" s="47" t="s">
        <v>6713</v>
      </c>
      <c r="C2011" s="47" t="s">
        <v>6714</v>
      </c>
      <c r="D2011" s="47" t="s">
        <v>4830</v>
      </c>
      <c r="E2011" s="64">
        <v>27863.119999999995</v>
      </c>
      <c r="F2011" s="64">
        <v>5.3</v>
      </c>
    </row>
    <row r="2012" spans="1:6" x14ac:dyDescent="0.25">
      <c r="A2012" s="47" t="s">
        <v>6715</v>
      </c>
      <c r="B2012" s="47" t="s">
        <v>6716</v>
      </c>
      <c r="C2012" s="47" t="s">
        <v>6717</v>
      </c>
      <c r="D2012" s="47" t="s">
        <v>6718</v>
      </c>
      <c r="E2012" s="64">
        <v>41593.119999999995</v>
      </c>
      <c r="F2012" s="64">
        <v>2.8000000000000001E-2</v>
      </c>
    </row>
    <row r="2013" spans="1:6" x14ac:dyDescent="0.25">
      <c r="A2013" s="47" t="s">
        <v>6719</v>
      </c>
      <c r="B2013" s="47" t="s">
        <v>6720</v>
      </c>
      <c r="C2013" s="47" t="s">
        <v>6721</v>
      </c>
      <c r="D2013" s="47" t="s">
        <v>4625</v>
      </c>
      <c r="E2013" s="64">
        <v>60214.42</v>
      </c>
      <c r="F2013" s="64">
        <v>0.5</v>
      </c>
    </row>
    <row r="2014" spans="1:6" x14ac:dyDescent="0.25">
      <c r="A2014" s="47" t="s">
        <v>6722</v>
      </c>
      <c r="B2014" s="47" t="s">
        <v>6723</v>
      </c>
      <c r="C2014" s="47" t="s">
        <v>6724</v>
      </c>
      <c r="D2014" s="47" t="s">
        <v>6517</v>
      </c>
      <c r="E2014" s="64">
        <v>189306.91</v>
      </c>
      <c r="F2014" s="64">
        <v>0.42499999999999999</v>
      </c>
    </row>
    <row r="2015" spans="1:6" x14ac:dyDescent="0.25">
      <c r="A2015" s="47" t="s">
        <v>6725</v>
      </c>
      <c r="B2015" s="47" t="s">
        <v>6726</v>
      </c>
      <c r="C2015" s="47" t="s">
        <v>6727</v>
      </c>
      <c r="D2015" s="47"/>
      <c r="E2015" s="64">
        <v>129110.51</v>
      </c>
      <c r="F2015" s="64">
        <v>22</v>
      </c>
    </row>
    <row r="2016" spans="1:6" x14ac:dyDescent="0.25">
      <c r="A2016" s="47" t="s">
        <v>6728</v>
      </c>
      <c r="B2016" s="47" t="s">
        <v>6729</v>
      </c>
      <c r="C2016" s="47" t="s">
        <v>6730</v>
      </c>
      <c r="D2016" s="47"/>
      <c r="E2016" s="64">
        <v>39959.482499999998</v>
      </c>
      <c r="F2016" s="64">
        <v>100000000</v>
      </c>
    </row>
    <row r="2017" spans="1:6" x14ac:dyDescent="0.25">
      <c r="A2017" s="47" t="s">
        <v>6731</v>
      </c>
      <c r="B2017" s="47" t="s">
        <v>6732</v>
      </c>
      <c r="C2017" s="47" t="s">
        <v>6733</v>
      </c>
      <c r="D2017" s="47" t="s">
        <v>6734</v>
      </c>
      <c r="E2017" s="64">
        <v>232981.3</v>
      </c>
      <c r="F2017" s="64">
        <v>227.5</v>
      </c>
    </row>
    <row r="2018" spans="1:6" x14ac:dyDescent="0.25">
      <c r="A2018" s="47" t="s">
        <v>6735</v>
      </c>
      <c r="B2018" s="47" t="s">
        <v>6736</v>
      </c>
      <c r="C2018" s="47" t="s">
        <v>6737</v>
      </c>
      <c r="D2018" s="47" t="s">
        <v>5333</v>
      </c>
      <c r="E2018" s="64">
        <v>17032.43</v>
      </c>
      <c r="F2018" s="64">
        <v>368.48649999999998</v>
      </c>
    </row>
    <row r="2019" spans="1:6" x14ac:dyDescent="0.25">
      <c r="A2019" s="47" t="s">
        <v>6738</v>
      </c>
      <c r="B2019" s="47" t="s">
        <v>6739</v>
      </c>
      <c r="C2019" s="47" t="s">
        <v>6740</v>
      </c>
      <c r="D2019" s="47" t="s">
        <v>4830</v>
      </c>
      <c r="E2019" s="64">
        <v>27863.119999999995</v>
      </c>
      <c r="F2019" s="64">
        <v>5.3</v>
      </c>
    </row>
    <row r="2020" spans="1:6" x14ac:dyDescent="0.25">
      <c r="A2020" s="47" t="s">
        <v>6741</v>
      </c>
      <c r="B2020" s="47" t="s">
        <v>6742</v>
      </c>
      <c r="C2020" s="47" t="s">
        <v>6743</v>
      </c>
      <c r="D2020" s="47" t="s">
        <v>4886</v>
      </c>
      <c r="E2020" s="64">
        <v>25559.58</v>
      </c>
      <c r="F2020" s="64">
        <v>0.59</v>
      </c>
    </row>
    <row r="2021" spans="1:6" x14ac:dyDescent="0.25">
      <c r="A2021" s="47" t="s">
        <v>6744</v>
      </c>
      <c r="B2021" s="47" t="s">
        <v>6745</v>
      </c>
      <c r="C2021" s="47" t="s">
        <v>6746</v>
      </c>
      <c r="D2021" s="47" t="s">
        <v>6747</v>
      </c>
      <c r="E2021" s="64">
        <v>28504.230000000003</v>
      </c>
      <c r="F2021" s="64">
        <v>18.5</v>
      </c>
    </row>
    <row r="2022" spans="1:6" x14ac:dyDescent="0.25">
      <c r="A2022" s="47" t="s">
        <v>6748</v>
      </c>
      <c r="B2022" s="47" t="s">
        <v>6749</v>
      </c>
      <c r="C2022" s="47" t="s">
        <v>6750</v>
      </c>
      <c r="D2022" s="47"/>
      <c r="E2022" s="64">
        <v>39959.482499999998</v>
      </c>
      <c r="F2022" s="64">
        <v>100000000</v>
      </c>
    </row>
    <row r="2023" spans="1:6" x14ac:dyDescent="0.25">
      <c r="A2023" s="47" t="s">
        <v>6751</v>
      </c>
      <c r="B2023" s="47" t="s">
        <v>6752</v>
      </c>
      <c r="C2023" s="47" t="s">
        <v>6753</v>
      </c>
      <c r="D2023" s="47" t="s">
        <v>6754</v>
      </c>
      <c r="E2023" s="64">
        <v>60382.334999999992</v>
      </c>
      <c r="F2023" s="64">
        <v>3.7</v>
      </c>
    </row>
    <row r="2024" spans="1:6" x14ac:dyDescent="0.25">
      <c r="A2024" s="47" t="s">
        <v>6755</v>
      </c>
      <c r="B2024" s="47" t="s">
        <v>6756</v>
      </c>
      <c r="C2024" s="47" t="s">
        <v>6757</v>
      </c>
      <c r="D2024" s="47" t="s">
        <v>6758</v>
      </c>
      <c r="E2024" s="64">
        <v>122299.77</v>
      </c>
      <c r="F2024" s="64">
        <v>34.15</v>
      </c>
    </row>
    <row r="2025" spans="1:6" x14ac:dyDescent="0.25">
      <c r="A2025" s="47" t="s">
        <v>6759</v>
      </c>
      <c r="B2025" s="47" t="s">
        <v>6760</v>
      </c>
      <c r="C2025" s="47" t="s">
        <v>6761</v>
      </c>
      <c r="D2025" s="47" t="s">
        <v>6758</v>
      </c>
      <c r="E2025" s="64">
        <v>122299.77</v>
      </c>
      <c r="F2025" s="64">
        <v>34.15</v>
      </c>
    </row>
    <row r="2026" spans="1:6" x14ac:dyDescent="0.25">
      <c r="A2026" s="47" t="s">
        <v>6762</v>
      </c>
      <c r="B2026" s="47" t="s">
        <v>6763</v>
      </c>
      <c r="C2026" s="47" t="s">
        <v>6764</v>
      </c>
      <c r="D2026" s="47" t="s">
        <v>6758</v>
      </c>
      <c r="E2026" s="64">
        <v>122299.77</v>
      </c>
      <c r="F2026" s="64">
        <v>34.15</v>
      </c>
    </row>
    <row r="2027" spans="1:6" x14ac:dyDescent="0.25">
      <c r="A2027" s="47" t="s">
        <v>6765</v>
      </c>
      <c r="B2027" s="47" t="s">
        <v>6766</v>
      </c>
      <c r="C2027" s="47" t="s">
        <v>6767</v>
      </c>
      <c r="D2027" s="47" t="s">
        <v>6758</v>
      </c>
      <c r="E2027" s="64">
        <v>122299.77</v>
      </c>
      <c r="F2027" s="64">
        <v>34.15</v>
      </c>
    </row>
    <row r="2028" spans="1:6" x14ac:dyDescent="0.25">
      <c r="A2028" s="47" t="s">
        <v>6768</v>
      </c>
      <c r="B2028" s="47" t="s">
        <v>6769</v>
      </c>
      <c r="C2028" s="47" t="s">
        <v>6770</v>
      </c>
      <c r="D2028" s="47" t="s">
        <v>6771</v>
      </c>
      <c r="E2028" s="64">
        <v>47450.055</v>
      </c>
      <c r="F2028" s="64">
        <v>21.925000000000001</v>
      </c>
    </row>
    <row r="2029" spans="1:6" x14ac:dyDescent="0.25">
      <c r="A2029" s="47" t="s">
        <v>6772</v>
      </c>
      <c r="B2029" s="47" t="s">
        <v>6773</v>
      </c>
      <c r="C2029" s="47" t="s">
        <v>6774</v>
      </c>
      <c r="D2029" s="47"/>
      <c r="E2029" s="64">
        <v>39959.482499999998</v>
      </c>
      <c r="F2029" s="64">
        <v>100000000</v>
      </c>
    </row>
    <row r="2030" spans="1:6" x14ac:dyDescent="0.25">
      <c r="A2030" s="47" t="s">
        <v>6775</v>
      </c>
      <c r="B2030" s="47" t="s">
        <v>6776</v>
      </c>
      <c r="C2030" s="47" t="s">
        <v>6777</v>
      </c>
      <c r="D2030" s="47"/>
      <c r="E2030" s="64">
        <v>209205.685</v>
      </c>
      <c r="F2030" s="64">
        <v>22</v>
      </c>
    </row>
    <row r="2031" spans="1:6" x14ac:dyDescent="0.25">
      <c r="A2031" s="47" t="s">
        <v>6778</v>
      </c>
      <c r="B2031" s="47" t="s">
        <v>6779</v>
      </c>
      <c r="C2031" s="47" t="s">
        <v>6780</v>
      </c>
      <c r="D2031" s="47"/>
      <c r="E2031" s="64">
        <v>24881.919999999998</v>
      </c>
      <c r="F2031" s="64">
        <v>22</v>
      </c>
    </row>
    <row r="2032" spans="1:6" x14ac:dyDescent="0.25">
      <c r="A2032" s="47" t="s">
        <v>6781</v>
      </c>
      <c r="B2032" s="47" t="s">
        <v>6782</v>
      </c>
      <c r="C2032" s="47" t="s">
        <v>6783</v>
      </c>
      <c r="D2032" s="47" t="s">
        <v>6784</v>
      </c>
      <c r="E2032" s="64">
        <v>73000.56</v>
      </c>
      <c r="F2032" s="64">
        <v>39</v>
      </c>
    </row>
    <row r="2033" spans="1:6" x14ac:dyDescent="0.25">
      <c r="A2033" s="47" t="s">
        <v>6785</v>
      </c>
      <c r="B2033" s="47" t="s">
        <v>6786</v>
      </c>
      <c r="C2033" s="47" t="s">
        <v>6787</v>
      </c>
      <c r="D2033" s="47" t="s">
        <v>6788</v>
      </c>
      <c r="E2033" s="64">
        <v>27236.700000000004</v>
      </c>
      <c r="F2033" s="64">
        <v>15</v>
      </c>
    </row>
    <row r="2034" spans="1:6" x14ac:dyDescent="0.25">
      <c r="A2034" s="47" t="s">
        <v>6789</v>
      </c>
      <c r="B2034" s="47" t="s">
        <v>6790</v>
      </c>
      <c r="C2034" s="47" t="s">
        <v>6791</v>
      </c>
      <c r="D2034" s="47" t="s">
        <v>727</v>
      </c>
      <c r="E2034" s="64">
        <v>45315.27</v>
      </c>
      <c r="F2034" s="64">
        <v>12.285</v>
      </c>
    </row>
    <row r="2035" spans="1:6" x14ac:dyDescent="0.25">
      <c r="A2035" s="47" t="s">
        <v>6792</v>
      </c>
      <c r="B2035" s="47" t="s">
        <v>6793</v>
      </c>
      <c r="C2035" s="47" t="s">
        <v>6794</v>
      </c>
      <c r="D2035" s="47" t="s">
        <v>6795</v>
      </c>
      <c r="E2035" s="64">
        <v>21104.81</v>
      </c>
      <c r="F2035" s="64">
        <v>1.5150000000000001</v>
      </c>
    </row>
    <row r="2036" spans="1:6" x14ac:dyDescent="0.25">
      <c r="A2036" s="47" t="s">
        <v>6796</v>
      </c>
      <c r="B2036" s="47" t="s">
        <v>6797</v>
      </c>
      <c r="C2036" s="47" t="s">
        <v>6798</v>
      </c>
      <c r="D2036" s="47"/>
      <c r="E2036" s="64">
        <v>39959.482499999998</v>
      </c>
      <c r="F2036" s="64">
        <v>100000000</v>
      </c>
    </row>
    <row r="2037" spans="1:6" x14ac:dyDescent="0.25">
      <c r="A2037" s="47" t="s">
        <v>6799</v>
      </c>
      <c r="B2037" s="47" t="s">
        <v>6800</v>
      </c>
      <c r="C2037" s="47" t="s">
        <v>6801</v>
      </c>
      <c r="D2037" s="47" t="s">
        <v>3441</v>
      </c>
      <c r="E2037" s="64">
        <v>79340.11</v>
      </c>
      <c r="F2037" s="64">
        <v>2.9850000000000003</v>
      </c>
    </row>
    <row r="2038" spans="1:6" x14ac:dyDescent="0.25">
      <c r="A2038" s="47" t="s">
        <v>6802</v>
      </c>
      <c r="B2038" s="47" t="s">
        <v>6803</v>
      </c>
      <c r="C2038" s="47" t="s">
        <v>6804</v>
      </c>
      <c r="D2038" s="47" t="s">
        <v>6805</v>
      </c>
      <c r="E2038" s="64">
        <v>26758.400000000001</v>
      </c>
      <c r="F2038" s="64">
        <v>96.060777777777773</v>
      </c>
    </row>
    <row r="2039" spans="1:6" x14ac:dyDescent="0.25">
      <c r="A2039" s="47" t="s">
        <v>6806</v>
      </c>
      <c r="B2039" s="47" t="s">
        <v>6807</v>
      </c>
      <c r="C2039" s="47" t="s">
        <v>6808</v>
      </c>
      <c r="D2039" s="47" t="s">
        <v>6809</v>
      </c>
      <c r="E2039" s="64">
        <v>26718.120000000003</v>
      </c>
      <c r="F2039" s="64">
        <v>370</v>
      </c>
    </row>
    <row r="2040" spans="1:6" x14ac:dyDescent="0.25">
      <c r="A2040" s="47" t="s">
        <v>6810</v>
      </c>
      <c r="B2040" s="47" t="s">
        <v>6811</v>
      </c>
      <c r="C2040" s="47" t="s">
        <v>6812</v>
      </c>
      <c r="D2040" s="47" t="s">
        <v>6813</v>
      </c>
      <c r="E2040" s="64">
        <v>54794.05</v>
      </c>
      <c r="F2040" s="64">
        <v>6.9999999999999999E-4</v>
      </c>
    </row>
    <row r="2041" spans="1:6" x14ac:dyDescent="0.25">
      <c r="A2041" s="47" t="s">
        <v>6814</v>
      </c>
      <c r="B2041" s="47" t="s">
        <v>6815</v>
      </c>
      <c r="C2041" s="47" t="s">
        <v>6816</v>
      </c>
      <c r="D2041" s="47" t="s">
        <v>6817</v>
      </c>
      <c r="E2041" s="64">
        <v>23881.870000000003</v>
      </c>
      <c r="F2041" s="64">
        <v>0.2</v>
      </c>
    </row>
    <row r="2042" spans="1:6" x14ac:dyDescent="0.25">
      <c r="A2042" s="47" t="s">
        <v>6818</v>
      </c>
      <c r="B2042" s="47" t="s">
        <v>6819</v>
      </c>
      <c r="C2042" s="47" t="s">
        <v>6820</v>
      </c>
      <c r="D2042" s="47" t="s">
        <v>6821</v>
      </c>
      <c r="E2042" s="64">
        <v>36070.61</v>
      </c>
      <c r="F2042" s="64">
        <v>85.466666666666654</v>
      </c>
    </row>
    <row r="2043" spans="1:6" x14ac:dyDescent="0.25">
      <c r="A2043" s="47" t="s">
        <v>6822</v>
      </c>
      <c r="B2043" s="47" t="s">
        <v>6823</v>
      </c>
      <c r="C2043" s="47" t="s">
        <v>6824</v>
      </c>
      <c r="D2043" s="47" t="s">
        <v>6825</v>
      </c>
      <c r="E2043" s="64">
        <v>37924.700000000004</v>
      </c>
      <c r="F2043" s="64">
        <v>0.13300000000000001</v>
      </c>
    </row>
    <row r="2044" spans="1:6" x14ac:dyDescent="0.25">
      <c r="A2044" s="47" t="s">
        <v>6826</v>
      </c>
      <c r="B2044" s="47" t="s">
        <v>6827</v>
      </c>
      <c r="C2044" s="47" t="s">
        <v>6828</v>
      </c>
      <c r="D2044" s="47" t="s">
        <v>6825</v>
      </c>
      <c r="E2044" s="64">
        <v>37924.700000000004</v>
      </c>
      <c r="F2044" s="64">
        <v>0.17599999999999999</v>
      </c>
    </row>
    <row r="2045" spans="1:6" x14ac:dyDescent="0.25">
      <c r="A2045" s="47" t="s">
        <v>6829</v>
      </c>
      <c r="B2045" s="47" t="s">
        <v>6830</v>
      </c>
      <c r="C2045" s="47" t="s">
        <v>6831</v>
      </c>
      <c r="D2045" s="47" t="s">
        <v>6825</v>
      </c>
      <c r="E2045" s="64">
        <v>37924.700000000004</v>
      </c>
      <c r="F2045" s="64">
        <v>0.13300000000000001</v>
      </c>
    </row>
    <row r="2046" spans="1:6" x14ac:dyDescent="0.25">
      <c r="A2046" s="47" t="s">
        <v>6832</v>
      </c>
      <c r="B2046" s="47" t="s">
        <v>6833</v>
      </c>
      <c r="C2046" s="47" t="s">
        <v>6834</v>
      </c>
      <c r="D2046" s="47" t="s">
        <v>6835</v>
      </c>
      <c r="E2046" s="64">
        <v>53697.54</v>
      </c>
      <c r="F2046" s="64">
        <v>40.156666666666666</v>
      </c>
    </row>
    <row r="2047" spans="1:6" x14ac:dyDescent="0.25">
      <c r="A2047" s="47" t="s">
        <v>6836</v>
      </c>
      <c r="B2047" s="47" t="s">
        <v>6837</v>
      </c>
      <c r="C2047" s="47" t="s">
        <v>6838</v>
      </c>
      <c r="D2047" s="47" t="s">
        <v>6839</v>
      </c>
      <c r="E2047" s="64">
        <v>77868.960000000006</v>
      </c>
      <c r="F2047" s="64">
        <v>48</v>
      </c>
    </row>
    <row r="2048" spans="1:6" x14ac:dyDescent="0.25">
      <c r="A2048" s="47" t="s">
        <v>6840</v>
      </c>
      <c r="B2048" s="47" t="s">
        <v>6841</v>
      </c>
      <c r="C2048" s="47" t="s">
        <v>6842</v>
      </c>
      <c r="D2048" s="47" t="s">
        <v>6476</v>
      </c>
      <c r="E2048" s="64">
        <v>31314.67</v>
      </c>
      <c r="F2048" s="64">
        <v>4.7999999999999996E-3</v>
      </c>
    </row>
    <row r="2049" spans="1:6" x14ac:dyDescent="0.25">
      <c r="A2049" s="47" t="s">
        <v>6843</v>
      </c>
      <c r="B2049" s="47" t="s">
        <v>6844</v>
      </c>
      <c r="C2049" s="47" t="s">
        <v>6845</v>
      </c>
      <c r="D2049" s="47" t="s">
        <v>6469</v>
      </c>
      <c r="E2049" s="64">
        <v>44065.91</v>
      </c>
      <c r="F2049" s="64">
        <v>1.375</v>
      </c>
    </row>
    <row r="2050" spans="1:6" x14ac:dyDescent="0.25">
      <c r="A2050" s="47" t="s">
        <v>6846</v>
      </c>
      <c r="B2050" s="47" t="s">
        <v>6847</v>
      </c>
      <c r="C2050" s="47" t="s">
        <v>6848</v>
      </c>
      <c r="D2050" s="47"/>
      <c r="E2050" s="64">
        <v>209205.685</v>
      </c>
      <c r="F2050" s="64">
        <v>22</v>
      </c>
    </row>
    <row r="2051" spans="1:6" x14ac:dyDescent="0.25">
      <c r="A2051" s="47" t="s">
        <v>6849</v>
      </c>
      <c r="B2051" s="47" t="s">
        <v>6850</v>
      </c>
      <c r="C2051" s="47" t="s">
        <v>6851</v>
      </c>
      <c r="D2051" s="47" t="s">
        <v>6852</v>
      </c>
      <c r="E2051" s="64">
        <v>46709.9</v>
      </c>
      <c r="F2051" s="64">
        <v>13.67</v>
      </c>
    </row>
    <row r="2052" spans="1:6" x14ac:dyDescent="0.25">
      <c r="A2052" s="47" t="s">
        <v>6853</v>
      </c>
      <c r="B2052" s="47" t="s">
        <v>6854</v>
      </c>
      <c r="C2052" s="47" t="s">
        <v>6855</v>
      </c>
      <c r="D2052" s="47" t="s">
        <v>2303</v>
      </c>
      <c r="E2052" s="64">
        <v>259517.81</v>
      </c>
      <c r="F2052" s="64">
        <v>95.19583333333334</v>
      </c>
    </row>
    <row r="2053" spans="1:6" x14ac:dyDescent="0.25">
      <c r="A2053" s="47" t="s">
        <v>6856</v>
      </c>
      <c r="B2053" s="47" t="s">
        <v>6857</v>
      </c>
      <c r="C2053" s="47" t="s">
        <v>6858</v>
      </c>
      <c r="D2053" s="47" t="s">
        <v>2303</v>
      </c>
      <c r="E2053" s="64">
        <v>259517.81</v>
      </c>
      <c r="F2053" s="64">
        <v>95.19583333333334</v>
      </c>
    </row>
    <row r="2054" spans="1:6" x14ac:dyDescent="0.25">
      <c r="A2054" s="47" t="s">
        <v>6859</v>
      </c>
      <c r="B2054" s="47" t="s">
        <v>6860</v>
      </c>
      <c r="C2054" s="47" t="s">
        <v>6861</v>
      </c>
      <c r="D2054" s="47" t="s">
        <v>2303</v>
      </c>
      <c r="E2054" s="64">
        <v>259517.81</v>
      </c>
      <c r="F2054" s="64">
        <v>95.19583333333334</v>
      </c>
    </row>
    <row r="2055" spans="1:6" x14ac:dyDescent="0.25">
      <c r="A2055" s="47" t="s">
        <v>6862</v>
      </c>
      <c r="B2055" s="47" t="s">
        <v>6863</v>
      </c>
      <c r="C2055" s="47" t="s">
        <v>6864</v>
      </c>
      <c r="D2055" s="47"/>
      <c r="E2055" s="64">
        <v>39959.482499999998</v>
      </c>
      <c r="F2055" s="64">
        <v>100000000</v>
      </c>
    </row>
    <row r="2056" spans="1:6" x14ac:dyDescent="0.25">
      <c r="A2056" s="47" t="s">
        <v>6865</v>
      </c>
      <c r="B2056" s="47" t="s">
        <v>6866</v>
      </c>
      <c r="C2056" s="47" t="s">
        <v>6867</v>
      </c>
      <c r="D2056" s="47" t="s">
        <v>6640</v>
      </c>
      <c r="E2056" s="64">
        <v>42275.38</v>
      </c>
      <c r="F2056" s="64">
        <v>7.8</v>
      </c>
    </row>
    <row r="2057" spans="1:6" x14ac:dyDescent="0.25">
      <c r="A2057" s="47" t="s">
        <v>6868</v>
      </c>
      <c r="B2057" s="47" t="s">
        <v>6869</v>
      </c>
      <c r="C2057" s="47" t="s">
        <v>6870</v>
      </c>
      <c r="D2057" s="47"/>
      <c r="E2057" s="64">
        <v>39959.482499999998</v>
      </c>
      <c r="F2057" s="64">
        <v>100000000</v>
      </c>
    </row>
    <row r="2058" spans="1:6" x14ac:dyDescent="0.25">
      <c r="A2058" s="47" t="s">
        <v>6871</v>
      </c>
      <c r="B2058" s="47" t="s">
        <v>6872</v>
      </c>
      <c r="C2058" s="47" t="s">
        <v>6873</v>
      </c>
      <c r="D2058" s="47" t="s">
        <v>1015</v>
      </c>
      <c r="E2058" s="64">
        <v>35394.530000000006</v>
      </c>
      <c r="F2058" s="64">
        <v>60503.775000000001</v>
      </c>
    </row>
    <row r="2059" spans="1:6" x14ac:dyDescent="0.25">
      <c r="A2059" s="47" t="s">
        <v>6874</v>
      </c>
      <c r="B2059" s="47" t="s">
        <v>6875</v>
      </c>
      <c r="C2059" s="47" t="s">
        <v>6876</v>
      </c>
      <c r="D2059" s="47" t="s">
        <v>1015</v>
      </c>
      <c r="E2059" s="64">
        <v>35394.530000000006</v>
      </c>
      <c r="F2059" s="64">
        <v>6.7249999999999996</v>
      </c>
    </row>
    <row r="2060" spans="1:6" x14ac:dyDescent="0.25">
      <c r="A2060" s="47" t="s">
        <v>6877</v>
      </c>
      <c r="B2060" s="47" t="s">
        <v>6878</v>
      </c>
      <c r="C2060" s="47" t="s">
        <v>6879</v>
      </c>
      <c r="D2060" s="47" t="s">
        <v>6880</v>
      </c>
      <c r="E2060" s="64">
        <v>57824.72</v>
      </c>
      <c r="F2060" s="64">
        <v>3.4</v>
      </c>
    </row>
    <row r="2061" spans="1:6" x14ac:dyDescent="0.25">
      <c r="A2061" s="47" t="s">
        <v>6881</v>
      </c>
      <c r="B2061" s="47" t="s">
        <v>6882</v>
      </c>
      <c r="C2061" s="47" t="s">
        <v>6883</v>
      </c>
      <c r="D2061" s="47" t="s">
        <v>4610</v>
      </c>
      <c r="E2061" s="64">
        <v>131395.995</v>
      </c>
      <c r="F2061" s="64">
        <v>3204</v>
      </c>
    </row>
    <row r="2062" spans="1:6" x14ac:dyDescent="0.25">
      <c r="A2062" s="47" t="s">
        <v>6884</v>
      </c>
      <c r="B2062" s="47" t="s">
        <v>6885</v>
      </c>
      <c r="C2062" s="47" t="s">
        <v>6886</v>
      </c>
      <c r="D2062" s="47"/>
      <c r="E2062" s="64">
        <v>39959.482499999998</v>
      </c>
      <c r="F2062" s="64">
        <v>100000000</v>
      </c>
    </row>
    <row r="2063" spans="1:6" x14ac:dyDescent="0.25">
      <c r="A2063" s="47" t="s">
        <v>6887</v>
      </c>
      <c r="B2063" s="47" t="s">
        <v>6888</v>
      </c>
      <c r="C2063" s="47" t="s">
        <v>6889</v>
      </c>
      <c r="D2063" s="47"/>
      <c r="E2063" s="64">
        <v>39959.482499999998</v>
      </c>
      <c r="F2063" s="64">
        <v>100000000</v>
      </c>
    </row>
    <row r="2064" spans="1:6" x14ac:dyDescent="0.25">
      <c r="A2064" s="47" t="s">
        <v>6890</v>
      </c>
      <c r="B2064" s="47" t="s">
        <v>6891</v>
      </c>
      <c r="C2064" s="47" t="s">
        <v>6892</v>
      </c>
      <c r="D2064" s="47"/>
      <c r="E2064" s="64">
        <v>47364.853333333333</v>
      </c>
      <c r="F2064" s="64">
        <v>22</v>
      </c>
    </row>
    <row r="2065" spans="1:6" x14ac:dyDescent="0.25">
      <c r="A2065" s="47" t="s">
        <v>6893</v>
      </c>
      <c r="B2065" s="47" t="s">
        <v>6894</v>
      </c>
      <c r="C2065" s="47" t="s">
        <v>6895</v>
      </c>
      <c r="D2065" s="47"/>
      <c r="E2065" s="64">
        <v>47364.853333333333</v>
      </c>
      <c r="F2065" s="64">
        <v>22</v>
      </c>
    </row>
    <row r="2066" spans="1:6" x14ac:dyDescent="0.25">
      <c r="A2066" s="47" t="s">
        <v>6896</v>
      </c>
      <c r="B2066" s="47" t="s">
        <v>6897</v>
      </c>
      <c r="C2066" s="47" t="s">
        <v>6898</v>
      </c>
      <c r="D2066" s="47"/>
      <c r="E2066" s="64">
        <v>39959.482499999998</v>
      </c>
      <c r="F2066" s="64">
        <v>100000000</v>
      </c>
    </row>
    <row r="2067" spans="1:6" x14ac:dyDescent="0.25">
      <c r="A2067" s="47" t="s">
        <v>6899</v>
      </c>
      <c r="B2067" s="47" t="s">
        <v>6900</v>
      </c>
      <c r="C2067" s="47" t="s">
        <v>6901</v>
      </c>
      <c r="D2067" s="47"/>
      <c r="E2067" s="64">
        <v>39959.482499999998</v>
      </c>
      <c r="F2067" s="64">
        <v>100000000</v>
      </c>
    </row>
    <row r="2068" spans="1:6" x14ac:dyDescent="0.25">
      <c r="A2068" s="47" t="s">
        <v>6902</v>
      </c>
      <c r="B2068" s="47" t="s">
        <v>6903</v>
      </c>
      <c r="C2068" s="47" t="s">
        <v>6904</v>
      </c>
      <c r="D2068" s="47" t="s">
        <v>6338</v>
      </c>
      <c r="E2068" s="64">
        <v>42095.829999999994</v>
      </c>
      <c r="F2068" s="64">
        <v>7.3275000000000006</v>
      </c>
    </row>
    <row r="2069" spans="1:6" x14ac:dyDescent="0.25">
      <c r="A2069" s="47" t="s">
        <v>6905</v>
      </c>
      <c r="B2069" s="47" t="s">
        <v>6906</v>
      </c>
      <c r="C2069" s="47" t="s">
        <v>6907</v>
      </c>
      <c r="D2069" s="47"/>
      <c r="E2069" s="64">
        <v>47934.04</v>
      </c>
      <c r="F2069" s="64">
        <v>22</v>
      </c>
    </row>
    <row r="2070" spans="1:6" x14ac:dyDescent="0.25">
      <c r="A2070" s="47" t="s">
        <v>6908</v>
      </c>
      <c r="B2070" s="47" t="s">
        <v>6909</v>
      </c>
      <c r="C2070" s="47" t="s">
        <v>6910</v>
      </c>
      <c r="D2070" s="47"/>
      <c r="E2070" s="64">
        <v>47934.04</v>
      </c>
      <c r="F2070" s="64">
        <v>22</v>
      </c>
    </row>
    <row r="2071" spans="1:6" x14ac:dyDescent="0.25">
      <c r="A2071" s="47" t="s">
        <v>6911</v>
      </c>
      <c r="B2071" s="47" t="s">
        <v>6912</v>
      </c>
      <c r="C2071" s="47" t="s">
        <v>6913</v>
      </c>
      <c r="D2071" s="47" t="s">
        <v>640</v>
      </c>
      <c r="E2071" s="64">
        <v>32320.439999999995</v>
      </c>
      <c r="F2071" s="64">
        <v>0.14000000000000001</v>
      </c>
    </row>
    <row r="2072" spans="1:6" x14ac:dyDescent="0.25">
      <c r="A2072" s="47" t="s">
        <v>6914</v>
      </c>
      <c r="B2072" s="47" t="s">
        <v>6915</v>
      </c>
      <c r="C2072" s="47" t="s">
        <v>6916</v>
      </c>
      <c r="D2072" s="47" t="s">
        <v>6917</v>
      </c>
      <c r="E2072" s="64">
        <v>145111.75999999998</v>
      </c>
      <c r="F2072" s="64">
        <v>3204</v>
      </c>
    </row>
    <row r="2073" spans="1:6" x14ac:dyDescent="0.25">
      <c r="A2073" s="47" t="s">
        <v>6918</v>
      </c>
      <c r="B2073" s="47" t="s">
        <v>6919</v>
      </c>
      <c r="C2073" s="47" t="s">
        <v>6920</v>
      </c>
      <c r="D2073" s="47"/>
      <c r="E2073" s="64">
        <v>42523.29</v>
      </c>
      <c r="F2073" s="64">
        <v>100000000</v>
      </c>
    </row>
    <row r="2074" spans="1:6" x14ac:dyDescent="0.25">
      <c r="A2074" s="47" t="s">
        <v>6921</v>
      </c>
      <c r="B2074" s="47" t="s">
        <v>6922</v>
      </c>
      <c r="C2074" s="47" t="s">
        <v>6923</v>
      </c>
      <c r="D2074" s="47"/>
      <c r="E2074" s="64">
        <v>31538.69</v>
      </c>
      <c r="F2074" s="64">
        <v>22</v>
      </c>
    </row>
    <row r="2075" spans="1:6" x14ac:dyDescent="0.25">
      <c r="A2075" s="47" t="s">
        <v>6924</v>
      </c>
      <c r="B2075" s="47" t="s">
        <v>6925</v>
      </c>
      <c r="C2075" s="47" t="s">
        <v>6926</v>
      </c>
      <c r="D2075" s="47"/>
      <c r="E2075" s="64">
        <v>31538.69</v>
      </c>
      <c r="F2075" s="64">
        <v>22</v>
      </c>
    </row>
    <row r="2076" spans="1:6" x14ac:dyDescent="0.25">
      <c r="A2076" s="47" t="s">
        <v>6927</v>
      </c>
      <c r="B2076" s="47" t="s">
        <v>6928</v>
      </c>
      <c r="C2076" s="47" t="s">
        <v>6929</v>
      </c>
      <c r="D2076" s="47" t="s">
        <v>6930</v>
      </c>
      <c r="E2076" s="64">
        <v>31157.319999999996</v>
      </c>
      <c r="F2076" s="64">
        <v>213.43394333333333</v>
      </c>
    </row>
    <row r="2077" spans="1:6" x14ac:dyDescent="0.25">
      <c r="A2077" s="47" t="s">
        <v>6931</v>
      </c>
      <c r="B2077" s="47" t="s">
        <v>6932</v>
      </c>
      <c r="C2077" s="47" t="s">
        <v>6933</v>
      </c>
      <c r="D2077" s="47" t="s">
        <v>1618</v>
      </c>
      <c r="E2077" s="64">
        <v>38711.209999999992</v>
      </c>
      <c r="F2077" s="64">
        <v>3.3</v>
      </c>
    </row>
    <row r="2078" spans="1:6" x14ac:dyDescent="0.25">
      <c r="A2078" s="47" t="s">
        <v>6934</v>
      </c>
      <c r="B2078" s="47" t="s">
        <v>6935</v>
      </c>
      <c r="C2078" s="47" t="s">
        <v>6936</v>
      </c>
      <c r="D2078" s="47"/>
      <c r="E2078" s="64">
        <v>24816.449999999997</v>
      </c>
      <c r="F2078" s="64">
        <v>22</v>
      </c>
    </row>
    <row r="2079" spans="1:6" x14ac:dyDescent="0.25">
      <c r="A2079" s="47" t="s">
        <v>6937</v>
      </c>
      <c r="B2079" s="47" t="s">
        <v>6938</v>
      </c>
      <c r="C2079" s="47" t="s">
        <v>6939</v>
      </c>
      <c r="D2079" s="47"/>
      <c r="E2079" s="64">
        <v>31538.69</v>
      </c>
      <c r="F2079" s="64">
        <v>22</v>
      </c>
    </row>
    <row r="2080" spans="1:6" x14ac:dyDescent="0.25">
      <c r="A2080" s="47" t="s">
        <v>6940</v>
      </c>
      <c r="B2080" s="47" t="s">
        <v>6941</v>
      </c>
      <c r="C2080" s="47" t="s">
        <v>6942</v>
      </c>
      <c r="D2080" s="47" t="s">
        <v>2034</v>
      </c>
      <c r="E2080" s="64">
        <v>29171.230000000003</v>
      </c>
      <c r="F2080" s="64">
        <v>4.5999999999999996</v>
      </c>
    </row>
    <row r="2081" spans="1:6" x14ac:dyDescent="0.25">
      <c r="A2081" s="47" t="s">
        <v>6943</v>
      </c>
      <c r="B2081" s="47" t="s">
        <v>6944</v>
      </c>
      <c r="C2081" s="47" t="s">
        <v>6945</v>
      </c>
      <c r="D2081" s="47" t="s">
        <v>6483</v>
      </c>
      <c r="E2081" s="64">
        <v>13619.139999999998</v>
      </c>
      <c r="F2081" s="64">
        <v>8.8999999999999996E-2</v>
      </c>
    </row>
    <row r="2082" spans="1:6" x14ac:dyDescent="0.25">
      <c r="A2082" s="47" t="s">
        <v>6946</v>
      </c>
      <c r="B2082" s="47" t="s">
        <v>6947</v>
      </c>
      <c r="C2082" s="47" t="s">
        <v>6948</v>
      </c>
      <c r="D2082" s="47" t="s">
        <v>4069</v>
      </c>
      <c r="E2082" s="64">
        <v>152677.46000000002</v>
      </c>
      <c r="F2082" s="64">
        <v>95.19583333333334</v>
      </c>
    </row>
    <row r="2083" spans="1:6" x14ac:dyDescent="0.25">
      <c r="A2083" s="47" t="s">
        <v>6949</v>
      </c>
      <c r="B2083" s="47" t="s">
        <v>6950</v>
      </c>
      <c r="C2083" s="47" t="s">
        <v>6951</v>
      </c>
      <c r="D2083" s="47"/>
      <c r="E2083" s="64">
        <v>39959.482499999998</v>
      </c>
      <c r="F2083" s="64">
        <v>100000000</v>
      </c>
    </row>
    <row r="2084" spans="1:6" x14ac:dyDescent="0.25">
      <c r="A2084" s="47" t="s">
        <v>6952</v>
      </c>
      <c r="B2084" s="47" t="s">
        <v>6953</v>
      </c>
      <c r="C2084" s="47" t="s">
        <v>6954</v>
      </c>
      <c r="D2084" s="47" t="s">
        <v>62</v>
      </c>
      <c r="E2084" s="64">
        <v>46080.52</v>
      </c>
      <c r="F2084" s="64">
        <v>4.7</v>
      </c>
    </row>
    <row r="2085" spans="1:6" x14ac:dyDescent="0.25">
      <c r="A2085" s="47" t="s">
        <v>6955</v>
      </c>
      <c r="B2085" s="47" t="s">
        <v>6956</v>
      </c>
      <c r="C2085" s="47" t="s">
        <v>6957</v>
      </c>
      <c r="D2085" s="47" t="s">
        <v>6958</v>
      </c>
      <c r="E2085" s="64">
        <v>54648.799999999996</v>
      </c>
      <c r="F2085" s="64">
        <v>0.33</v>
      </c>
    </row>
    <row r="2086" spans="1:6" x14ac:dyDescent="0.25">
      <c r="A2086" s="47" t="s">
        <v>6959</v>
      </c>
      <c r="B2086" s="47" t="s">
        <v>6960</v>
      </c>
      <c r="C2086" s="47" t="s">
        <v>6961</v>
      </c>
      <c r="D2086" s="47" t="s">
        <v>1774</v>
      </c>
      <c r="E2086" s="64">
        <v>35531.370000000003</v>
      </c>
      <c r="F2086" s="64">
        <v>73.56</v>
      </c>
    </row>
    <row r="2087" spans="1:6" x14ac:dyDescent="0.25">
      <c r="A2087" s="47" t="s">
        <v>6962</v>
      </c>
      <c r="B2087" s="47" t="s">
        <v>6960</v>
      </c>
      <c r="C2087" s="47" t="s">
        <v>6963</v>
      </c>
      <c r="D2087" s="47" t="s">
        <v>1774</v>
      </c>
      <c r="E2087" s="64">
        <v>35531.370000000003</v>
      </c>
      <c r="F2087" s="64">
        <v>73.56</v>
      </c>
    </row>
    <row r="2088" spans="1:6" x14ac:dyDescent="0.25">
      <c r="A2088" s="47" t="s">
        <v>6964</v>
      </c>
      <c r="B2088" s="47" t="s">
        <v>6965</v>
      </c>
      <c r="C2088" s="47" t="s">
        <v>6966</v>
      </c>
      <c r="D2088" s="47" t="s">
        <v>1774</v>
      </c>
      <c r="E2088" s="64">
        <v>35531.370000000003</v>
      </c>
      <c r="F2088" s="64">
        <v>73.599999999999994</v>
      </c>
    </row>
    <row r="2089" spans="1:6" x14ac:dyDescent="0.25">
      <c r="A2089" s="47" t="s">
        <v>6967</v>
      </c>
      <c r="B2089" s="47" t="s">
        <v>6968</v>
      </c>
      <c r="C2089" s="47" t="s">
        <v>6969</v>
      </c>
      <c r="D2089" s="47" t="s">
        <v>6958</v>
      </c>
      <c r="E2089" s="64">
        <v>54648.799999999996</v>
      </c>
      <c r="F2089" s="64">
        <v>0.33</v>
      </c>
    </row>
    <row r="2090" spans="1:6" x14ac:dyDescent="0.25">
      <c r="A2090" s="47" t="s">
        <v>6970</v>
      </c>
      <c r="B2090" s="47" t="s">
        <v>6971</v>
      </c>
      <c r="C2090" s="47" t="s">
        <v>6972</v>
      </c>
      <c r="D2090" s="47" t="s">
        <v>2276</v>
      </c>
      <c r="E2090" s="64">
        <v>140967.23000000001</v>
      </c>
      <c r="F2090" s="64">
        <v>95.19583333333334</v>
      </c>
    </row>
    <row r="2091" spans="1:6" x14ac:dyDescent="0.25">
      <c r="A2091" s="47" t="s">
        <v>6973</v>
      </c>
      <c r="B2091" s="47" t="s">
        <v>6974</v>
      </c>
      <c r="C2091" s="47" t="s">
        <v>6975</v>
      </c>
      <c r="D2091" s="47" t="s">
        <v>260</v>
      </c>
      <c r="E2091" s="64">
        <v>51355.58</v>
      </c>
      <c r="F2091" s="64">
        <v>3204</v>
      </c>
    </row>
    <row r="2092" spans="1:6" x14ac:dyDescent="0.25">
      <c r="A2092" s="47" t="s">
        <v>6976</v>
      </c>
      <c r="B2092" s="47" t="s">
        <v>6977</v>
      </c>
      <c r="C2092" s="47" t="s">
        <v>6978</v>
      </c>
      <c r="D2092" s="47" t="s">
        <v>260</v>
      </c>
      <c r="E2092" s="64">
        <v>51355.58</v>
      </c>
      <c r="F2092" s="64">
        <v>110</v>
      </c>
    </row>
    <row r="2093" spans="1:6" x14ac:dyDescent="0.25">
      <c r="A2093" s="47" t="s">
        <v>6979</v>
      </c>
      <c r="B2093" s="47" t="s">
        <v>6980</v>
      </c>
      <c r="C2093" s="47" t="s">
        <v>6981</v>
      </c>
      <c r="D2093" s="47" t="s">
        <v>260</v>
      </c>
      <c r="E2093" s="64">
        <v>51355.58</v>
      </c>
      <c r="F2093" s="64">
        <v>3204</v>
      </c>
    </row>
    <row r="2094" spans="1:6" x14ac:dyDescent="0.25">
      <c r="A2094" s="47" t="s">
        <v>6982</v>
      </c>
      <c r="B2094" s="47" t="s">
        <v>6983</v>
      </c>
      <c r="C2094" s="47" t="s">
        <v>6984</v>
      </c>
      <c r="D2094" s="47" t="s">
        <v>6958</v>
      </c>
      <c r="E2094" s="64">
        <v>54648.799999999996</v>
      </c>
      <c r="F2094" s="64">
        <v>0.33</v>
      </c>
    </row>
    <row r="2095" spans="1:6" x14ac:dyDescent="0.25">
      <c r="A2095" s="47" t="s">
        <v>6985</v>
      </c>
      <c r="B2095" s="47" t="s">
        <v>6965</v>
      </c>
      <c r="C2095" s="47" t="s">
        <v>6986</v>
      </c>
      <c r="D2095" s="47" t="s">
        <v>1774</v>
      </c>
      <c r="E2095" s="64">
        <v>35531.370000000003</v>
      </c>
      <c r="F2095" s="64">
        <v>73.599999999999994</v>
      </c>
    </row>
    <row r="2096" spans="1:6" x14ac:dyDescent="0.25">
      <c r="A2096" s="47" t="s">
        <v>6987</v>
      </c>
      <c r="B2096" s="47" t="s">
        <v>6988</v>
      </c>
      <c r="C2096" s="47" t="s">
        <v>6989</v>
      </c>
      <c r="D2096" s="47" t="s">
        <v>6958</v>
      </c>
      <c r="E2096" s="64">
        <v>54648.799999999996</v>
      </c>
      <c r="F2096" s="64">
        <v>0.33</v>
      </c>
    </row>
    <row r="2097" spans="1:6" x14ac:dyDescent="0.25">
      <c r="A2097" s="47" t="s">
        <v>6990</v>
      </c>
      <c r="B2097" s="47" t="s">
        <v>6991</v>
      </c>
      <c r="C2097" s="47" t="s">
        <v>6992</v>
      </c>
      <c r="D2097" s="47"/>
      <c r="E2097" s="64">
        <v>16948.580000000002</v>
      </c>
      <c r="F2097" s="64">
        <v>100000000</v>
      </c>
    </row>
    <row r="2098" spans="1:6" x14ac:dyDescent="0.25">
      <c r="A2098" s="47" t="s">
        <v>6993</v>
      </c>
      <c r="B2098" s="47" t="s">
        <v>6994</v>
      </c>
      <c r="C2098" s="47" t="s">
        <v>6995</v>
      </c>
      <c r="D2098" s="47" t="s">
        <v>2364</v>
      </c>
      <c r="E2098" s="64">
        <v>132791.36000000002</v>
      </c>
      <c r="F2098" s="64">
        <v>95.19583333333334</v>
      </c>
    </row>
    <row r="2099" spans="1:6" x14ac:dyDescent="0.25">
      <c r="A2099" s="47" t="s">
        <v>6996</v>
      </c>
      <c r="B2099" s="47" t="s">
        <v>6997</v>
      </c>
      <c r="C2099" s="47" t="s">
        <v>6998</v>
      </c>
      <c r="D2099" s="47" t="s">
        <v>6999</v>
      </c>
      <c r="E2099" s="64">
        <v>28870.61</v>
      </c>
      <c r="F2099" s="64">
        <v>1.4750000000000001</v>
      </c>
    </row>
    <row r="2100" spans="1:6" x14ac:dyDescent="0.25">
      <c r="A2100" s="47" t="s">
        <v>7000</v>
      </c>
      <c r="B2100" s="47" t="s">
        <v>7001</v>
      </c>
      <c r="C2100" s="47" t="s">
        <v>7002</v>
      </c>
      <c r="D2100" s="47" t="s">
        <v>7003</v>
      </c>
      <c r="E2100" s="64">
        <v>69705.994999999995</v>
      </c>
      <c r="F2100" s="64">
        <v>368.48649999999998</v>
      </c>
    </row>
    <row r="2101" spans="1:6" x14ac:dyDescent="0.25">
      <c r="A2101" s="47" t="s">
        <v>7004</v>
      </c>
      <c r="B2101" s="47" t="s">
        <v>7005</v>
      </c>
      <c r="C2101" s="47" t="s">
        <v>7006</v>
      </c>
      <c r="D2101" s="47" t="s">
        <v>7007</v>
      </c>
      <c r="E2101" s="64">
        <v>32625.074999999997</v>
      </c>
      <c r="F2101" s="64">
        <v>13.154142857142856</v>
      </c>
    </row>
    <row r="2102" spans="1:6" x14ac:dyDescent="0.25">
      <c r="A2102" s="47" t="s">
        <v>7008</v>
      </c>
      <c r="B2102" s="47" t="s">
        <v>7009</v>
      </c>
      <c r="C2102" s="47" t="s">
        <v>7010</v>
      </c>
      <c r="D2102" s="47" t="s">
        <v>2379</v>
      </c>
      <c r="E2102" s="64">
        <v>166243.38999999998</v>
      </c>
      <c r="F2102" s="64">
        <v>1618.85</v>
      </c>
    </row>
    <row r="2103" spans="1:6" x14ac:dyDescent="0.25">
      <c r="A2103" s="47" t="s">
        <v>7011</v>
      </c>
      <c r="B2103" s="47" t="s">
        <v>7012</v>
      </c>
      <c r="C2103" s="47" t="s">
        <v>7013</v>
      </c>
      <c r="D2103" s="47" t="s">
        <v>2900</v>
      </c>
      <c r="E2103" s="64">
        <v>22721.415000000001</v>
      </c>
      <c r="F2103" s="64">
        <v>749.81368750000013</v>
      </c>
    </row>
    <row r="2104" spans="1:6" x14ac:dyDescent="0.25">
      <c r="A2104" s="47" t="s">
        <v>7014</v>
      </c>
      <c r="B2104" s="47" t="s">
        <v>7015</v>
      </c>
      <c r="C2104" s="47" t="s">
        <v>7016</v>
      </c>
      <c r="D2104" s="47" t="s">
        <v>7017</v>
      </c>
      <c r="E2104" s="64">
        <v>45692.590000000004</v>
      </c>
      <c r="F2104" s="64">
        <v>18</v>
      </c>
    </row>
    <row r="2105" spans="1:6" x14ac:dyDescent="0.25">
      <c r="A2105" s="47" t="s">
        <v>7018</v>
      </c>
      <c r="B2105" s="47" t="s">
        <v>7019</v>
      </c>
      <c r="C2105" s="47" t="s">
        <v>7020</v>
      </c>
      <c r="D2105" s="47" t="s">
        <v>7021</v>
      </c>
      <c r="E2105" s="64">
        <v>28729.569999999996</v>
      </c>
      <c r="F2105" s="64">
        <v>761</v>
      </c>
    </row>
    <row r="2106" spans="1:6" x14ac:dyDescent="0.25">
      <c r="A2106" s="47" t="s">
        <v>7022</v>
      </c>
      <c r="B2106" s="47" t="s">
        <v>7023</v>
      </c>
      <c r="C2106" s="47" t="s">
        <v>7024</v>
      </c>
      <c r="D2106" s="47" t="s">
        <v>7025</v>
      </c>
      <c r="E2106" s="64">
        <v>68444.900000000009</v>
      </c>
      <c r="F2106" s="64">
        <v>1E-3</v>
      </c>
    </row>
    <row r="2107" spans="1:6" x14ac:dyDescent="0.25">
      <c r="A2107" s="47" t="s">
        <v>7026</v>
      </c>
      <c r="B2107" s="47" t="s">
        <v>7027</v>
      </c>
      <c r="C2107" s="47" t="s">
        <v>7028</v>
      </c>
      <c r="D2107" s="47" t="s">
        <v>7029</v>
      </c>
      <c r="E2107" s="64">
        <v>43000.819999999992</v>
      </c>
      <c r="F2107" s="64">
        <v>11.5</v>
      </c>
    </row>
    <row r="2108" spans="1:6" x14ac:dyDescent="0.25">
      <c r="A2108" s="47" t="s">
        <v>7030</v>
      </c>
      <c r="B2108" s="47" t="s">
        <v>7031</v>
      </c>
      <c r="C2108" s="47" t="s">
        <v>7032</v>
      </c>
      <c r="D2108" s="47"/>
      <c r="E2108" s="64">
        <v>98815.420000000013</v>
      </c>
      <c r="F2108" s="64">
        <v>22</v>
      </c>
    </row>
    <row r="2109" spans="1:6" x14ac:dyDescent="0.25">
      <c r="A2109" s="47" t="s">
        <v>7033</v>
      </c>
      <c r="B2109" s="47" t="s">
        <v>7034</v>
      </c>
      <c r="C2109" s="47" t="s">
        <v>7035</v>
      </c>
      <c r="D2109" s="47"/>
      <c r="E2109" s="64">
        <v>45650.600000000006</v>
      </c>
      <c r="F2109" s="64">
        <v>22</v>
      </c>
    </row>
    <row r="2110" spans="1:6" x14ac:dyDescent="0.25">
      <c r="A2110" s="47" t="s">
        <v>7036</v>
      </c>
      <c r="B2110" s="47" t="s">
        <v>7037</v>
      </c>
      <c r="C2110" s="47" t="s">
        <v>7038</v>
      </c>
      <c r="D2110" s="47" t="s">
        <v>6999</v>
      </c>
      <c r="E2110" s="64">
        <v>28870.61</v>
      </c>
      <c r="F2110" s="64">
        <v>1.4750000000000001</v>
      </c>
    </row>
    <row r="2111" spans="1:6" x14ac:dyDescent="0.25">
      <c r="A2111" s="47" t="s">
        <v>7039</v>
      </c>
      <c r="B2111" s="47" t="s">
        <v>7040</v>
      </c>
      <c r="C2111" s="47" t="s">
        <v>7041</v>
      </c>
      <c r="D2111" s="47"/>
      <c r="E2111" s="64">
        <v>40305.749999999993</v>
      </c>
      <c r="F2111" s="64">
        <v>100000000</v>
      </c>
    </row>
    <row r="2112" spans="1:6" x14ac:dyDescent="0.25">
      <c r="A2112" s="47" t="s">
        <v>7042</v>
      </c>
      <c r="B2112" s="47" t="s">
        <v>7043</v>
      </c>
      <c r="C2112" s="47" t="s">
        <v>7044</v>
      </c>
      <c r="D2112" s="47"/>
      <c r="E2112" s="64">
        <v>39959.482499999998</v>
      </c>
      <c r="F2112" s="64">
        <v>100000000</v>
      </c>
    </row>
    <row r="2113" spans="1:6" x14ac:dyDescent="0.25">
      <c r="A2113" s="47" t="s">
        <v>7045</v>
      </c>
      <c r="B2113" s="47" t="s">
        <v>7046</v>
      </c>
      <c r="C2113" s="47" t="s">
        <v>7047</v>
      </c>
      <c r="D2113" s="47" t="s">
        <v>6338</v>
      </c>
      <c r="E2113" s="64">
        <v>36327.83</v>
      </c>
      <c r="F2113" s="64">
        <v>171.55629083333332</v>
      </c>
    </row>
    <row r="2114" spans="1:6" x14ac:dyDescent="0.25">
      <c r="A2114" s="47" t="s">
        <v>7048</v>
      </c>
      <c r="B2114" s="47" t="s">
        <v>7049</v>
      </c>
      <c r="C2114" s="47" t="s">
        <v>7050</v>
      </c>
      <c r="D2114" s="47" t="s">
        <v>7051</v>
      </c>
      <c r="E2114" s="64">
        <v>42287.15</v>
      </c>
      <c r="F2114" s="64">
        <v>6.4705079365079357</v>
      </c>
    </row>
    <row r="2115" spans="1:6" x14ac:dyDescent="0.25">
      <c r="A2115" s="47" t="s">
        <v>7052</v>
      </c>
      <c r="B2115" s="47" t="s">
        <v>7053</v>
      </c>
      <c r="C2115" s="47" t="s">
        <v>7054</v>
      </c>
      <c r="D2115" s="47"/>
      <c r="E2115" s="64">
        <v>11958.09</v>
      </c>
      <c r="F2115" s="64">
        <v>22</v>
      </c>
    </row>
    <row r="2116" spans="1:6" x14ac:dyDescent="0.25">
      <c r="A2116" s="47" t="s">
        <v>7055</v>
      </c>
      <c r="B2116" s="47" t="s">
        <v>7056</v>
      </c>
      <c r="C2116" s="47" t="s">
        <v>7057</v>
      </c>
      <c r="D2116" s="47"/>
      <c r="E2116" s="64">
        <v>11958.09</v>
      </c>
      <c r="F2116" s="64">
        <v>22</v>
      </c>
    </row>
    <row r="2117" spans="1:6" x14ac:dyDescent="0.25">
      <c r="A2117" s="47" t="s">
        <v>7058</v>
      </c>
      <c r="B2117" s="47" t="s">
        <v>7059</v>
      </c>
      <c r="C2117" s="47" t="s">
        <v>7060</v>
      </c>
      <c r="D2117" s="47"/>
      <c r="E2117" s="64">
        <v>37542</v>
      </c>
      <c r="F2117" s="64">
        <v>22</v>
      </c>
    </row>
    <row r="2118" spans="1:6" x14ac:dyDescent="0.25">
      <c r="A2118" s="47" t="s">
        <v>7061</v>
      </c>
      <c r="B2118" s="47" t="s">
        <v>7062</v>
      </c>
      <c r="C2118" s="47" t="s">
        <v>7063</v>
      </c>
      <c r="D2118" s="47"/>
      <c r="E2118" s="64">
        <v>13776.96</v>
      </c>
      <c r="F2118" s="64">
        <v>22</v>
      </c>
    </row>
    <row r="2119" spans="1:6" x14ac:dyDescent="0.25">
      <c r="A2119" s="47" t="s">
        <v>7064</v>
      </c>
      <c r="B2119" s="47" t="s">
        <v>7065</v>
      </c>
      <c r="C2119" s="47" t="s">
        <v>7066</v>
      </c>
      <c r="D2119" s="47" t="s">
        <v>7067</v>
      </c>
      <c r="E2119" s="64">
        <v>47431.26</v>
      </c>
      <c r="F2119" s="64">
        <v>1265.4616666666666</v>
      </c>
    </row>
    <row r="2120" spans="1:6" x14ac:dyDescent="0.25">
      <c r="A2120" s="47" t="s">
        <v>7068</v>
      </c>
      <c r="B2120" s="47" t="s">
        <v>7069</v>
      </c>
      <c r="C2120" s="47" t="s">
        <v>7070</v>
      </c>
      <c r="D2120" s="47" t="s">
        <v>7071</v>
      </c>
      <c r="E2120" s="64">
        <v>31982.1</v>
      </c>
      <c r="F2120" s="64">
        <v>13.154142857142856</v>
      </c>
    </row>
    <row r="2121" spans="1:6" x14ac:dyDescent="0.25">
      <c r="A2121" s="47" t="s">
        <v>7072</v>
      </c>
      <c r="B2121" s="47" t="s">
        <v>7073</v>
      </c>
      <c r="C2121" s="47" t="s">
        <v>7074</v>
      </c>
      <c r="D2121" s="47"/>
      <c r="E2121" s="64">
        <v>50980.639999999999</v>
      </c>
      <c r="F2121" s="64">
        <v>22</v>
      </c>
    </row>
    <row r="2122" spans="1:6" x14ac:dyDescent="0.25">
      <c r="A2122" s="47" t="s">
        <v>7075</v>
      </c>
      <c r="B2122" s="47" t="s">
        <v>7076</v>
      </c>
      <c r="C2122" s="47" t="s">
        <v>7077</v>
      </c>
      <c r="D2122" s="47"/>
      <c r="E2122" s="64">
        <v>51572.789999999994</v>
      </c>
      <c r="F2122" s="64">
        <v>22</v>
      </c>
    </row>
    <row r="2123" spans="1:6" x14ac:dyDescent="0.25">
      <c r="A2123" s="47" t="s">
        <v>7078</v>
      </c>
      <c r="B2123" s="47" t="s">
        <v>7079</v>
      </c>
      <c r="C2123" s="47" t="s">
        <v>7080</v>
      </c>
      <c r="D2123" s="47"/>
      <c r="E2123" s="64">
        <v>27199.369999999995</v>
      </c>
      <c r="F2123" s="64">
        <v>100000000</v>
      </c>
    </row>
    <row r="2124" spans="1:6" x14ac:dyDescent="0.25">
      <c r="A2124" s="47" t="s">
        <v>7081</v>
      </c>
      <c r="B2124" s="47" t="s">
        <v>7082</v>
      </c>
      <c r="C2124" s="47" t="s">
        <v>7083</v>
      </c>
      <c r="D2124" s="47"/>
      <c r="E2124" s="64">
        <v>39959.482499999998</v>
      </c>
      <c r="F2124" s="64">
        <v>22</v>
      </c>
    </row>
    <row r="2125" spans="1:6" x14ac:dyDescent="0.25">
      <c r="A2125" s="47" t="s">
        <v>7084</v>
      </c>
      <c r="B2125" s="47" t="s">
        <v>7085</v>
      </c>
      <c r="C2125" s="47" t="s">
        <v>7086</v>
      </c>
      <c r="D2125" s="47" t="s">
        <v>7087</v>
      </c>
      <c r="E2125" s="64">
        <v>57543.189999999988</v>
      </c>
      <c r="F2125" s="64">
        <v>7.6</v>
      </c>
    </row>
    <row r="2126" spans="1:6" x14ac:dyDescent="0.25">
      <c r="A2126" s="47" t="s">
        <v>7088</v>
      </c>
      <c r="B2126" s="47" t="s">
        <v>7089</v>
      </c>
      <c r="C2126" s="47" t="s">
        <v>7090</v>
      </c>
      <c r="D2126" s="47"/>
      <c r="E2126" s="64">
        <v>39959.482499999998</v>
      </c>
      <c r="F2126" s="64">
        <v>100000000</v>
      </c>
    </row>
    <row r="2127" spans="1:6" x14ac:dyDescent="0.25">
      <c r="A2127" s="47" t="s">
        <v>7091</v>
      </c>
      <c r="B2127" s="47" t="s">
        <v>7092</v>
      </c>
      <c r="C2127" s="47" t="s">
        <v>7093</v>
      </c>
      <c r="D2127" s="47" t="s">
        <v>7094</v>
      </c>
      <c r="E2127" s="64">
        <v>41669.49</v>
      </c>
      <c r="F2127" s="64">
        <v>13</v>
      </c>
    </row>
    <row r="2128" spans="1:6" x14ac:dyDescent="0.25">
      <c r="A2128" s="47" t="s">
        <v>7095</v>
      </c>
      <c r="B2128" s="47" t="s">
        <v>7096</v>
      </c>
      <c r="C2128" s="47" t="s">
        <v>7097</v>
      </c>
      <c r="D2128" s="47" t="s">
        <v>7098</v>
      </c>
      <c r="E2128" s="64">
        <v>28452.915000000001</v>
      </c>
      <c r="F2128" s="64">
        <v>8.4</v>
      </c>
    </row>
    <row r="2129" spans="1:6" x14ac:dyDescent="0.25">
      <c r="A2129" s="47" t="s">
        <v>7099</v>
      </c>
      <c r="B2129" s="47" t="s">
        <v>7100</v>
      </c>
      <c r="C2129" s="47" t="s">
        <v>7101</v>
      </c>
      <c r="D2129" s="47" t="s">
        <v>7102</v>
      </c>
      <c r="E2129" s="64">
        <v>26777.85</v>
      </c>
      <c r="F2129" s="64">
        <v>107.15</v>
      </c>
    </row>
    <row r="2130" spans="1:6" x14ac:dyDescent="0.25">
      <c r="A2130" s="47" t="s">
        <v>7103</v>
      </c>
      <c r="B2130" s="47" t="s">
        <v>7104</v>
      </c>
      <c r="C2130" s="47" t="s">
        <v>7105</v>
      </c>
      <c r="D2130" s="47"/>
      <c r="E2130" s="64">
        <v>44686.34</v>
      </c>
      <c r="F2130" s="64">
        <v>22</v>
      </c>
    </row>
    <row r="2131" spans="1:6" x14ac:dyDescent="0.25">
      <c r="A2131" s="47" t="s">
        <v>7106</v>
      </c>
      <c r="B2131" s="47" t="s">
        <v>7107</v>
      </c>
      <c r="C2131" s="47" t="s">
        <v>7108</v>
      </c>
      <c r="D2131" s="47" t="s">
        <v>6534</v>
      </c>
      <c r="E2131" s="64">
        <v>98761.00999999998</v>
      </c>
      <c r="F2131" s="64">
        <v>14.75</v>
      </c>
    </row>
    <row r="2132" spans="1:6" x14ac:dyDescent="0.25">
      <c r="A2132" s="47" t="s">
        <v>7109</v>
      </c>
      <c r="B2132" s="47" t="s">
        <v>7110</v>
      </c>
      <c r="C2132" s="47" t="s">
        <v>7111</v>
      </c>
      <c r="D2132" s="47"/>
      <c r="E2132" s="64">
        <v>54884.380000000005</v>
      </c>
      <c r="F2132" s="64">
        <v>22</v>
      </c>
    </row>
    <row r="2133" spans="1:6" x14ac:dyDescent="0.25">
      <c r="A2133" s="47" t="s">
        <v>7112</v>
      </c>
      <c r="B2133" s="47" t="s">
        <v>7113</v>
      </c>
      <c r="C2133" s="47" t="s">
        <v>7114</v>
      </c>
      <c r="D2133" s="47" t="s">
        <v>7115</v>
      </c>
      <c r="E2133" s="64">
        <v>51023.640000000007</v>
      </c>
      <c r="F2133" s="64">
        <v>94.649999999999991</v>
      </c>
    </row>
    <row r="2134" spans="1:6" x14ac:dyDescent="0.25">
      <c r="A2134" s="47" t="s">
        <v>7116</v>
      </c>
      <c r="B2134" s="47" t="s">
        <v>7117</v>
      </c>
      <c r="C2134" s="47" t="s">
        <v>7118</v>
      </c>
      <c r="D2134" s="47" t="s">
        <v>7119</v>
      </c>
      <c r="E2134" s="64">
        <v>22530.03</v>
      </c>
      <c r="F2134" s="64">
        <v>5.2468399999999998E-2</v>
      </c>
    </row>
    <row r="2135" spans="1:6" x14ac:dyDescent="0.25">
      <c r="A2135" s="47" t="s">
        <v>7120</v>
      </c>
      <c r="B2135" s="47" t="s">
        <v>7121</v>
      </c>
      <c r="C2135" s="47" t="s">
        <v>7122</v>
      </c>
      <c r="D2135" s="47" t="s">
        <v>3421</v>
      </c>
      <c r="E2135" s="64">
        <v>14850.39</v>
      </c>
      <c r="F2135" s="64">
        <v>4.9050000000000002</v>
      </c>
    </row>
    <row r="2136" spans="1:6" x14ac:dyDescent="0.25">
      <c r="A2136" s="47" t="s">
        <v>7123</v>
      </c>
      <c r="B2136" s="47" t="s">
        <v>7124</v>
      </c>
      <c r="C2136" s="47" t="s">
        <v>7125</v>
      </c>
      <c r="D2136" s="47"/>
      <c r="E2136" s="64">
        <v>32864.759999999995</v>
      </c>
      <c r="F2136" s="64">
        <v>22</v>
      </c>
    </row>
    <row r="2137" spans="1:6" x14ac:dyDescent="0.25">
      <c r="A2137" s="47" t="s">
        <v>7126</v>
      </c>
      <c r="B2137" s="47" t="s">
        <v>7127</v>
      </c>
      <c r="C2137" s="47" t="s">
        <v>7128</v>
      </c>
      <c r="D2137" s="47" t="s">
        <v>7129</v>
      </c>
      <c r="E2137" s="64">
        <v>23904.449999999997</v>
      </c>
      <c r="F2137" s="64">
        <v>20</v>
      </c>
    </row>
    <row r="2138" spans="1:6" x14ac:dyDescent="0.25">
      <c r="A2138" s="47" t="s">
        <v>7130</v>
      </c>
      <c r="B2138" s="47" t="s">
        <v>7131</v>
      </c>
      <c r="C2138" s="47" t="s">
        <v>7132</v>
      </c>
      <c r="D2138" s="47" t="s">
        <v>7129</v>
      </c>
      <c r="E2138" s="64">
        <v>23904.449999999997</v>
      </c>
      <c r="F2138" s="64">
        <v>152.75</v>
      </c>
    </row>
    <row r="2139" spans="1:6" x14ac:dyDescent="0.25">
      <c r="A2139" s="47" t="s">
        <v>7133</v>
      </c>
      <c r="B2139" s="47" t="s">
        <v>7134</v>
      </c>
      <c r="C2139" s="47" t="s">
        <v>7135</v>
      </c>
      <c r="D2139" s="47" t="s">
        <v>7136</v>
      </c>
      <c r="E2139" s="64">
        <v>34722.770000000004</v>
      </c>
      <c r="F2139" s="64">
        <v>45</v>
      </c>
    </row>
    <row r="2140" spans="1:6" x14ac:dyDescent="0.25">
      <c r="A2140" s="47" t="s">
        <v>7137</v>
      </c>
      <c r="B2140" s="47" t="s">
        <v>7138</v>
      </c>
      <c r="C2140" s="47" t="s">
        <v>7139</v>
      </c>
      <c r="D2140" s="47" t="s">
        <v>3421</v>
      </c>
      <c r="E2140" s="64">
        <v>14850.39</v>
      </c>
      <c r="F2140" s="64">
        <v>100</v>
      </c>
    </row>
    <row r="2141" spans="1:6" x14ac:dyDescent="0.25">
      <c r="A2141" s="47" t="s">
        <v>7140</v>
      </c>
      <c r="B2141" s="47" t="s">
        <v>7141</v>
      </c>
      <c r="C2141" s="47" t="s">
        <v>7142</v>
      </c>
      <c r="D2141" s="47" t="s">
        <v>2993</v>
      </c>
      <c r="E2141" s="64">
        <v>66827.789999999994</v>
      </c>
      <c r="F2141" s="64">
        <v>18.3185</v>
      </c>
    </row>
    <row r="2142" spans="1:6" x14ac:dyDescent="0.25">
      <c r="A2142" s="47" t="s">
        <v>7143</v>
      </c>
      <c r="B2142" s="47" t="s">
        <v>7144</v>
      </c>
      <c r="C2142" s="47" t="s">
        <v>7145</v>
      </c>
      <c r="D2142" s="47" t="s">
        <v>7146</v>
      </c>
      <c r="E2142" s="64">
        <v>27772.910000000003</v>
      </c>
      <c r="F2142" s="64">
        <v>29.5</v>
      </c>
    </row>
    <row r="2143" spans="1:6" x14ac:dyDescent="0.25">
      <c r="A2143" s="47" t="s">
        <v>7147</v>
      </c>
      <c r="B2143" s="47" t="s">
        <v>7148</v>
      </c>
      <c r="C2143" s="47" t="s">
        <v>7149</v>
      </c>
      <c r="D2143" s="47" t="s">
        <v>7150</v>
      </c>
      <c r="E2143" s="64">
        <v>27561.990000000005</v>
      </c>
      <c r="F2143" s="64">
        <v>7.3275000000000006</v>
      </c>
    </row>
    <row r="2144" spans="1:6" x14ac:dyDescent="0.25">
      <c r="A2144" s="47" t="s">
        <v>7151</v>
      </c>
      <c r="B2144" s="47" t="s">
        <v>7152</v>
      </c>
      <c r="C2144" s="47" t="s">
        <v>7153</v>
      </c>
      <c r="D2144" s="47"/>
      <c r="E2144" s="64">
        <v>53597.455000000002</v>
      </c>
      <c r="F2144" s="64">
        <v>22</v>
      </c>
    </row>
    <row r="2145" spans="1:6" x14ac:dyDescent="0.25">
      <c r="A2145" s="47" t="s">
        <v>7154</v>
      </c>
      <c r="B2145" s="47" t="s">
        <v>7155</v>
      </c>
      <c r="C2145" s="47" t="s">
        <v>7156</v>
      </c>
      <c r="D2145" s="47"/>
      <c r="E2145" s="64">
        <v>46207.55</v>
      </c>
      <c r="F2145" s="64">
        <v>22</v>
      </c>
    </row>
    <row r="2146" spans="1:6" x14ac:dyDescent="0.25">
      <c r="A2146" s="47" t="s">
        <v>7157</v>
      </c>
      <c r="B2146" s="47" t="s">
        <v>7158</v>
      </c>
      <c r="C2146" s="47" t="s">
        <v>7159</v>
      </c>
      <c r="D2146" s="47"/>
      <c r="E2146" s="64">
        <v>46501.98</v>
      </c>
      <c r="F2146" s="64">
        <v>22</v>
      </c>
    </row>
    <row r="2147" spans="1:6" x14ac:dyDescent="0.25">
      <c r="A2147" s="47" t="s">
        <v>7160</v>
      </c>
      <c r="B2147" s="47" t="s">
        <v>7161</v>
      </c>
      <c r="C2147" s="47" t="s">
        <v>7162</v>
      </c>
      <c r="D2147" s="47"/>
      <c r="E2147" s="64">
        <v>44776.639999999999</v>
      </c>
      <c r="F2147" s="64">
        <v>22</v>
      </c>
    </row>
    <row r="2148" spans="1:6" x14ac:dyDescent="0.25">
      <c r="A2148" s="47" t="s">
        <v>7163</v>
      </c>
      <c r="B2148" s="47" t="s">
        <v>7164</v>
      </c>
      <c r="C2148" s="47" t="s">
        <v>7165</v>
      </c>
      <c r="D2148" s="47"/>
      <c r="E2148" s="64">
        <v>33988.345000000001</v>
      </c>
      <c r="F2148" s="64">
        <v>22</v>
      </c>
    </row>
    <row r="2149" spans="1:6" x14ac:dyDescent="0.25">
      <c r="A2149" s="47" t="s">
        <v>7166</v>
      </c>
      <c r="B2149" s="47" t="s">
        <v>7167</v>
      </c>
      <c r="C2149" s="47" t="s">
        <v>7168</v>
      </c>
      <c r="D2149" s="47"/>
      <c r="E2149" s="64">
        <v>41840.959999999999</v>
      </c>
      <c r="F2149" s="64">
        <v>22</v>
      </c>
    </row>
    <row r="2150" spans="1:6" x14ac:dyDescent="0.25">
      <c r="A2150" s="47" t="s">
        <v>7169</v>
      </c>
      <c r="B2150" s="47" t="s">
        <v>7170</v>
      </c>
      <c r="C2150" s="47" t="s">
        <v>7171</v>
      </c>
      <c r="D2150" s="47"/>
      <c r="E2150" s="64">
        <v>44152.33</v>
      </c>
      <c r="F2150" s="64">
        <v>100000000</v>
      </c>
    </row>
    <row r="2151" spans="1:6" x14ac:dyDescent="0.25">
      <c r="A2151" s="47" t="s">
        <v>7172</v>
      </c>
      <c r="B2151" s="47" t="s">
        <v>7173</v>
      </c>
      <c r="C2151" s="47" t="s">
        <v>7174</v>
      </c>
      <c r="D2151" s="47" t="s">
        <v>7175</v>
      </c>
      <c r="E2151" s="64">
        <v>27315.625</v>
      </c>
      <c r="F2151" s="64">
        <v>2.4E-2</v>
      </c>
    </row>
    <row r="2152" spans="1:6" x14ac:dyDescent="0.25">
      <c r="A2152" s="47" t="s">
        <v>7176</v>
      </c>
      <c r="B2152" s="47" t="s">
        <v>7177</v>
      </c>
      <c r="C2152" s="47" t="s">
        <v>7178</v>
      </c>
      <c r="D2152" s="47"/>
      <c r="E2152" s="64">
        <v>59465.399999999994</v>
      </c>
      <c r="F2152" s="64">
        <v>100000000</v>
      </c>
    </row>
    <row r="2153" spans="1:6" x14ac:dyDescent="0.25">
      <c r="A2153" s="47" t="s">
        <v>7179</v>
      </c>
      <c r="B2153" s="47" t="s">
        <v>7180</v>
      </c>
      <c r="C2153" s="47" t="s">
        <v>7181</v>
      </c>
      <c r="D2153" s="47"/>
      <c r="E2153" s="64">
        <v>33988.345000000001</v>
      </c>
      <c r="F2153" s="64">
        <v>22</v>
      </c>
    </row>
    <row r="2154" spans="1:6" x14ac:dyDescent="0.25">
      <c r="A2154" s="47" t="s">
        <v>7182</v>
      </c>
      <c r="B2154" s="47" t="s">
        <v>7183</v>
      </c>
      <c r="C2154" s="47" t="s">
        <v>7184</v>
      </c>
      <c r="D2154" s="47"/>
      <c r="E2154" s="64">
        <v>41840.959999999999</v>
      </c>
      <c r="F2154" s="64">
        <v>22</v>
      </c>
    </row>
    <row r="2155" spans="1:6" x14ac:dyDescent="0.25">
      <c r="A2155" s="47" t="s">
        <v>7185</v>
      </c>
      <c r="B2155" s="47" t="s">
        <v>7186</v>
      </c>
      <c r="C2155" s="47" t="s">
        <v>7187</v>
      </c>
      <c r="D2155" s="47"/>
      <c r="E2155" s="64">
        <v>44331.37</v>
      </c>
      <c r="F2155" s="64">
        <v>22</v>
      </c>
    </row>
    <row r="2156" spans="1:6" x14ac:dyDescent="0.25">
      <c r="A2156" s="47" t="s">
        <v>7188</v>
      </c>
      <c r="B2156" s="47" t="s">
        <v>7189</v>
      </c>
      <c r="C2156" s="47" t="s">
        <v>7190</v>
      </c>
      <c r="D2156" s="47"/>
      <c r="E2156" s="64">
        <v>46207.55</v>
      </c>
      <c r="F2156" s="64">
        <v>22</v>
      </c>
    </row>
    <row r="2157" spans="1:6" x14ac:dyDescent="0.25">
      <c r="A2157" s="47" t="s">
        <v>7191</v>
      </c>
      <c r="B2157" s="47" t="s">
        <v>7192</v>
      </c>
      <c r="C2157" s="47" t="s">
        <v>7193</v>
      </c>
      <c r="D2157" s="47"/>
      <c r="E2157" s="64">
        <v>29779.22</v>
      </c>
      <c r="F2157" s="64">
        <v>100000000</v>
      </c>
    </row>
    <row r="2158" spans="1:6" x14ac:dyDescent="0.25">
      <c r="A2158" s="47" t="s">
        <v>7194</v>
      </c>
      <c r="B2158" s="47" t="s">
        <v>7195</v>
      </c>
      <c r="C2158" s="47" t="s">
        <v>7196</v>
      </c>
      <c r="D2158" s="47" t="s">
        <v>260</v>
      </c>
      <c r="E2158" s="64">
        <v>51355.58</v>
      </c>
      <c r="F2158" s="64">
        <v>3204</v>
      </c>
    </row>
    <row r="2159" spans="1:6" x14ac:dyDescent="0.25">
      <c r="A2159" s="47" t="s">
        <v>7197</v>
      </c>
      <c r="B2159" s="47" t="s">
        <v>7198</v>
      </c>
      <c r="C2159" s="47" t="s">
        <v>7199</v>
      </c>
      <c r="D2159" s="47"/>
      <c r="E2159" s="64">
        <v>54197.200000000004</v>
      </c>
      <c r="F2159" s="64">
        <v>22</v>
      </c>
    </row>
    <row r="2160" spans="1:6" x14ac:dyDescent="0.25">
      <c r="A2160" s="47" t="s">
        <v>7200</v>
      </c>
      <c r="B2160" s="47" t="s">
        <v>7201</v>
      </c>
      <c r="C2160" s="47" t="s">
        <v>7202</v>
      </c>
      <c r="D2160" s="47"/>
      <c r="E2160" s="64">
        <v>39959.482499999998</v>
      </c>
      <c r="F2160" s="64">
        <v>22</v>
      </c>
    </row>
    <row r="2161" spans="1:6" x14ac:dyDescent="0.25">
      <c r="A2161" s="47" t="s">
        <v>7203</v>
      </c>
      <c r="B2161" s="47" t="s">
        <v>7204</v>
      </c>
      <c r="C2161" s="47" t="s">
        <v>7205</v>
      </c>
      <c r="D2161" s="47" t="s">
        <v>2303</v>
      </c>
      <c r="E2161" s="64">
        <v>163298.95000000001</v>
      </c>
      <c r="F2161" s="64">
        <v>95.19583333333334</v>
      </c>
    </row>
    <row r="2162" spans="1:6" x14ac:dyDescent="0.25">
      <c r="A2162" s="47" t="s">
        <v>7206</v>
      </c>
      <c r="B2162" s="47" t="s">
        <v>7207</v>
      </c>
      <c r="C2162" s="47" t="s">
        <v>7208</v>
      </c>
      <c r="D2162" s="47" t="s">
        <v>7209</v>
      </c>
      <c r="E2162" s="64">
        <v>11254.42</v>
      </c>
      <c r="F2162" s="64">
        <v>1265.4616666666666</v>
      </c>
    </row>
    <row r="2163" spans="1:6" x14ac:dyDescent="0.25">
      <c r="A2163" s="47" t="s">
        <v>7210</v>
      </c>
      <c r="B2163" s="47" t="s">
        <v>7211</v>
      </c>
      <c r="C2163" s="47" t="s">
        <v>7212</v>
      </c>
      <c r="D2163" s="47"/>
      <c r="E2163" s="64">
        <v>108345.01000000001</v>
      </c>
      <c r="F2163" s="64">
        <v>22</v>
      </c>
    </row>
    <row r="2164" spans="1:6" x14ac:dyDescent="0.25">
      <c r="A2164" s="47" t="s">
        <v>7213</v>
      </c>
      <c r="B2164" s="47" t="s">
        <v>7214</v>
      </c>
      <c r="C2164" s="47" t="s">
        <v>7215</v>
      </c>
      <c r="D2164" s="47" t="s">
        <v>7216</v>
      </c>
      <c r="E2164" s="64">
        <v>37608.549999999996</v>
      </c>
      <c r="F2164" s="64">
        <v>9.5</v>
      </c>
    </row>
    <row r="2165" spans="1:6" x14ac:dyDescent="0.25">
      <c r="A2165" s="47" t="s">
        <v>7217</v>
      </c>
      <c r="B2165" s="47" t="s">
        <v>7218</v>
      </c>
      <c r="C2165" s="47" t="s">
        <v>7219</v>
      </c>
      <c r="D2165" s="47" t="s">
        <v>7220</v>
      </c>
      <c r="E2165" s="64">
        <v>28915.189999999995</v>
      </c>
      <c r="F2165" s="64">
        <v>0.35</v>
      </c>
    </row>
    <row r="2166" spans="1:6" x14ac:dyDescent="0.25">
      <c r="A2166" s="47" t="s">
        <v>7221</v>
      </c>
      <c r="B2166" s="47" t="s">
        <v>7222</v>
      </c>
      <c r="C2166" s="47" t="s">
        <v>7223</v>
      </c>
      <c r="D2166" s="47" t="s">
        <v>3891</v>
      </c>
      <c r="E2166" s="64">
        <v>19247.130000000005</v>
      </c>
      <c r="F2166" s="64">
        <v>32.4876</v>
      </c>
    </row>
    <row r="2167" spans="1:6" x14ac:dyDescent="0.25">
      <c r="A2167" s="47" t="s">
        <v>7224</v>
      </c>
      <c r="B2167" s="47" t="s">
        <v>7225</v>
      </c>
      <c r="C2167" s="47" t="s">
        <v>7226</v>
      </c>
      <c r="D2167" s="47" t="s">
        <v>7227</v>
      </c>
      <c r="E2167" s="64">
        <v>88076.54</v>
      </c>
      <c r="F2167" s="64">
        <v>51.3</v>
      </c>
    </row>
    <row r="2168" spans="1:6" x14ac:dyDescent="0.25">
      <c r="A2168" s="47" t="s">
        <v>7228</v>
      </c>
      <c r="B2168" s="47" t="s">
        <v>7229</v>
      </c>
      <c r="C2168" s="47" t="s">
        <v>7230</v>
      </c>
      <c r="D2168" s="47"/>
      <c r="E2168" s="64">
        <v>39959.482499999998</v>
      </c>
      <c r="F2168" s="64">
        <v>100000000</v>
      </c>
    </row>
    <row r="2169" spans="1:6" x14ac:dyDescent="0.25">
      <c r="A2169" s="47" t="s">
        <v>7231</v>
      </c>
      <c r="B2169" s="47" t="s">
        <v>7232</v>
      </c>
      <c r="C2169" s="47" t="s">
        <v>7233</v>
      </c>
      <c r="D2169" s="47" t="s">
        <v>5217</v>
      </c>
      <c r="E2169" s="64">
        <v>25646.878000000001</v>
      </c>
      <c r="F2169" s="64">
        <v>0.76600000000000001</v>
      </c>
    </row>
    <row r="2170" spans="1:6" x14ac:dyDescent="0.25">
      <c r="A2170" s="47" t="s">
        <v>7234</v>
      </c>
      <c r="B2170" s="47" t="s">
        <v>7235</v>
      </c>
      <c r="C2170" s="47" t="s">
        <v>7236</v>
      </c>
      <c r="D2170" s="47" t="s">
        <v>2993</v>
      </c>
      <c r="E2170" s="64">
        <v>66827.789999999994</v>
      </c>
      <c r="F2170" s="64">
        <v>35.875</v>
      </c>
    </row>
    <row r="2171" spans="1:6" x14ac:dyDescent="0.25">
      <c r="A2171" s="47" t="s">
        <v>7237</v>
      </c>
      <c r="B2171" s="47" t="s">
        <v>7238</v>
      </c>
      <c r="C2171" s="47" t="s">
        <v>7239</v>
      </c>
      <c r="D2171" s="47" t="s">
        <v>3477</v>
      </c>
      <c r="E2171" s="64">
        <v>23006.910000000003</v>
      </c>
      <c r="F2171" s="64">
        <v>1.2E-2</v>
      </c>
    </row>
    <row r="2172" spans="1:6" x14ac:dyDescent="0.25">
      <c r="A2172" s="47" t="s">
        <v>7240</v>
      </c>
      <c r="B2172" s="47" t="s">
        <v>7241</v>
      </c>
      <c r="C2172" s="47" t="s">
        <v>7242</v>
      </c>
      <c r="D2172" s="47" t="s">
        <v>7243</v>
      </c>
      <c r="E2172" s="64">
        <v>31726.690000000006</v>
      </c>
      <c r="F2172" s="64">
        <v>14.804833333333335</v>
      </c>
    </row>
    <row r="2173" spans="1:6" x14ac:dyDescent="0.25">
      <c r="A2173" s="47" t="s">
        <v>7244</v>
      </c>
      <c r="B2173" s="47" t="s">
        <v>7245</v>
      </c>
      <c r="C2173" s="47" t="s">
        <v>7246</v>
      </c>
      <c r="D2173" s="47" t="s">
        <v>6930</v>
      </c>
      <c r="E2173" s="64">
        <v>31157.319999999996</v>
      </c>
      <c r="F2173" s="64">
        <v>213.43394333333333</v>
      </c>
    </row>
    <row r="2174" spans="1:6" x14ac:dyDescent="0.25">
      <c r="A2174" s="47" t="s">
        <v>7247</v>
      </c>
      <c r="B2174" s="47" t="s">
        <v>7248</v>
      </c>
      <c r="C2174" s="47" t="s">
        <v>7249</v>
      </c>
      <c r="D2174" s="47"/>
      <c r="E2174" s="64">
        <v>27199.369999999995</v>
      </c>
      <c r="F2174" s="64">
        <v>100000000</v>
      </c>
    </row>
    <row r="2175" spans="1:6" x14ac:dyDescent="0.25">
      <c r="A2175" s="47" t="s">
        <v>7250</v>
      </c>
      <c r="B2175" s="47" t="s">
        <v>7251</v>
      </c>
      <c r="C2175" s="47" t="s">
        <v>7252</v>
      </c>
      <c r="D2175" s="47"/>
      <c r="E2175" s="64">
        <v>39959.482499999998</v>
      </c>
      <c r="F2175" s="64">
        <v>22</v>
      </c>
    </row>
    <row r="2176" spans="1:6" x14ac:dyDescent="0.25">
      <c r="A2176" s="47" t="s">
        <v>7253</v>
      </c>
      <c r="B2176" s="47" t="s">
        <v>7254</v>
      </c>
      <c r="C2176" s="47" t="s">
        <v>7255</v>
      </c>
      <c r="D2176" s="47"/>
      <c r="E2176" s="64">
        <v>136257.26</v>
      </c>
      <c r="F2176" s="64">
        <v>22</v>
      </c>
    </row>
    <row r="2177" spans="1:6" x14ac:dyDescent="0.25">
      <c r="A2177" s="47" t="s">
        <v>7256</v>
      </c>
      <c r="B2177" s="47" t="s">
        <v>7257</v>
      </c>
      <c r="C2177" s="47" t="s">
        <v>7258</v>
      </c>
      <c r="D2177" s="47"/>
      <c r="E2177" s="64">
        <v>136257.26</v>
      </c>
      <c r="F2177" s="64">
        <v>22</v>
      </c>
    </row>
    <row r="2178" spans="1:6" x14ac:dyDescent="0.25">
      <c r="A2178" s="47" t="s">
        <v>7259</v>
      </c>
      <c r="B2178" s="47" t="s">
        <v>7260</v>
      </c>
      <c r="C2178" s="47" t="s">
        <v>7261</v>
      </c>
      <c r="D2178" s="47" t="s">
        <v>2283</v>
      </c>
      <c r="E2178" s="64">
        <v>44174.560000000005</v>
      </c>
      <c r="F2178" s="64">
        <v>110.60000000000001</v>
      </c>
    </row>
    <row r="2179" spans="1:6" x14ac:dyDescent="0.25">
      <c r="A2179" s="47" t="s">
        <v>7262</v>
      </c>
      <c r="B2179" s="47" t="s">
        <v>7263</v>
      </c>
      <c r="C2179" s="47" t="s">
        <v>7264</v>
      </c>
      <c r="D2179" s="47" t="s">
        <v>7265</v>
      </c>
      <c r="E2179" s="64">
        <v>31844.07</v>
      </c>
      <c r="F2179" s="64">
        <v>126.78505377358489</v>
      </c>
    </row>
    <row r="2180" spans="1:6" x14ac:dyDescent="0.25">
      <c r="A2180" s="47" t="s">
        <v>7266</v>
      </c>
      <c r="B2180" s="47" t="s">
        <v>7267</v>
      </c>
      <c r="C2180" s="47" t="s">
        <v>7268</v>
      </c>
      <c r="D2180" s="47" t="s">
        <v>7269</v>
      </c>
      <c r="E2180" s="64">
        <v>61162.450000000012</v>
      </c>
      <c r="F2180" s="64">
        <v>3.7014999999999998</v>
      </c>
    </row>
    <row r="2181" spans="1:6" x14ac:dyDescent="0.25">
      <c r="A2181" s="47" t="s">
        <v>7270</v>
      </c>
      <c r="B2181" s="47" t="s">
        <v>7271</v>
      </c>
      <c r="C2181" s="47" t="s">
        <v>7272</v>
      </c>
      <c r="D2181" s="47" t="s">
        <v>408</v>
      </c>
      <c r="E2181" s="64">
        <v>21435</v>
      </c>
      <c r="F2181" s="64">
        <v>90.131772727272732</v>
      </c>
    </row>
    <row r="2182" spans="1:6" x14ac:dyDescent="0.25">
      <c r="A2182" s="47" t="s">
        <v>7273</v>
      </c>
      <c r="B2182" s="47" t="s">
        <v>7274</v>
      </c>
      <c r="C2182" s="47" t="s">
        <v>7275</v>
      </c>
      <c r="D2182" s="47" t="s">
        <v>7276</v>
      </c>
      <c r="E2182" s="64">
        <v>33571.990000000005</v>
      </c>
      <c r="F2182" s="64">
        <v>14.804833333333335</v>
      </c>
    </row>
    <row r="2183" spans="1:6" x14ac:dyDescent="0.25">
      <c r="A2183" s="47" t="s">
        <v>7277</v>
      </c>
      <c r="B2183" s="47" t="s">
        <v>7278</v>
      </c>
      <c r="C2183" s="47" t="s">
        <v>7279</v>
      </c>
      <c r="D2183" s="47"/>
      <c r="E2183" s="64">
        <v>39959.482499999998</v>
      </c>
      <c r="F2183" s="64">
        <v>100000000</v>
      </c>
    </row>
    <row r="2184" spans="1:6" x14ac:dyDescent="0.25">
      <c r="A2184" s="47" t="s">
        <v>7280</v>
      </c>
      <c r="B2184" s="47" t="s">
        <v>7281</v>
      </c>
      <c r="C2184" s="47" t="s">
        <v>7282</v>
      </c>
      <c r="D2184" s="47"/>
      <c r="E2184" s="64">
        <v>39959.482499999998</v>
      </c>
      <c r="F2184" s="64">
        <v>100000000</v>
      </c>
    </row>
    <row r="2185" spans="1:6" x14ac:dyDescent="0.25">
      <c r="A2185" s="47" t="s">
        <v>7283</v>
      </c>
      <c r="B2185" s="47" t="s">
        <v>7284</v>
      </c>
      <c r="C2185" s="47" t="s">
        <v>7285</v>
      </c>
      <c r="D2185" s="47"/>
      <c r="E2185" s="64">
        <v>32323.43</v>
      </c>
      <c r="F2185" s="64">
        <v>22</v>
      </c>
    </row>
    <row r="2186" spans="1:6" x14ac:dyDescent="0.25">
      <c r="A2186" s="47" t="s">
        <v>7286</v>
      </c>
      <c r="B2186" s="47" t="s">
        <v>7287</v>
      </c>
      <c r="C2186" s="47" t="s">
        <v>7288</v>
      </c>
      <c r="D2186" s="47" t="s">
        <v>7289</v>
      </c>
      <c r="E2186" s="64">
        <v>31226.93</v>
      </c>
      <c r="F2186" s="64">
        <v>8.2500000000000004E-2</v>
      </c>
    </row>
    <row r="2187" spans="1:6" x14ac:dyDescent="0.25">
      <c r="A2187" s="47" t="s">
        <v>7290</v>
      </c>
      <c r="B2187" s="47" t="s">
        <v>7291</v>
      </c>
      <c r="C2187" s="47" t="s">
        <v>7292</v>
      </c>
      <c r="D2187" s="47" t="s">
        <v>7293</v>
      </c>
      <c r="E2187" s="64">
        <v>13240.93</v>
      </c>
      <c r="F2187" s="64">
        <v>1.1200000000000001</v>
      </c>
    </row>
    <row r="2188" spans="1:6" x14ac:dyDescent="0.25">
      <c r="A2188" s="47" t="s">
        <v>7294</v>
      </c>
      <c r="B2188" s="47" t="s">
        <v>7295</v>
      </c>
      <c r="C2188" s="47" t="s">
        <v>7296</v>
      </c>
      <c r="D2188" s="47" t="s">
        <v>1485</v>
      </c>
      <c r="E2188" s="64">
        <v>33622.720000000001</v>
      </c>
      <c r="F2188" s="64">
        <v>14.2</v>
      </c>
    </row>
    <row r="2189" spans="1:6" x14ac:dyDescent="0.25">
      <c r="A2189" s="47" t="s">
        <v>7297</v>
      </c>
      <c r="B2189" s="47" t="s">
        <v>7298</v>
      </c>
      <c r="C2189" s="47" t="s">
        <v>7299</v>
      </c>
      <c r="D2189" s="47"/>
      <c r="E2189" s="64">
        <v>51756.53</v>
      </c>
      <c r="F2189" s="64">
        <v>22</v>
      </c>
    </row>
    <row r="2190" spans="1:6" x14ac:dyDescent="0.25">
      <c r="A2190" s="47" t="s">
        <v>7300</v>
      </c>
      <c r="B2190" s="47" t="s">
        <v>7301</v>
      </c>
      <c r="C2190" s="47" t="s">
        <v>7302</v>
      </c>
      <c r="D2190" s="47"/>
      <c r="E2190" s="64">
        <v>39959.482499999998</v>
      </c>
      <c r="F2190" s="64">
        <v>100000000</v>
      </c>
    </row>
    <row r="2191" spans="1:6" x14ac:dyDescent="0.25">
      <c r="A2191" s="47" t="s">
        <v>7303</v>
      </c>
      <c r="B2191" s="47" t="s">
        <v>7304</v>
      </c>
      <c r="C2191" s="47" t="s">
        <v>7305</v>
      </c>
      <c r="D2191" s="47"/>
      <c r="E2191" s="64">
        <v>136257.26</v>
      </c>
      <c r="F2191" s="64">
        <v>22</v>
      </c>
    </row>
    <row r="2192" spans="1:6" x14ac:dyDescent="0.25">
      <c r="A2192" s="47" t="s">
        <v>7306</v>
      </c>
      <c r="B2192" s="47" t="s">
        <v>5745</v>
      </c>
      <c r="C2192" s="47" t="s">
        <v>7307</v>
      </c>
      <c r="D2192" s="47" t="s">
        <v>5747</v>
      </c>
      <c r="E2192" s="64">
        <v>63802.469999999994</v>
      </c>
      <c r="F2192" s="64">
        <v>1</v>
      </c>
    </row>
    <row r="2193" spans="1:6" x14ac:dyDescent="0.25">
      <c r="A2193" s="47" t="s">
        <v>7308</v>
      </c>
      <c r="B2193" s="47" t="s">
        <v>7309</v>
      </c>
      <c r="C2193" s="47" t="s">
        <v>7310</v>
      </c>
      <c r="D2193" s="47" t="s">
        <v>7311</v>
      </c>
      <c r="E2193" s="64">
        <v>101068.22</v>
      </c>
      <c r="F2193" s="64">
        <v>1</v>
      </c>
    </row>
    <row r="2194" spans="1:6" x14ac:dyDescent="0.25">
      <c r="A2194" s="47" t="s">
        <v>7312</v>
      </c>
      <c r="B2194" s="47" t="s">
        <v>7313</v>
      </c>
      <c r="C2194" s="47" t="s">
        <v>7314</v>
      </c>
      <c r="D2194" s="47" t="s">
        <v>7315</v>
      </c>
      <c r="E2194" s="64">
        <v>42009.21</v>
      </c>
      <c r="F2194" s="64">
        <v>90.131772727272732</v>
      </c>
    </row>
    <row r="2195" spans="1:6" x14ac:dyDescent="0.25">
      <c r="A2195" s="47" t="s">
        <v>7316</v>
      </c>
      <c r="B2195" s="47" t="s">
        <v>7317</v>
      </c>
      <c r="C2195" s="47" t="s">
        <v>7318</v>
      </c>
      <c r="D2195" s="47" t="s">
        <v>7319</v>
      </c>
      <c r="E2195" s="64">
        <v>27846.94</v>
      </c>
      <c r="F2195" s="64">
        <v>1.71</v>
      </c>
    </row>
    <row r="2196" spans="1:6" x14ac:dyDescent="0.25">
      <c r="A2196" s="47" t="s">
        <v>7320</v>
      </c>
      <c r="B2196" s="47" t="s">
        <v>7321</v>
      </c>
      <c r="C2196" s="47" t="s">
        <v>7322</v>
      </c>
      <c r="D2196" s="47"/>
      <c r="E2196" s="64">
        <v>39959.482499999998</v>
      </c>
      <c r="F2196" s="64">
        <v>100000000</v>
      </c>
    </row>
    <row r="2197" spans="1:6" x14ac:dyDescent="0.25">
      <c r="A2197" s="47" t="s">
        <v>7323</v>
      </c>
      <c r="B2197" s="47" t="s">
        <v>7324</v>
      </c>
      <c r="C2197" s="47" t="s">
        <v>7325</v>
      </c>
      <c r="D2197" s="47" t="s">
        <v>7326</v>
      </c>
      <c r="E2197" s="64">
        <v>52407.009999999995</v>
      </c>
      <c r="F2197" s="64">
        <v>5.3149999999999995</v>
      </c>
    </row>
    <row r="2198" spans="1:6" x14ac:dyDescent="0.25">
      <c r="A2198" s="47" t="s">
        <v>7327</v>
      </c>
      <c r="B2198" s="47" t="s">
        <v>7328</v>
      </c>
      <c r="C2198" s="47" t="s">
        <v>7329</v>
      </c>
      <c r="D2198" s="47" t="s">
        <v>7330</v>
      </c>
      <c r="E2198" s="64">
        <v>66781.180000000008</v>
      </c>
      <c r="F2198" s="64">
        <v>95.19583333333334</v>
      </c>
    </row>
    <row r="2199" spans="1:6" x14ac:dyDescent="0.25">
      <c r="A2199" s="47" t="s">
        <v>7331</v>
      </c>
      <c r="B2199" s="47" t="s">
        <v>7332</v>
      </c>
      <c r="C2199" s="47" t="s">
        <v>7333</v>
      </c>
      <c r="D2199" s="47" t="s">
        <v>7051</v>
      </c>
      <c r="E2199" s="64">
        <v>42952.369999999995</v>
      </c>
      <c r="F2199" s="64">
        <v>6.4705079365079357</v>
      </c>
    </row>
    <row r="2200" spans="1:6" x14ac:dyDescent="0.25">
      <c r="A2200" s="47" t="s">
        <v>7334</v>
      </c>
      <c r="B2200" s="47" t="s">
        <v>7335</v>
      </c>
      <c r="C2200" s="47" t="s">
        <v>7336</v>
      </c>
      <c r="D2200" s="47" t="s">
        <v>7051</v>
      </c>
      <c r="E2200" s="64">
        <v>44243.41</v>
      </c>
      <c r="F2200" s="64">
        <v>6.4705079365079357</v>
      </c>
    </row>
    <row r="2201" spans="1:6" x14ac:dyDescent="0.25">
      <c r="A2201" s="47" t="s">
        <v>7337</v>
      </c>
      <c r="B2201" s="47" t="s">
        <v>7338</v>
      </c>
      <c r="C2201" s="47" t="s">
        <v>7339</v>
      </c>
      <c r="D2201" s="47" t="s">
        <v>7340</v>
      </c>
      <c r="E2201" s="64">
        <v>143811.10999999999</v>
      </c>
      <c r="F2201" s="64">
        <v>20</v>
      </c>
    </row>
    <row r="2202" spans="1:6" x14ac:dyDescent="0.25">
      <c r="A2202" s="47" t="s">
        <v>7341</v>
      </c>
      <c r="B2202" s="47" t="s">
        <v>7342</v>
      </c>
      <c r="C2202" s="47" t="s">
        <v>7343</v>
      </c>
      <c r="D2202" s="47" t="s">
        <v>3477</v>
      </c>
      <c r="E2202" s="64">
        <v>25979.589999999997</v>
      </c>
      <c r="F2202" s="64">
        <v>1.2E-2</v>
      </c>
    </row>
    <row r="2203" spans="1:6" x14ac:dyDescent="0.25">
      <c r="A2203" s="47" t="s">
        <v>7344</v>
      </c>
      <c r="B2203" s="47" t="s">
        <v>111</v>
      </c>
      <c r="C2203" s="47" t="s">
        <v>7345</v>
      </c>
      <c r="D2203" s="47" t="s">
        <v>2190</v>
      </c>
      <c r="E2203" s="64">
        <v>49437.139999999992</v>
      </c>
      <c r="F2203" s="64">
        <v>33</v>
      </c>
    </row>
    <row r="2204" spans="1:6" x14ac:dyDescent="0.25">
      <c r="A2204" s="47" t="s">
        <v>7346</v>
      </c>
      <c r="B2204" s="47" t="s">
        <v>7347</v>
      </c>
      <c r="C2204" s="47" t="s">
        <v>7348</v>
      </c>
      <c r="D2204" s="47" t="s">
        <v>2969</v>
      </c>
      <c r="E2204" s="64">
        <v>53417.080000000009</v>
      </c>
      <c r="F2204" s="64">
        <v>1.6999999999999999E-3</v>
      </c>
    </row>
    <row r="2205" spans="1:6" x14ac:dyDescent="0.25">
      <c r="A2205" s="47" t="s">
        <v>7349</v>
      </c>
      <c r="B2205" s="47" t="s">
        <v>7350</v>
      </c>
      <c r="C2205" s="47" t="s">
        <v>7351</v>
      </c>
      <c r="D2205" s="47"/>
      <c r="E2205" s="64">
        <v>39959.482499999998</v>
      </c>
      <c r="F2205" s="64">
        <v>100000000</v>
      </c>
    </row>
    <row r="2206" spans="1:6" x14ac:dyDescent="0.25">
      <c r="A2206" s="47" t="s">
        <v>7352</v>
      </c>
      <c r="B2206" s="47" t="s">
        <v>7353</v>
      </c>
      <c r="C2206" s="47" t="s">
        <v>7354</v>
      </c>
      <c r="D2206" s="47"/>
      <c r="E2206" s="64">
        <v>21323.969999999998</v>
      </c>
      <c r="F2206" s="64">
        <v>22</v>
      </c>
    </row>
    <row r="2207" spans="1:6" x14ac:dyDescent="0.25">
      <c r="A2207" s="47" t="s">
        <v>7355</v>
      </c>
      <c r="B2207" s="47" t="s">
        <v>7356</v>
      </c>
      <c r="C2207" s="47" t="s">
        <v>7357</v>
      </c>
      <c r="D2207" s="47" t="s">
        <v>1079</v>
      </c>
      <c r="E2207" s="64">
        <v>50511.039999999994</v>
      </c>
      <c r="F2207" s="64">
        <v>2</v>
      </c>
    </row>
    <row r="2208" spans="1:6" x14ac:dyDescent="0.25">
      <c r="A2208" s="47" t="s">
        <v>7358</v>
      </c>
      <c r="B2208" s="47" t="s">
        <v>7359</v>
      </c>
      <c r="C2208" s="47" t="s">
        <v>7360</v>
      </c>
      <c r="D2208" s="47" t="s">
        <v>2276</v>
      </c>
      <c r="E2208" s="64">
        <v>140967.23000000001</v>
      </c>
      <c r="F2208" s="64">
        <v>95.19583333333334</v>
      </c>
    </row>
    <row r="2209" spans="1:6" x14ac:dyDescent="0.25">
      <c r="A2209" s="47" t="s">
        <v>7361</v>
      </c>
      <c r="B2209" s="47" t="s">
        <v>7362</v>
      </c>
      <c r="C2209" s="47" t="s">
        <v>7363</v>
      </c>
      <c r="D2209" s="47"/>
      <c r="E2209" s="64">
        <v>46207.55</v>
      </c>
      <c r="F2209" s="64">
        <v>22</v>
      </c>
    </row>
    <row r="2210" spans="1:6" x14ac:dyDescent="0.25">
      <c r="A2210" s="47" t="s">
        <v>7364</v>
      </c>
      <c r="B2210" s="47" t="s">
        <v>7365</v>
      </c>
      <c r="C2210" s="47" t="s">
        <v>7366</v>
      </c>
      <c r="D2210" s="47"/>
      <c r="E2210" s="64">
        <v>41444.414999999994</v>
      </c>
      <c r="F2210" s="64">
        <v>22</v>
      </c>
    </row>
    <row r="2211" spans="1:6" x14ac:dyDescent="0.25">
      <c r="A2211" s="47" t="s">
        <v>7367</v>
      </c>
      <c r="B2211" s="47" t="s">
        <v>6321</v>
      </c>
      <c r="C2211" s="47" t="s">
        <v>7368</v>
      </c>
      <c r="D2211" s="47"/>
      <c r="E2211" s="64">
        <v>20116.5</v>
      </c>
      <c r="F2211" s="64">
        <v>22</v>
      </c>
    </row>
    <row r="2212" spans="1:6" x14ac:dyDescent="0.25">
      <c r="A2212" s="47" t="s">
        <v>7369</v>
      </c>
      <c r="B2212" s="47" t="s">
        <v>7370</v>
      </c>
      <c r="C2212" s="47" t="s">
        <v>7371</v>
      </c>
      <c r="D2212" s="47"/>
      <c r="E2212" s="64">
        <v>43430.59</v>
      </c>
      <c r="F2212" s="64">
        <v>22</v>
      </c>
    </row>
    <row r="2213" spans="1:6" x14ac:dyDescent="0.25">
      <c r="A2213" s="47" t="s">
        <v>7372</v>
      </c>
      <c r="B2213" s="47" t="s">
        <v>7373</v>
      </c>
      <c r="C2213" s="47" t="s">
        <v>7374</v>
      </c>
      <c r="D2213" s="47" t="s">
        <v>7375</v>
      </c>
      <c r="E2213" s="64">
        <v>43572.049999999996</v>
      </c>
      <c r="F2213" s="64">
        <v>27</v>
      </c>
    </row>
    <row r="2214" spans="1:6" x14ac:dyDescent="0.25">
      <c r="A2214" s="47" t="s">
        <v>7376</v>
      </c>
      <c r="B2214" s="47" t="s">
        <v>7377</v>
      </c>
      <c r="C2214" s="47" t="s">
        <v>7378</v>
      </c>
      <c r="D2214" s="47" t="s">
        <v>6999</v>
      </c>
      <c r="E2214" s="64">
        <v>28870.61</v>
      </c>
      <c r="F2214" s="64">
        <v>1.4750000000000001</v>
      </c>
    </row>
    <row r="2215" spans="1:6" x14ac:dyDescent="0.25">
      <c r="A2215" s="47" t="s">
        <v>7379</v>
      </c>
      <c r="B2215" s="47" t="s">
        <v>7380</v>
      </c>
      <c r="C2215" s="47" t="s">
        <v>7381</v>
      </c>
      <c r="D2215" s="47" t="s">
        <v>4139</v>
      </c>
      <c r="E2215" s="64">
        <v>36493.699999999997</v>
      </c>
      <c r="F2215" s="64">
        <v>1.44</v>
      </c>
    </row>
    <row r="2216" spans="1:6" x14ac:dyDescent="0.25">
      <c r="A2216" s="47" t="s">
        <v>7382</v>
      </c>
      <c r="B2216" s="47" t="s">
        <v>7383</v>
      </c>
      <c r="C2216" s="47" t="s">
        <v>7384</v>
      </c>
      <c r="D2216" s="47" t="s">
        <v>3477</v>
      </c>
      <c r="E2216" s="64">
        <v>24329.489999999998</v>
      </c>
      <c r="F2216" s="64">
        <v>1.2E-2</v>
      </c>
    </row>
    <row r="2217" spans="1:6" x14ac:dyDescent="0.25">
      <c r="A2217" s="47" t="s">
        <v>7385</v>
      </c>
      <c r="B2217" s="47" t="s">
        <v>7386</v>
      </c>
      <c r="C2217" s="47" t="s">
        <v>7387</v>
      </c>
      <c r="D2217" s="47"/>
      <c r="E2217" s="64">
        <v>49906.670000000013</v>
      </c>
      <c r="F2217" s="64">
        <v>22</v>
      </c>
    </row>
    <row r="2218" spans="1:6" x14ac:dyDescent="0.25">
      <c r="A2218" s="47" t="s">
        <v>7388</v>
      </c>
      <c r="B2218" s="47" t="s">
        <v>7389</v>
      </c>
      <c r="C2218" s="47" t="s">
        <v>7390</v>
      </c>
      <c r="D2218" s="47"/>
      <c r="E2218" s="64">
        <v>39959.482499999998</v>
      </c>
      <c r="F2218" s="64">
        <v>100000000</v>
      </c>
    </row>
    <row r="2219" spans="1:6" x14ac:dyDescent="0.25">
      <c r="A2219" s="47" t="s">
        <v>7391</v>
      </c>
      <c r="B2219" s="47" t="s">
        <v>7392</v>
      </c>
      <c r="C2219" s="47" t="s">
        <v>7393</v>
      </c>
      <c r="D2219" s="47"/>
      <c r="E2219" s="64">
        <v>54197.200000000004</v>
      </c>
      <c r="F2219" s="64">
        <v>22</v>
      </c>
    </row>
    <row r="2220" spans="1:6" x14ac:dyDescent="0.25">
      <c r="A2220" s="47" t="s">
        <v>7394</v>
      </c>
      <c r="B2220" s="47" t="s">
        <v>7395</v>
      </c>
      <c r="C2220" s="47" t="s">
        <v>7396</v>
      </c>
      <c r="D2220" s="47"/>
      <c r="E2220" s="64">
        <v>39959.482499999998</v>
      </c>
      <c r="F2220" s="64">
        <v>22</v>
      </c>
    </row>
    <row r="2221" spans="1:6" x14ac:dyDescent="0.25">
      <c r="A2221" s="47" t="s">
        <v>7397</v>
      </c>
      <c r="B2221" s="47" t="s">
        <v>7398</v>
      </c>
      <c r="C2221" s="47" t="s">
        <v>7399</v>
      </c>
      <c r="D2221" s="47" t="s">
        <v>7400</v>
      </c>
      <c r="E2221" s="64">
        <v>31891.81</v>
      </c>
      <c r="F2221" s="64">
        <v>109.46666666666665</v>
      </c>
    </row>
    <row r="2222" spans="1:6" x14ac:dyDescent="0.25">
      <c r="A2222" s="47" t="s">
        <v>7401</v>
      </c>
      <c r="B2222" s="47" t="s">
        <v>7402</v>
      </c>
      <c r="C2222" s="47" t="s">
        <v>7403</v>
      </c>
      <c r="D2222" s="47"/>
      <c r="E2222" s="64">
        <v>66326.291428571436</v>
      </c>
      <c r="F2222" s="64">
        <v>22</v>
      </c>
    </row>
    <row r="2223" spans="1:6" x14ac:dyDescent="0.25">
      <c r="A2223" s="47" t="s">
        <v>7404</v>
      </c>
      <c r="B2223" s="47" t="s">
        <v>7405</v>
      </c>
      <c r="C2223" s="47" t="s">
        <v>7406</v>
      </c>
      <c r="D2223" s="47" t="s">
        <v>7216</v>
      </c>
      <c r="E2223" s="64">
        <v>37608.549999999996</v>
      </c>
      <c r="F2223" s="64">
        <v>9.5</v>
      </c>
    </row>
    <row r="2224" spans="1:6" x14ac:dyDescent="0.25">
      <c r="A2224" s="47" t="s">
        <v>7407</v>
      </c>
      <c r="B2224" s="47" t="s">
        <v>7408</v>
      </c>
      <c r="C2224" s="47" t="s">
        <v>7409</v>
      </c>
      <c r="D2224" s="47" t="s">
        <v>7410</v>
      </c>
      <c r="E2224" s="64">
        <v>44225.100000000006</v>
      </c>
      <c r="F2224" s="64">
        <v>3.2</v>
      </c>
    </row>
    <row r="2225" spans="1:6" x14ac:dyDescent="0.25">
      <c r="A2225" s="47" t="s">
        <v>7411</v>
      </c>
      <c r="B2225" s="47" t="s">
        <v>7412</v>
      </c>
      <c r="C2225" s="47" t="s">
        <v>7413</v>
      </c>
      <c r="D2225" s="47" t="s">
        <v>3421</v>
      </c>
      <c r="E2225" s="64">
        <v>14969.680000000002</v>
      </c>
      <c r="F2225" s="64">
        <v>10.3</v>
      </c>
    </row>
    <row r="2226" spans="1:6" x14ac:dyDescent="0.25">
      <c r="A2226" s="47" t="s">
        <v>7414</v>
      </c>
      <c r="B2226" s="47" t="s">
        <v>7415</v>
      </c>
      <c r="C2226" s="47" t="s">
        <v>7416</v>
      </c>
      <c r="D2226" s="47" t="s">
        <v>7417</v>
      </c>
      <c r="E2226" s="64">
        <v>27775.79</v>
      </c>
      <c r="F2226" s="64">
        <v>417</v>
      </c>
    </row>
    <row r="2227" spans="1:6" x14ac:dyDescent="0.25">
      <c r="A2227" s="47" t="s">
        <v>7418</v>
      </c>
      <c r="B2227" s="47" t="s">
        <v>7419</v>
      </c>
      <c r="C2227" s="47" t="s">
        <v>7420</v>
      </c>
      <c r="D2227" s="47"/>
      <c r="E2227" s="64">
        <v>48877.600000000006</v>
      </c>
      <c r="F2227" s="64">
        <v>22</v>
      </c>
    </row>
    <row r="2228" spans="1:6" x14ac:dyDescent="0.25">
      <c r="A2228" s="47" t="s">
        <v>7421</v>
      </c>
      <c r="B2228" s="47" t="s">
        <v>7422</v>
      </c>
      <c r="C2228" s="47" t="s">
        <v>7423</v>
      </c>
      <c r="D2228" s="47"/>
      <c r="E2228" s="64">
        <v>47891.340000000011</v>
      </c>
      <c r="F2228" s="64">
        <v>22</v>
      </c>
    </row>
    <row r="2229" spans="1:6" x14ac:dyDescent="0.25">
      <c r="A2229" s="47" t="s">
        <v>7424</v>
      </c>
      <c r="B2229" s="47" t="s">
        <v>7027</v>
      </c>
      <c r="C2229" s="47" t="s">
        <v>7425</v>
      </c>
      <c r="D2229" s="47" t="s">
        <v>6089</v>
      </c>
      <c r="E2229" s="64">
        <v>89221.91</v>
      </c>
      <c r="F2229" s="64">
        <v>8.01</v>
      </c>
    </row>
    <row r="2230" spans="1:6" x14ac:dyDescent="0.25">
      <c r="A2230" s="47" t="s">
        <v>7426</v>
      </c>
      <c r="B2230" s="47" t="s">
        <v>7427</v>
      </c>
      <c r="C2230" s="47" t="s">
        <v>7428</v>
      </c>
      <c r="D2230" s="47" t="s">
        <v>3891</v>
      </c>
      <c r="E2230" s="64">
        <v>16569.419999999998</v>
      </c>
      <c r="F2230" s="64">
        <v>32.4876</v>
      </c>
    </row>
    <row r="2231" spans="1:6" x14ac:dyDescent="0.25">
      <c r="A2231" s="47" t="s">
        <v>7429</v>
      </c>
      <c r="B2231" s="47" t="s">
        <v>7430</v>
      </c>
      <c r="C2231" s="47" t="s">
        <v>7431</v>
      </c>
      <c r="D2231" s="47" t="s">
        <v>7432</v>
      </c>
      <c r="E2231" s="64">
        <v>77272.590000000011</v>
      </c>
      <c r="F2231" s="64">
        <v>14.3</v>
      </c>
    </row>
    <row r="2232" spans="1:6" x14ac:dyDescent="0.25">
      <c r="A2232" s="47" t="s">
        <v>7433</v>
      </c>
      <c r="B2232" s="47" t="s">
        <v>7434</v>
      </c>
      <c r="C2232" s="47" t="s">
        <v>7435</v>
      </c>
      <c r="D2232" s="47"/>
      <c r="E2232" s="64">
        <v>59427.579999999987</v>
      </c>
      <c r="F2232" s="64">
        <v>100000000</v>
      </c>
    </row>
    <row r="2233" spans="1:6" x14ac:dyDescent="0.25">
      <c r="A2233" s="47" t="s">
        <v>7436</v>
      </c>
      <c r="B2233" s="47" t="s">
        <v>7437</v>
      </c>
      <c r="C2233" s="47" t="s">
        <v>7438</v>
      </c>
      <c r="D2233" s="47"/>
      <c r="E2233" s="64">
        <v>59427.579999999987</v>
      </c>
      <c r="F2233" s="64">
        <v>100000000</v>
      </c>
    </row>
    <row r="2234" spans="1:6" x14ac:dyDescent="0.25">
      <c r="A2234" s="47" t="s">
        <v>7439</v>
      </c>
      <c r="B2234" s="47" t="s">
        <v>7440</v>
      </c>
      <c r="C2234" s="47" t="s">
        <v>7441</v>
      </c>
      <c r="D2234" s="47"/>
      <c r="E2234" s="64">
        <v>59427.579999999987</v>
      </c>
      <c r="F2234" s="64">
        <v>100000000</v>
      </c>
    </row>
    <row r="2235" spans="1:6" x14ac:dyDescent="0.25">
      <c r="A2235" s="47" t="s">
        <v>7442</v>
      </c>
      <c r="B2235" s="47" t="s">
        <v>7443</v>
      </c>
      <c r="C2235" s="47" t="s">
        <v>7444</v>
      </c>
      <c r="D2235" s="47" t="s">
        <v>7289</v>
      </c>
      <c r="E2235" s="64">
        <v>31226.93</v>
      </c>
      <c r="F2235" s="64">
        <v>9.1999999999999998E-2</v>
      </c>
    </row>
    <row r="2236" spans="1:6" x14ac:dyDescent="0.25">
      <c r="A2236" s="47" t="s">
        <v>7445</v>
      </c>
      <c r="B2236" s="47" t="s">
        <v>924</v>
      </c>
      <c r="C2236" s="47" t="s">
        <v>7446</v>
      </c>
      <c r="D2236" s="47" t="s">
        <v>358</v>
      </c>
      <c r="E2236" s="64">
        <v>37977.269999999997</v>
      </c>
      <c r="F2236" s="64">
        <v>38.1</v>
      </c>
    </row>
    <row r="2237" spans="1:6" x14ac:dyDescent="0.25">
      <c r="A2237" s="47" t="s">
        <v>7447</v>
      </c>
      <c r="B2237" s="47" t="s">
        <v>52</v>
      </c>
      <c r="C2237" s="47" t="s">
        <v>7448</v>
      </c>
      <c r="D2237" s="47" t="s">
        <v>54</v>
      </c>
      <c r="E2237" s="64">
        <v>48771.05</v>
      </c>
      <c r="F2237" s="64">
        <v>733.3</v>
      </c>
    </row>
    <row r="2238" spans="1:6" x14ac:dyDescent="0.25">
      <c r="A2238" s="47" t="s">
        <v>7449</v>
      </c>
      <c r="B2238" s="47" t="s">
        <v>84</v>
      </c>
      <c r="C2238" s="47" t="s">
        <v>7450</v>
      </c>
      <c r="D2238" s="47" t="s">
        <v>86</v>
      </c>
      <c r="E2238" s="64">
        <v>30319.870000000003</v>
      </c>
      <c r="F2238" s="64">
        <v>118.5425</v>
      </c>
    </row>
    <row r="2239" spans="1:6" x14ac:dyDescent="0.25">
      <c r="A2239" s="47" t="s">
        <v>7451</v>
      </c>
      <c r="B2239" s="47" t="s">
        <v>95</v>
      </c>
      <c r="C2239" s="47" t="s">
        <v>7452</v>
      </c>
      <c r="D2239" s="47" t="s">
        <v>97</v>
      </c>
      <c r="E2239" s="64">
        <v>42848.689999999995</v>
      </c>
      <c r="F2239" s="64">
        <v>141</v>
      </c>
    </row>
    <row r="2240" spans="1:6" x14ac:dyDescent="0.25">
      <c r="A2240" s="47" t="s">
        <v>7453</v>
      </c>
      <c r="B2240" s="47" t="s">
        <v>134</v>
      </c>
      <c r="C2240" s="47" t="s">
        <v>7454</v>
      </c>
      <c r="D2240" s="47" t="s">
        <v>136</v>
      </c>
      <c r="E2240" s="64">
        <v>47205.67</v>
      </c>
      <c r="F2240" s="64">
        <v>0.27500000000000002</v>
      </c>
    </row>
    <row r="2241" spans="1:6" x14ac:dyDescent="0.25">
      <c r="A2241" s="47" t="s">
        <v>7455</v>
      </c>
      <c r="B2241" s="47" t="s">
        <v>138</v>
      </c>
      <c r="C2241" s="47" t="s">
        <v>7456</v>
      </c>
      <c r="D2241" s="47" t="s">
        <v>140</v>
      </c>
      <c r="E2241" s="64">
        <v>24429.83</v>
      </c>
      <c r="F2241" s="64">
        <v>46000</v>
      </c>
    </row>
    <row r="2242" spans="1:6" x14ac:dyDescent="0.25">
      <c r="A2242" s="47" t="s">
        <v>7457</v>
      </c>
      <c r="B2242" s="47" t="s">
        <v>142</v>
      </c>
      <c r="C2242" s="47" t="s">
        <v>7458</v>
      </c>
      <c r="D2242" s="47" t="s">
        <v>144</v>
      </c>
      <c r="E2242" s="64">
        <v>57327.489999999991</v>
      </c>
      <c r="F2242" s="64">
        <v>8.6</v>
      </c>
    </row>
    <row r="2243" spans="1:6" x14ac:dyDescent="0.25">
      <c r="A2243" s="47" t="s">
        <v>7459</v>
      </c>
      <c r="B2243" s="47" t="s">
        <v>150</v>
      </c>
      <c r="C2243" s="47" t="s">
        <v>7460</v>
      </c>
      <c r="D2243" s="47" t="s">
        <v>152</v>
      </c>
      <c r="E2243" s="64">
        <v>78330.794999999998</v>
      </c>
      <c r="F2243" s="64">
        <v>7.5465</v>
      </c>
    </row>
    <row r="2244" spans="1:6" x14ac:dyDescent="0.25">
      <c r="A2244" s="47" t="s">
        <v>7461</v>
      </c>
      <c r="B2244" s="47" t="s">
        <v>182</v>
      </c>
      <c r="C2244" s="47" t="s">
        <v>7462</v>
      </c>
      <c r="D2244" s="47" t="s">
        <v>734</v>
      </c>
      <c r="E2244" s="64">
        <v>19524.12</v>
      </c>
      <c r="F2244" s="64">
        <v>783</v>
      </c>
    </row>
    <row r="2245" spans="1:6" x14ac:dyDescent="0.25">
      <c r="A2245" s="47" t="s">
        <v>7463</v>
      </c>
      <c r="B2245" s="47" t="s">
        <v>186</v>
      </c>
      <c r="C2245" s="47" t="s">
        <v>7464</v>
      </c>
      <c r="D2245" s="47" t="s">
        <v>188</v>
      </c>
      <c r="E2245" s="64">
        <v>38826.19</v>
      </c>
      <c r="F2245" s="64">
        <v>181.1</v>
      </c>
    </row>
    <row r="2246" spans="1:6" x14ac:dyDescent="0.25">
      <c r="A2246" s="47" t="s">
        <v>7465</v>
      </c>
      <c r="B2246" s="47" t="s">
        <v>198</v>
      </c>
      <c r="C2246" s="47" t="s">
        <v>7466</v>
      </c>
      <c r="D2246" s="47" t="s">
        <v>200</v>
      </c>
      <c r="E2246" s="64">
        <v>45755.38</v>
      </c>
      <c r="F2246" s="64">
        <v>88.1</v>
      </c>
    </row>
    <row r="2247" spans="1:6" x14ac:dyDescent="0.25">
      <c r="A2247" s="47" t="s">
        <v>7467</v>
      </c>
      <c r="B2247" s="47" t="s">
        <v>202</v>
      </c>
      <c r="C2247" s="47" t="s">
        <v>7468</v>
      </c>
      <c r="D2247" s="47" t="s">
        <v>204</v>
      </c>
      <c r="E2247" s="64">
        <v>64782.974999999991</v>
      </c>
      <c r="F2247" s="64">
        <v>15.7</v>
      </c>
    </row>
    <row r="2248" spans="1:6" x14ac:dyDescent="0.25">
      <c r="A2248" s="47" t="s">
        <v>7469</v>
      </c>
      <c r="B2248" s="47" t="s">
        <v>222</v>
      </c>
      <c r="C2248" s="47" t="s">
        <v>7470</v>
      </c>
      <c r="D2248" s="47" t="s">
        <v>224</v>
      </c>
      <c r="E2248" s="64">
        <v>38997.670000000006</v>
      </c>
      <c r="F2248" s="64">
        <v>2</v>
      </c>
    </row>
    <row r="2249" spans="1:6" x14ac:dyDescent="0.25">
      <c r="A2249" s="47" t="s">
        <v>7471</v>
      </c>
      <c r="B2249" s="47" t="s">
        <v>226</v>
      </c>
      <c r="C2249" s="47" t="s">
        <v>7472</v>
      </c>
      <c r="D2249" s="47" t="s">
        <v>228</v>
      </c>
      <c r="E2249" s="64">
        <v>45865.384999999995</v>
      </c>
      <c r="F2249" s="64">
        <v>131.85</v>
      </c>
    </row>
    <row r="2250" spans="1:6" x14ac:dyDescent="0.25">
      <c r="A2250" s="47" t="s">
        <v>7473</v>
      </c>
      <c r="B2250" s="47" t="s">
        <v>242</v>
      </c>
      <c r="C2250" s="47" t="s">
        <v>7474</v>
      </c>
      <c r="D2250" s="47" t="s">
        <v>244</v>
      </c>
      <c r="E2250" s="64">
        <v>44368.57</v>
      </c>
      <c r="F2250" s="64">
        <v>173</v>
      </c>
    </row>
    <row r="2251" spans="1:6" x14ac:dyDescent="0.25">
      <c r="A2251" s="47" t="s">
        <v>7475</v>
      </c>
      <c r="B2251" s="47" t="s">
        <v>246</v>
      </c>
      <c r="C2251" s="47" t="s">
        <v>7476</v>
      </c>
      <c r="D2251" s="47" t="s">
        <v>248</v>
      </c>
      <c r="E2251" s="64">
        <v>43554.3</v>
      </c>
      <c r="F2251" s="64">
        <v>585</v>
      </c>
    </row>
    <row r="2252" spans="1:6" x14ac:dyDescent="0.25">
      <c r="A2252" s="47" t="s">
        <v>7477</v>
      </c>
      <c r="B2252" s="47" t="s">
        <v>262</v>
      </c>
      <c r="C2252" s="47" t="s">
        <v>7478</v>
      </c>
      <c r="D2252" s="47" t="s">
        <v>264</v>
      </c>
      <c r="E2252" s="64">
        <v>34612.794999999998</v>
      </c>
      <c r="F2252" s="64">
        <v>16.8</v>
      </c>
    </row>
    <row r="2253" spans="1:6" x14ac:dyDescent="0.25">
      <c r="A2253" s="47" t="s">
        <v>7479</v>
      </c>
      <c r="B2253" s="47" t="s">
        <v>266</v>
      </c>
      <c r="C2253" s="47" t="s">
        <v>7480</v>
      </c>
      <c r="D2253" s="47" t="s">
        <v>268</v>
      </c>
      <c r="E2253" s="64">
        <v>72349.170000000013</v>
      </c>
      <c r="F2253" s="64">
        <v>368.48649999999998</v>
      </c>
    </row>
    <row r="2254" spans="1:6" x14ac:dyDescent="0.25">
      <c r="A2254" s="47" t="s">
        <v>7481</v>
      </c>
      <c r="B2254" s="47" t="s">
        <v>277</v>
      </c>
      <c r="C2254" s="47" t="s">
        <v>7482</v>
      </c>
      <c r="D2254" s="47" t="s">
        <v>279</v>
      </c>
      <c r="E2254" s="64">
        <v>46094.42</v>
      </c>
      <c r="F2254" s="64">
        <v>1.2E-5</v>
      </c>
    </row>
    <row r="2255" spans="1:6" x14ac:dyDescent="0.25">
      <c r="A2255" s="47" t="s">
        <v>7483</v>
      </c>
      <c r="B2255" s="47" t="s">
        <v>301</v>
      </c>
      <c r="C2255" s="47" t="s">
        <v>7484</v>
      </c>
      <c r="D2255" s="47" t="s">
        <v>152</v>
      </c>
      <c r="E2255" s="64">
        <v>78330.794999999998</v>
      </c>
      <c r="F2255" s="64">
        <v>7.5465</v>
      </c>
    </row>
    <row r="2256" spans="1:6" x14ac:dyDescent="0.25">
      <c r="A2256" s="47" t="s">
        <v>7485</v>
      </c>
      <c r="B2256" s="47" t="s">
        <v>304</v>
      </c>
      <c r="C2256" s="47" t="s">
        <v>7486</v>
      </c>
      <c r="D2256" s="47" t="s">
        <v>306</v>
      </c>
      <c r="E2256" s="64">
        <v>45653.639999999992</v>
      </c>
      <c r="F2256" s="64">
        <v>34.07</v>
      </c>
    </row>
    <row r="2257" spans="1:6" x14ac:dyDescent="0.25">
      <c r="A2257" s="47" t="s">
        <v>7487</v>
      </c>
      <c r="B2257" s="47" t="s">
        <v>308</v>
      </c>
      <c r="C2257" s="47" t="s">
        <v>7488</v>
      </c>
      <c r="D2257" s="47" t="s">
        <v>310</v>
      </c>
      <c r="E2257" s="64">
        <v>38627.07</v>
      </c>
      <c r="F2257" s="64">
        <v>2.6</v>
      </c>
    </row>
    <row r="2258" spans="1:6" x14ac:dyDescent="0.25">
      <c r="A2258" s="47" t="s">
        <v>7489</v>
      </c>
      <c r="B2258" s="47" t="s">
        <v>320</v>
      </c>
      <c r="C2258" s="47" t="s">
        <v>7490</v>
      </c>
      <c r="D2258" s="47" t="s">
        <v>322</v>
      </c>
      <c r="E2258" s="64">
        <v>61527.88</v>
      </c>
      <c r="F2258" s="64">
        <v>5</v>
      </c>
    </row>
    <row r="2259" spans="1:6" x14ac:dyDescent="0.25">
      <c r="A2259" s="47" t="s">
        <v>7491</v>
      </c>
      <c r="B2259" s="47" t="s">
        <v>324</v>
      </c>
      <c r="C2259" s="47" t="s">
        <v>7492</v>
      </c>
      <c r="D2259" s="47" t="s">
        <v>326</v>
      </c>
      <c r="E2259" s="64">
        <v>41116.97</v>
      </c>
      <c r="F2259" s="64">
        <v>2633</v>
      </c>
    </row>
    <row r="2260" spans="1:6" x14ac:dyDescent="0.25">
      <c r="A2260" s="47" t="s">
        <v>7493</v>
      </c>
      <c r="B2260" s="47" t="s">
        <v>336</v>
      </c>
      <c r="C2260" s="47" t="s">
        <v>7494</v>
      </c>
      <c r="D2260" s="47" t="s">
        <v>338</v>
      </c>
      <c r="E2260" s="64">
        <v>24553.49</v>
      </c>
      <c r="F2260" s="64">
        <v>1300</v>
      </c>
    </row>
    <row r="2261" spans="1:6" x14ac:dyDescent="0.25">
      <c r="A2261" s="47" t="s">
        <v>7495</v>
      </c>
      <c r="B2261" s="47" t="s">
        <v>340</v>
      </c>
      <c r="C2261" s="47" t="s">
        <v>7496</v>
      </c>
      <c r="D2261" s="47" t="s">
        <v>342</v>
      </c>
      <c r="E2261" s="64">
        <v>35438</v>
      </c>
      <c r="F2261" s="64">
        <v>53</v>
      </c>
    </row>
    <row r="2262" spans="1:6" x14ac:dyDescent="0.25">
      <c r="A2262" s="47" t="s">
        <v>7497</v>
      </c>
      <c r="B2262" s="47" t="s">
        <v>344</v>
      </c>
      <c r="C2262" s="47" t="s">
        <v>7498</v>
      </c>
      <c r="D2262" s="47" t="s">
        <v>346</v>
      </c>
      <c r="E2262" s="64">
        <v>72625.084999999992</v>
      </c>
      <c r="F2262" s="64">
        <v>73.5</v>
      </c>
    </row>
    <row r="2263" spans="1:6" x14ac:dyDescent="0.25">
      <c r="A2263" s="47" t="s">
        <v>7499</v>
      </c>
      <c r="B2263" s="47" t="s">
        <v>352</v>
      </c>
      <c r="C2263" s="47" t="s">
        <v>7500</v>
      </c>
      <c r="D2263" s="47" t="s">
        <v>354</v>
      </c>
      <c r="E2263" s="64">
        <v>65751.494999999995</v>
      </c>
      <c r="F2263" s="64">
        <v>0.3</v>
      </c>
    </row>
    <row r="2264" spans="1:6" x14ac:dyDescent="0.25">
      <c r="A2264" s="47" t="s">
        <v>7501</v>
      </c>
      <c r="B2264" s="47" t="s">
        <v>360</v>
      </c>
      <c r="C2264" s="47" t="s">
        <v>7502</v>
      </c>
      <c r="D2264" s="47" t="s">
        <v>362</v>
      </c>
      <c r="E2264" s="64">
        <v>47198.01</v>
      </c>
      <c r="F2264" s="64">
        <v>1717</v>
      </c>
    </row>
    <row r="2265" spans="1:6" x14ac:dyDescent="0.25">
      <c r="A2265" s="47" t="s">
        <v>7503</v>
      </c>
      <c r="B2265" s="47" t="s">
        <v>380</v>
      </c>
      <c r="C2265" s="47" t="s">
        <v>7504</v>
      </c>
      <c r="D2265" s="47" t="s">
        <v>734</v>
      </c>
      <c r="E2265" s="64">
        <v>19524.12</v>
      </c>
      <c r="F2265" s="64">
        <v>783</v>
      </c>
    </row>
    <row r="2266" spans="1:6" x14ac:dyDescent="0.25">
      <c r="A2266" s="47" t="s">
        <v>7505</v>
      </c>
      <c r="B2266" s="47" t="s">
        <v>383</v>
      </c>
      <c r="C2266" s="47" t="s">
        <v>7506</v>
      </c>
      <c r="D2266" s="47" t="s">
        <v>734</v>
      </c>
      <c r="E2266" s="64">
        <v>19524.12</v>
      </c>
      <c r="F2266" s="64">
        <v>783</v>
      </c>
    </row>
    <row r="2267" spans="1:6" x14ac:dyDescent="0.25">
      <c r="A2267" s="47" t="s">
        <v>7507</v>
      </c>
      <c r="B2267" s="47" t="s">
        <v>386</v>
      </c>
      <c r="C2267" s="47" t="s">
        <v>7508</v>
      </c>
      <c r="D2267" s="47" t="s">
        <v>388</v>
      </c>
      <c r="E2267" s="64">
        <v>27158.260000000002</v>
      </c>
      <c r="F2267" s="64">
        <v>56</v>
      </c>
    </row>
    <row r="2268" spans="1:6" x14ac:dyDescent="0.25">
      <c r="A2268" s="47" t="s">
        <v>7509</v>
      </c>
      <c r="B2268" s="47" t="s">
        <v>390</v>
      </c>
      <c r="C2268" s="47" t="s">
        <v>7510</v>
      </c>
      <c r="D2268" s="47" t="s">
        <v>392</v>
      </c>
      <c r="E2268" s="64">
        <v>36577.395000000004</v>
      </c>
      <c r="F2268" s="64">
        <v>1.5225</v>
      </c>
    </row>
    <row r="2269" spans="1:6" x14ac:dyDescent="0.25">
      <c r="A2269" s="47" t="s">
        <v>7511</v>
      </c>
      <c r="B2269" s="47" t="s">
        <v>402</v>
      </c>
      <c r="C2269" s="47" t="s">
        <v>7512</v>
      </c>
      <c r="D2269" s="47" t="s">
        <v>404</v>
      </c>
      <c r="E2269" s="64">
        <v>52771.859999999993</v>
      </c>
      <c r="F2269" s="64">
        <v>5.4</v>
      </c>
    </row>
    <row r="2270" spans="1:6" x14ac:dyDescent="0.25">
      <c r="A2270" s="47" t="s">
        <v>7513</v>
      </c>
      <c r="B2270" s="47" t="s">
        <v>421</v>
      </c>
      <c r="C2270" s="47" t="s">
        <v>7514</v>
      </c>
      <c r="D2270" s="47" t="s">
        <v>82</v>
      </c>
      <c r="E2270" s="64">
        <v>34092.58</v>
      </c>
      <c r="F2270" s="64">
        <v>18.375</v>
      </c>
    </row>
    <row r="2271" spans="1:6" x14ac:dyDescent="0.25">
      <c r="A2271" s="47" t="s">
        <v>7515</v>
      </c>
      <c r="B2271" s="47" t="s">
        <v>424</v>
      </c>
      <c r="C2271" s="47" t="s">
        <v>7516</v>
      </c>
      <c r="D2271" s="47" t="s">
        <v>82</v>
      </c>
      <c r="E2271" s="64">
        <v>34092.58</v>
      </c>
      <c r="F2271" s="64">
        <v>13.67</v>
      </c>
    </row>
    <row r="2272" spans="1:6" x14ac:dyDescent="0.25">
      <c r="A2272" s="47" t="s">
        <v>7517</v>
      </c>
      <c r="B2272" s="47" t="s">
        <v>427</v>
      </c>
      <c r="C2272" s="47" t="s">
        <v>7518</v>
      </c>
      <c r="D2272" s="47" t="s">
        <v>429</v>
      </c>
      <c r="E2272" s="64">
        <v>23566.32</v>
      </c>
      <c r="F2272" s="64">
        <v>5.4333333333333336</v>
      </c>
    </row>
    <row r="2273" spans="1:6" x14ac:dyDescent="0.25">
      <c r="A2273" s="47" t="s">
        <v>7519</v>
      </c>
      <c r="B2273" s="47" t="s">
        <v>456</v>
      </c>
      <c r="C2273" s="47" t="s">
        <v>7520</v>
      </c>
      <c r="D2273" s="47" t="s">
        <v>458</v>
      </c>
      <c r="E2273" s="64">
        <v>56617.714999999997</v>
      </c>
      <c r="F2273" s="64">
        <v>415</v>
      </c>
    </row>
    <row r="2274" spans="1:6" x14ac:dyDescent="0.25">
      <c r="A2274" s="47" t="s">
        <v>7521</v>
      </c>
      <c r="B2274" s="47" t="s">
        <v>460</v>
      </c>
      <c r="C2274" s="47" t="s">
        <v>7522</v>
      </c>
      <c r="D2274" s="47" t="s">
        <v>462</v>
      </c>
      <c r="E2274" s="64">
        <v>43034.833333333328</v>
      </c>
      <c r="F2274" s="64">
        <v>3557.5</v>
      </c>
    </row>
    <row r="2275" spans="1:6" x14ac:dyDescent="0.25">
      <c r="A2275" s="47" t="s">
        <v>7523</v>
      </c>
      <c r="B2275" s="47" t="s">
        <v>501</v>
      </c>
      <c r="C2275" s="47" t="s">
        <v>7524</v>
      </c>
      <c r="D2275" s="47" t="s">
        <v>503</v>
      </c>
      <c r="E2275" s="64">
        <v>17779.839999999997</v>
      </c>
      <c r="F2275" s="64">
        <v>15.5</v>
      </c>
    </row>
    <row r="2276" spans="1:6" x14ac:dyDescent="0.25">
      <c r="A2276" s="47" t="s">
        <v>7525</v>
      </c>
      <c r="B2276" s="47" t="s">
        <v>505</v>
      </c>
      <c r="C2276" s="47" t="s">
        <v>7526</v>
      </c>
      <c r="D2276" s="47" t="s">
        <v>507</v>
      </c>
      <c r="E2276" s="64">
        <v>51541.290000000008</v>
      </c>
      <c r="F2276" s="64">
        <v>2.9</v>
      </c>
    </row>
    <row r="2277" spans="1:6" x14ac:dyDescent="0.25">
      <c r="A2277" s="47" t="s">
        <v>7527</v>
      </c>
      <c r="B2277" s="47" t="s">
        <v>509</v>
      </c>
      <c r="C2277" s="47" t="s">
        <v>7528</v>
      </c>
      <c r="D2277" s="47" t="s">
        <v>511</v>
      </c>
      <c r="E2277" s="64">
        <v>27891.445000000003</v>
      </c>
      <c r="F2277" s="64">
        <v>111.66666666666667</v>
      </c>
    </row>
    <row r="2278" spans="1:6" x14ac:dyDescent="0.25">
      <c r="A2278" s="47" t="s">
        <v>7529</v>
      </c>
      <c r="B2278" s="47" t="s">
        <v>513</v>
      </c>
      <c r="C2278" s="47" t="s">
        <v>7530</v>
      </c>
      <c r="D2278" s="47" t="s">
        <v>511</v>
      </c>
      <c r="E2278" s="64">
        <v>27891.445000000003</v>
      </c>
      <c r="F2278" s="64">
        <v>112.5</v>
      </c>
    </row>
    <row r="2279" spans="1:6" x14ac:dyDescent="0.25">
      <c r="A2279" s="47" t="s">
        <v>7531</v>
      </c>
      <c r="B2279" s="47" t="s">
        <v>516</v>
      </c>
      <c r="C2279" s="47" t="s">
        <v>7532</v>
      </c>
      <c r="D2279" s="47" t="s">
        <v>511</v>
      </c>
      <c r="E2279" s="64">
        <v>29833.769999999993</v>
      </c>
      <c r="F2279" s="64">
        <v>110</v>
      </c>
    </row>
    <row r="2280" spans="1:6" x14ac:dyDescent="0.25">
      <c r="A2280" s="47" t="s">
        <v>7533</v>
      </c>
      <c r="B2280" s="47" t="s">
        <v>553</v>
      </c>
      <c r="C2280" s="47" t="s">
        <v>7534</v>
      </c>
      <c r="D2280" s="47" t="s">
        <v>511</v>
      </c>
      <c r="E2280" s="64">
        <v>25949.119999999995</v>
      </c>
      <c r="F2280" s="64">
        <v>110</v>
      </c>
    </row>
    <row r="2281" spans="1:6" x14ac:dyDescent="0.25">
      <c r="A2281" s="47" t="s">
        <v>7535</v>
      </c>
      <c r="B2281" s="47" t="s">
        <v>556</v>
      </c>
      <c r="C2281" s="47" t="s">
        <v>7536</v>
      </c>
      <c r="D2281" s="47" t="s">
        <v>511</v>
      </c>
      <c r="E2281" s="64">
        <v>25949.119999999995</v>
      </c>
      <c r="F2281" s="64">
        <v>2.77</v>
      </c>
    </row>
    <row r="2282" spans="1:6" x14ac:dyDescent="0.25">
      <c r="A2282" s="47" t="s">
        <v>7537</v>
      </c>
      <c r="B2282" s="47" t="s">
        <v>559</v>
      </c>
      <c r="C2282" s="47" t="s">
        <v>7538</v>
      </c>
      <c r="D2282" s="47" t="s">
        <v>511</v>
      </c>
      <c r="E2282" s="64">
        <v>27891.445000000003</v>
      </c>
      <c r="F2282" s="64">
        <v>110.6</v>
      </c>
    </row>
    <row r="2283" spans="1:6" x14ac:dyDescent="0.25">
      <c r="A2283" s="47" t="s">
        <v>7539</v>
      </c>
      <c r="B2283" s="47" t="s">
        <v>562</v>
      </c>
      <c r="C2283" s="47" t="s">
        <v>7540</v>
      </c>
      <c r="D2283" s="47" t="s">
        <v>564</v>
      </c>
      <c r="E2283" s="64">
        <v>38748.519999999997</v>
      </c>
      <c r="F2283" s="64">
        <v>8.3000000000000004E-2</v>
      </c>
    </row>
    <row r="2284" spans="1:6" x14ac:dyDescent="0.25">
      <c r="A2284" s="47" t="s">
        <v>7541</v>
      </c>
      <c r="B2284" s="47" t="s">
        <v>569</v>
      </c>
      <c r="C2284" s="47" t="s">
        <v>7542</v>
      </c>
      <c r="D2284" s="47" t="s">
        <v>268</v>
      </c>
      <c r="E2284" s="64">
        <v>72349.170000000013</v>
      </c>
      <c r="F2284" s="64">
        <v>10</v>
      </c>
    </row>
    <row r="2285" spans="1:6" x14ac:dyDescent="0.25">
      <c r="A2285" s="47" t="s">
        <v>7543</v>
      </c>
      <c r="B2285" s="47" t="s">
        <v>582</v>
      </c>
      <c r="C2285" s="47" t="s">
        <v>7544</v>
      </c>
      <c r="D2285" s="47" t="s">
        <v>584</v>
      </c>
      <c r="E2285" s="64">
        <v>32336.39</v>
      </c>
      <c r="F2285" s="64">
        <v>1108</v>
      </c>
    </row>
    <row r="2286" spans="1:6" x14ac:dyDescent="0.25">
      <c r="A2286" s="47" t="s">
        <v>7545</v>
      </c>
      <c r="B2286" s="47" t="s">
        <v>586</v>
      </c>
      <c r="C2286" s="47" t="s">
        <v>7546</v>
      </c>
      <c r="D2286" s="47" t="s">
        <v>588</v>
      </c>
      <c r="E2286" s="64">
        <v>56962.63</v>
      </c>
      <c r="F2286" s="64">
        <v>129</v>
      </c>
    </row>
    <row r="2287" spans="1:6" x14ac:dyDescent="0.25">
      <c r="A2287" s="47" t="s">
        <v>7547</v>
      </c>
      <c r="B2287" s="47" t="s">
        <v>598</v>
      </c>
      <c r="C2287" s="47" t="s">
        <v>7548</v>
      </c>
      <c r="D2287" s="47" t="s">
        <v>600</v>
      </c>
      <c r="E2287" s="64">
        <v>39782.089999999997</v>
      </c>
      <c r="F2287" s="64">
        <v>0.11499999999999999</v>
      </c>
    </row>
    <row r="2288" spans="1:6" x14ac:dyDescent="0.25">
      <c r="A2288" s="47" t="s">
        <v>7549</v>
      </c>
      <c r="B2288" s="47" t="s">
        <v>634</v>
      </c>
      <c r="C2288" s="47" t="s">
        <v>7550</v>
      </c>
      <c r="D2288" s="47" t="s">
        <v>636</v>
      </c>
      <c r="E2288" s="64">
        <v>35951.19</v>
      </c>
      <c r="F2288" s="64">
        <v>176.85249999999999</v>
      </c>
    </row>
    <row r="2289" spans="1:6" x14ac:dyDescent="0.25">
      <c r="A2289" s="47" t="s">
        <v>7551</v>
      </c>
      <c r="B2289" s="47" t="s">
        <v>642</v>
      </c>
      <c r="C2289" s="47" t="s">
        <v>7552</v>
      </c>
      <c r="D2289" s="47" t="s">
        <v>644</v>
      </c>
      <c r="E2289" s="64">
        <v>45364.759999999995</v>
      </c>
      <c r="F2289" s="64">
        <v>0.5099999999999999</v>
      </c>
    </row>
    <row r="2290" spans="1:6" x14ac:dyDescent="0.25">
      <c r="A2290" s="47" t="s">
        <v>7553</v>
      </c>
      <c r="B2290" s="47" t="s">
        <v>661</v>
      </c>
      <c r="C2290" s="47" t="s">
        <v>7554</v>
      </c>
      <c r="D2290" s="47" t="s">
        <v>663</v>
      </c>
      <c r="E2290" s="64">
        <v>53985.54</v>
      </c>
      <c r="F2290" s="64">
        <v>196</v>
      </c>
    </row>
    <row r="2291" spans="1:6" x14ac:dyDescent="0.25">
      <c r="A2291" s="47" t="s">
        <v>7555</v>
      </c>
      <c r="B2291" s="47" t="s">
        <v>665</v>
      </c>
      <c r="C2291" s="47" t="s">
        <v>7556</v>
      </c>
      <c r="D2291" s="47" t="s">
        <v>667</v>
      </c>
      <c r="E2291" s="64">
        <v>47542.21</v>
      </c>
      <c r="F2291" s="64">
        <v>5.16</v>
      </c>
    </row>
    <row r="2292" spans="1:6" x14ac:dyDescent="0.25">
      <c r="A2292" s="47" t="s">
        <v>7557</v>
      </c>
      <c r="B2292" s="47" t="s">
        <v>677</v>
      </c>
      <c r="C2292" s="47" t="s">
        <v>7558</v>
      </c>
      <c r="D2292" s="47" t="s">
        <v>679</v>
      </c>
      <c r="E2292" s="64">
        <v>31001.07</v>
      </c>
      <c r="F2292" s="64">
        <v>6.2850000000000001</v>
      </c>
    </row>
    <row r="2293" spans="1:6" x14ac:dyDescent="0.25">
      <c r="A2293" s="47" t="s">
        <v>7559</v>
      </c>
      <c r="B2293" s="47" t="s">
        <v>681</v>
      </c>
      <c r="C2293" s="47" t="s">
        <v>7560</v>
      </c>
      <c r="D2293" s="47" t="s">
        <v>683</v>
      </c>
      <c r="E2293" s="64">
        <v>42243.33</v>
      </c>
      <c r="F2293" s="64">
        <v>3.625</v>
      </c>
    </row>
    <row r="2294" spans="1:6" x14ac:dyDescent="0.25">
      <c r="A2294" s="47" t="s">
        <v>7561</v>
      </c>
      <c r="B2294" s="47" t="s">
        <v>697</v>
      </c>
      <c r="C2294" s="47" t="s">
        <v>7562</v>
      </c>
      <c r="D2294" s="47" t="s">
        <v>699</v>
      </c>
      <c r="E2294" s="64">
        <v>78330.794999999998</v>
      </c>
      <c r="F2294" s="64">
        <v>4.0000000000000001E-3</v>
      </c>
    </row>
    <row r="2295" spans="1:6" x14ac:dyDescent="0.25">
      <c r="A2295" s="47" t="s">
        <v>7563</v>
      </c>
      <c r="B2295" s="47" t="s">
        <v>725</v>
      </c>
      <c r="C2295" s="47" t="s">
        <v>7564</v>
      </c>
      <c r="D2295" s="47" t="s">
        <v>727</v>
      </c>
      <c r="E2295" s="64">
        <v>45315.27</v>
      </c>
      <c r="F2295" s="64">
        <v>5</v>
      </c>
    </row>
    <row r="2296" spans="1:6" x14ac:dyDescent="0.25">
      <c r="A2296" s="47" t="s">
        <v>7565</v>
      </c>
      <c r="B2296" s="47" t="s">
        <v>732</v>
      </c>
      <c r="C2296" s="47" t="s">
        <v>7566</v>
      </c>
      <c r="D2296" s="47" t="s">
        <v>734</v>
      </c>
      <c r="E2296" s="64">
        <v>23585.280000000002</v>
      </c>
      <c r="F2296" s="64">
        <v>783</v>
      </c>
    </row>
    <row r="2297" spans="1:6" x14ac:dyDescent="0.25">
      <c r="A2297" s="47" t="s">
        <v>7567</v>
      </c>
      <c r="B2297" s="47" t="s">
        <v>760</v>
      </c>
      <c r="C2297" s="47" t="s">
        <v>7568</v>
      </c>
      <c r="D2297" s="47" t="s">
        <v>762</v>
      </c>
      <c r="E2297" s="64">
        <v>54067.459999999992</v>
      </c>
      <c r="F2297" s="64">
        <v>0.96</v>
      </c>
    </row>
    <row r="2298" spans="1:6" x14ac:dyDescent="0.25">
      <c r="A2298" s="47" t="s">
        <v>7569</v>
      </c>
      <c r="B2298" s="47" t="s">
        <v>764</v>
      </c>
      <c r="C2298" s="47" t="s">
        <v>7570</v>
      </c>
      <c r="D2298" s="47" t="s">
        <v>762</v>
      </c>
      <c r="E2298" s="64">
        <v>54067.459999999992</v>
      </c>
      <c r="F2298" s="64">
        <v>4.1700000000000001E-3</v>
      </c>
    </row>
    <row r="2299" spans="1:6" x14ac:dyDescent="0.25">
      <c r="A2299" s="47" t="s">
        <v>7571</v>
      </c>
      <c r="B2299" s="47" t="s">
        <v>693</v>
      </c>
      <c r="C2299" s="47" t="s">
        <v>7572</v>
      </c>
      <c r="D2299" s="47" t="s">
        <v>695</v>
      </c>
      <c r="E2299" s="64">
        <v>48763.18</v>
      </c>
      <c r="F2299" s="64">
        <v>1.8</v>
      </c>
    </row>
    <row r="2300" spans="1:6" x14ac:dyDescent="0.25">
      <c r="A2300" s="47" t="s">
        <v>7573</v>
      </c>
      <c r="B2300" s="47" t="s">
        <v>780</v>
      </c>
      <c r="C2300" s="47" t="s">
        <v>7574</v>
      </c>
      <c r="D2300" s="47" t="s">
        <v>782</v>
      </c>
      <c r="E2300" s="64">
        <v>26248.920000000002</v>
      </c>
      <c r="F2300" s="64">
        <v>25.3</v>
      </c>
    </row>
    <row r="2301" spans="1:6" x14ac:dyDescent="0.25">
      <c r="A2301" s="47" t="s">
        <v>7575</v>
      </c>
      <c r="B2301" s="47" t="s">
        <v>792</v>
      </c>
      <c r="C2301" s="47" t="s">
        <v>7576</v>
      </c>
      <c r="D2301" s="47" t="s">
        <v>794</v>
      </c>
      <c r="E2301" s="64">
        <v>25451.769999999997</v>
      </c>
      <c r="F2301" s="64">
        <v>15.824999999999999</v>
      </c>
    </row>
    <row r="2302" spans="1:6" x14ac:dyDescent="0.25">
      <c r="A2302" s="47" t="s">
        <v>7577</v>
      </c>
      <c r="B2302" s="47" t="s">
        <v>821</v>
      </c>
      <c r="C2302" s="47" t="s">
        <v>7578</v>
      </c>
      <c r="D2302" s="47" t="s">
        <v>699</v>
      </c>
      <c r="E2302" s="64">
        <v>78330.794999999998</v>
      </c>
      <c r="F2302" s="64">
        <v>4.0000000000000001E-3</v>
      </c>
    </row>
    <row r="2303" spans="1:6" x14ac:dyDescent="0.25">
      <c r="A2303" s="47" t="s">
        <v>7579</v>
      </c>
      <c r="B2303" s="47" t="s">
        <v>824</v>
      </c>
      <c r="C2303" s="47" t="s">
        <v>7580</v>
      </c>
      <c r="D2303" s="47" t="s">
        <v>6788</v>
      </c>
      <c r="E2303" s="64">
        <v>78330.794999999998</v>
      </c>
      <c r="F2303" s="64">
        <v>971</v>
      </c>
    </row>
    <row r="2304" spans="1:6" x14ac:dyDescent="0.25">
      <c r="A2304" s="47" t="s">
        <v>7581</v>
      </c>
      <c r="B2304" s="47" t="s">
        <v>827</v>
      </c>
      <c r="C2304" s="47" t="s">
        <v>7582</v>
      </c>
      <c r="D2304" s="47" t="s">
        <v>152</v>
      </c>
      <c r="E2304" s="64">
        <v>78330.794999999998</v>
      </c>
      <c r="F2304" s="64">
        <v>7.5465</v>
      </c>
    </row>
    <row r="2305" spans="1:6" x14ac:dyDescent="0.25">
      <c r="A2305" s="47" t="s">
        <v>7583</v>
      </c>
      <c r="B2305" s="47" t="s">
        <v>830</v>
      </c>
      <c r="C2305" s="47" t="s">
        <v>7584</v>
      </c>
      <c r="D2305" s="47" t="s">
        <v>152</v>
      </c>
      <c r="E2305" s="64">
        <v>78330.794999999998</v>
      </c>
      <c r="F2305" s="64">
        <v>7.5465</v>
      </c>
    </row>
    <row r="2306" spans="1:6" x14ac:dyDescent="0.25">
      <c r="A2306" s="47" t="s">
        <v>7585</v>
      </c>
      <c r="B2306" s="47" t="s">
        <v>833</v>
      </c>
      <c r="C2306" s="47" t="s">
        <v>7586</v>
      </c>
      <c r="D2306" s="47" t="s">
        <v>835</v>
      </c>
      <c r="E2306" s="64">
        <v>39644.42</v>
      </c>
      <c r="F2306" s="64">
        <v>283</v>
      </c>
    </row>
    <row r="2307" spans="1:6" x14ac:dyDescent="0.25">
      <c r="A2307" s="47" t="s">
        <v>7587</v>
      </c>
      <c r="B2307" s="47" t="s">
        <v>853</v>
      </c>
      <c r="C2307" s="47" t="s">
        <v>7588</v>
      </c>
      <c r="D2307" s="47" t="s">
        <v>855</v>
      </c>
      <c r="E2307" s="64">
        <v>49740.58</v>
      </c>
      <c r="F2307" s="64">
        <v>1.67</v>
      </c>
    </row>
    <row r="2308" spans="1:6" x14ac:dyDescent="0.25">
      <c r="A2308" s="47" t="s">
        <v>7589</v>
      </c>
      <c r="B2308" s="47" t="s">
        <v>857</v>
      </c>
      <c r="C2308" s="47" t="s">
        <v>7590</v>
      </c>
      <c r="D2308" s="47" t="s">
        <v>859</v>
      </c>
      <c r="E2308" s="64">
        <v>50460.99</v>
      </c>
      <c r="F2308" s="64">
        <v>82.93</v>
      </c>
    </row>
    <row r="2309" spans="1:6" x14ac:dyDescent="0.25">
      <c r="A2309" s="47" t="s">
        <v>7591</v>
      </c>
      <c r="B2309" s="47" t="s">
        <v>873</v>
      </c>
      <c r="C2309" s="47" t="s">
        <v>7592</v>
      </c>
      <c r="D2309" s="47" t="s">
        <v>875</v>
      </c>
      <c r="E2309" s="64">
        <v>37263.93</v>
      </c>
      <c r="F2309" s="64">
        <v>20.149999999999999</v>
      </c>
    </row>
    <row r="2310" spans="1:6" x14ac:dyDescent="0.25">
      <c r="A2310" s="47" t="s">
        <v>7593</v>
      </c>
      <c r="B2310" s="47" t="s">
        <v>853</v>
      </c>
      <c r="C2310" s="47" t="s">
        <v>7594</v>
      </c>
      <c r="D2310" s="47" t="s">
        <v>855</v>
      </c>
      <c r="E2310" s="64">
        <v>49740.58</v>
      </c>
      <c r="F2310" s="64">
        <v>7.7</v>
      </c>
    </row>
    <row r="2311" spans="1:6" x14ac:dyDescent="0.25">
      <c r="A2311" s="47" t="s">
        <v>7595</v>
      </c>
      <c r="B2311" s="47" t="s">
        <v>924</v>
      </c>
      <c r="C2311" s="47" t="s">
        <v>7596</v>
      </c>
      <c r="D2311" s="47" t="s">
        <v>926</v>
      </c>
      <c r="E2311" s="64">
        <v>40512.22</v>
      </c>
      <c r="F2311" s="64">
        <v>76.088466666666676</v>
      </c>
    </row>
    <row r="2312" spans="1:6" x14ac:dyDescent="0.25">
      <c r="A2312" s="47" t="s">
        <v>7597</v>
      </c>
      <c r="B2312" s="47" t="s">
        <v>928</v>
      </c>
      <c r="C2312" s="47" t="s">
        <v>7598</v>
      </c>
      <c r="D2312" s="47" t="s">
        <v>354</v>
      </c>
      <c r="E2312" s="64">
        <v>65751.494999999995</v>
      </c>
      <c r="F2312" s="64">
        <v>1</v>
      </c>
    </row>
    <row r="2313" spans="1:6" x14ac:dyDescent="0.25">
      <c r="A2313" s="47" t="s">
        <v>7599</v>
      </c>
      <c r="B2313" s="47" t="s">
        <v>931</v>
      </c>
      <c r="C2313" s="47" t="s">
        <v>7600</v>
      </c>
      <c r="D2313" s="47" t="s">
        <v>933</v>
      </c>
      <c r="E2313" s="64">
        <v>30144.620000000003</v>
      </c>
      <c r="F2313" s="64">
        <v>9.1</v>
      </c>
    </row>
    <row r="2314" spans="1:6" x14ac:dyDescent="0.25">
      <c r="A2314" s="47" t="s">
        <v>7601</v>
      </c>
      <c r="B2314" s="47" t="s">
        <v>935</v>
      </c>
      <c r="C2314" s="47" t="s">
        <v>7602</v>
      </c>
      <c r="D2314" s="47" t="s">
        <v>937</v>
      </c>
      <c r="E2314" s="64">
        <v>27857.079999999998</v>
      </c>
      <c r="F2314" s="64">
        <v>213.43394333333333</v>
      </c>
    </row>
    <row r="2315" spans="1:6" x14ac:dyDescent="0.25">
      <c r="A2315" s="47" t="s">
        <v>7603</v>
      </c>
      <c r="B2315" s="47" t="s">
        <v>942</v>
      </c>
      <c r="C2315" s="47" t="s">
        <v>7604</v>
      </c>
      <c r="D2315" s="47" t="s">
        <v>944</v>
      </c>
      <c r="E2315" s="64">
        <v>37389.060000000005</v>
      </c>
      <c r="F2315" s="64">
        <v>213.43394333333333</v>
      </c>
    </row>
    <row r="2316" spans="1:6" x14ac:dyDescent="0.25">
      <c r="A2316" s="47" t="s">
        <v>7605</v>
      </c>
      <c r="B2316" s="47" t="s">
        <v>946</v>
      </c>
      <c r="C2316" s="47" t="s">
        <v>7606</v>
      </c>
      <c r="D2316" s="47" t="s">
        <v>948</v>
      </c>
      <c r="E2316" s="64">
        <v>78183.12000000001</v>
      </c>
      <c r="F2316" s="64">
        <v>5.38</v>
      </c>
    </row>
    <row r="2317" spans="1:6" x14ac:dyDescent="0.25">
      <c r="A2317" s="47" t="s">
        <v>7607</v>
      </c>
      <c r="B2317" s="47" t="s">
        <v>950</v>
      </c>
      <c r="C2317" s="47" t="s">
        <v>7608</v>
      </c>
      <c r="D2317" s="47" t="s">
        <v>952</v>
      </c>
      <c r="E2317" s="64">
        <v>53578.69</v>
      </c>
      <c r="F2317" s="64">
        <v>213.43394333333333</v>
      </c>
    </row>
    <row r="2318" spans="1:6" x14ac:dyDescent="0.25">
      <c r="A2318" s="47" t="s">
        <v>7609</v>
      </c>
      <c r="B2318" s="47" t="s">
        <v>954</v>
      </c>
      <c r="C2318" s="47" t="s">
        <v>7610</v>
      </c>
      <c r="D2318" s="47" t="s">
        <v>956</v>
      </c>
      <c r="E2318" s="64">
        <v>54806.67</v>
      </c>
      <c r="F2318" s="64">
        <v>213.43394333333333</v>
      </c>
    </row>
    <row r="2319" spans="1:6" x14ac:dyDescent="0.25">
      <c r="A2319" s="47" t="s">
        <v>7611</v>
      </c>
      <c r="B2319" s="47" t="s">
        <v>995</v>
      </c>
      <c r="C2319" s="47" t="s">
        <v>7612</v>
      </c>
      <c r="D2319" s="47" t="s">
        <v>699</v>
      </c>
      <c r="E2319" s="64">
        <v>78330.794999999998</v>
      </c>
      <c r="F2319" s="64">
        <v>4.0000000000000001E-3</v>
      </c>
    </row>
    <row r="2320" spans="1:6" x14ac:dyDescent="0.25">
      <c r="A2320" s="47" t="s">
        <v>7613</v>
      </c>
      <c r="B2320" s="47" t="s">
        <v>998</v>
      </c>
      <c r="C2320" s="47" t="s">
        <v>7614</v>
      </c>
      <c r="D2320" s="47" t="s">
        <v>699</v>
      </c>
      <c r="E2320" s="64">
        <v>78330.794999999998</v>
      </c>
      <c r="F2320" s="64">
        <v>4.0000000000000001E-3</v>
      </c>
    </row>
    <row r="2321" spans="1:6" x14ac:dyDescent="0.25">
      <c r="A2321" s="47" t="s">
        <v>7615</v>
      </c>
      <c r="B2321" s="47" t="s">
        <v>1034</v>
      </c>
      <c r="C2321" s="47" t="s">
        <v>7616</v>
      </c>
      <c r="D2321" s="47" t="s">
        <v>734</v>
      </c>
      <c r="E2321" s="64">
        <v>23585.280000000002</v>
      </c>
      <c r="F2321" s="64">
        <v>783</v>
      </c>
    </row>
    <row r="2322" spans="1:6" x14ac:dyDescent="0.25">
      <c r="A2322" s="47" t="s">
        <v>7617</v>
      </c>
      <c r="B2322" s="47" t="s">
        <v>1062</v>
      </c>
      <c r="C2322" s="47" t="s">
        <v>7618</v>
      </c>
      <c r="D2322" s="47" t="s">
        <v>1064</v>
      </c>
      <c r="E2322" s="64">
        <v>141986.87</v>
      </c>
      <c r="F2322" s="64">
        <v>2.1333333333333333</v>
      </c>
    </row>
    <row r="2323" spans="1:6" x14ac:dyDescent="0.25">
      <c r="A2323" s="47" t="s">
        <v>7619</v>
      </c>
      <c r="B2323" s="47" t="s">
        <v>1085</v>
      </c>
      <c r="C2323" s="47" t="s">
        <v>7620</v>
      </c>
      <c r="D2323" s="47" t="s">
        <v>612</v>
      </c>
      <c r="E2323" s="64">
        <v>90519.87999999999</v>
      </c>
      <c r="F2323" s="64">
        <v>1E-3</v>
      </c>
    </row>
    <row r="2324" spans="1:6" x14ac:dyDescent="0.25">
      <c r="A2324" s="47" t="s">
        <v>7621</v>
      </c>
      <c r="B2324" s="47" t="s">
        <v>1120</v>
      </c>
      <c r="C2324" s="47" t="s">
        <v>7622</v>
      </c>
      <c r="D2324" s="47" t="s">
        <v>1122</v>
      </c>
      <c r="E2324" s="64">
        <v>24745.640000000003</v>
      </c>
      <c r="F2324" s="64">
        <v>68.682333333333332</v>
      </c>
    </row>
    <row r="2325" spans="1:6" x14ac:dyDescent="0.25">
      <c r="A2325" s="47" t="s">
        <v>7623</v>
      </c>
      <c r="B2325" s="47" t="s">
        <v>1124</v>
      </c>
      <c r="C2325" s="47" t="s">
        <v>7624</v>
      </c>
      <c r="D2325" s="47" t="s">
        <v>1122</v>
      </c>
      <c r="E2325" s="64">
        <v>24745.640000000003</v>
      </c>
      <c r="F2325" s="64">
        <v>68.682333333333332</v>
      </c>
    </row>
    <row r="2326" spans="1:6" x14ac:dyDescent="0.25">
      <c r="A2326" s="47" t="s">
        <v>7625</v>
      </c>
      <c r="B2326" s="47" t="s">
        <v>1127</v>
      </c>
      <c r="C2326" s="47" t="s">
        <v>7626</v>
      </c>
      <c r="D2326" s="47" t="s">
        <v>1129</v>
      </c>
      <c r="E2326" s="64">
        <v>23591.98</v>
      </c>
      <c r="F2326" s="64">
        <v>209</v>
      </c>
    </row>
    <row r="2327" spans="1:6" x14ac:dyDescent="0.25">
      <c r="A2327" s="47" t="s">
        <v>7627</v>
      </c>
      <c r="B2327" s="47" t="s">
        <v>1131</v>
      </c>
      <c r="C2327" s="47" t="s">
        <v>7628</v>
      </c>
      <c r="D2327" s="47" t="s">
        <v>152</v>
      </c>
      <c r="E2327" s="64">
        <v>78330.794999999998</v>
      </c>
      <c r="F2327" s="64">
        <v>7.5039999999999996</v>
      </c>
    </row>
    <row r="2328" spans="1:6" x14ac:dyDescent="0.25">
      <c r="A2328" s="47" t="s">
        <v>7629</v>
      </c>
      <c r="B2328" s="47" t="s">
        <v>1134</v>
      </c>
      <c r="C2328" s="47" t="s">
        <v>7630</v>
      </c>
      <c r="D2328" s="47" t="s">
        <v>699</v>
      </c>
      <c r="E2328" s="64">
        <v>78330.794999999998</v>
      </c>
      <c r="F2328" s="64">
        <v>4.0000000000000001E-3</v>
      </c>
    </row>
    <row r="2329" spans="1:6" x14ac:dyDescent="0.25">
      <c r="A2329" s="47" t="s">
        <v>7631</v>
      </c>
      <c r="B2329" s="47" t="s">
        <v>1178</v>
      </c>
      <c r="C2329" s="47" t="s">
        <v>7632</v>
      </c>
      <c r="D2329" s="47" t="s">
        <v>734</v>
      </c>
      <c r="E2329" s="64">
        <v>19524.12</v>
      </c>
      <c r="F2329" s="64">
        <v>783</v>
      </c>
    </row>
    <row r="2330" spans="1:6" x14ac:dyDescent="0.25">
      <c r="A2330" s="47" t="s">
        <v>7633</v>
      </c>
      <c r="B2330" s="47" t="s">
        <v>1181</v>
      </c>
      <c r="C2330" s="47" t="s">
        <v>7634</v>
      </c>
      <c r="D2330" s="47" t="s">
        <v>1183</v>
      </c>
      <c r="E2330" s="64">
        <v>43115.83</v>
      </c>
      <c r="F2330" s="64">
        <v>109.46666666666665</v>
      </c>
    </row>
    <row r="2331" spans="1:6" x14ac:dyDescent="0.25">
      <c r="A2331" s="47" t="s">
        <v>7635</v>
      </c>
      <c r="B2331" s="47" t="s">
        <v>1200</v>
      </c>
      <c r="C2331" s="47" t="s">
        <v>7636</v>
      </c>
      <c r="D2331" s="47" t="s">
        <v>1202</v>
      </c>
      <c r="E2331" s="64">
        <v>45125.45</v>
      </c>
      <c r="F2331" s="64">
        <v>76.110799999999998</v>
      </c>
    </row>
    <row r="2332" spans="1:6" x14ac:dyDescent="0.25">
      <c r="A2332" s="47" t="s">
        <v>7637</v>
      </c>
      <c r="B2332" s="47" t="s">
        <v>1204</v>
      </c>
      <c r="C2332" s="47" t="s">
        <v>7638</v>
      </c>
      <c r="D2332" s="47" t="s">
        <v>1202</v>
      </c>
      <c r="E2332" s="64">
        <v>45125.45</v>
      </c>
      <c r="F2332" s="64">
        <v>76.110799999999998</v>
      </c>
    </row>
    <row r="2333" spans="1:6" x14ac:dyDescent="0.25">
      <c r="A2333" s="47" t="s">
        <v>7639</v>
      </c>
      <c r="B2333" s="47" t="s">
        <v>1207</v>
      </c>
      <c r="C2333" s="47" t="s">
        <v>7640</v>
      </c>
      <c r="D2333" s="47" t="s">
        <v>1209</v>
      </c>
      <c r="E2333" s="64">
        <v>28189.389999999996</v>
      </c>
      <c r="F2333" s="64">
        <v>10</v>
      </c>
    </row>
    <row r="2334" spans="1:6" x14ac:dyDescent="0.25">
      <c r="A2334" s="47" t="s">
        <v>7641</v>
      </c>
      <c r="B2334" s="47" t="s">
        <v>1219</v>
      </c>
      <c r="C2334" s="47" t="s">
        <v>7642</v>
      </c>
      <c r="D2334" s="47" t="s">
        <v>734</v>
      </c>
      <c r="E2334" s="64">
        <v>19524.12</v>
      </c>
      <c r="F2334" s="64">
        <v>783</v>
      </c>
    </row>
    <row r="2335" spans="1:6" x14ac:dyDescent="0.25">
      <c r="A2335" s="47" t="s">
        <v>7643</v>
      </c>
      <c r="B2335" s="47" t="s">
        <v>1222</v>
      </c>
      <c r="C2335" s="47" t="s">
        <v>7644</v>
      </c>
      <c r="D2335" s="47" t="s">
        <v>184</v>
      </c>
      <c r="E2335" s="64">
        <v>19524.12</v>
      </c>
      <c r="F2335" s="64">
        <v>458.7</v>
      </c>
    </row>
    <row r="2336" spans="1:6" x14ac:dyDescent="0.25">
      <c r="A2336" s="47" t="s">
        <v>7645</v>
      </c>
      <c r="B2336" s="47" t="s">
        <v>1225</v>
      </c>
      <c r="C2336" s="47" t="s">
        <v>7646</v>
      </c>
      <c r="D2336" s="47" t="s">
        <v>734</v>
      </c>
      <c r="E2336" s="64">
        <v>19524.12</v>
      </c>
      <c r="F2336" s="64">
        <v>783</v>
      </c>
    </row>
    <row r="2337" spans="1:6" x14ac:dyDescent="0.25">
      <c r="A2337" s="47" t="s">
        <v>7647</v>
      </c>
      <c r="B2337" s="47" t="s">
        <v>1285</v>
      </c>
      <c r="C2337" s="47" t="s">
        <v>7648</v>
      </c>
      <c r="D2337" s="47" t="s">
        <v>1129</v>
      </c>
      <c r="E2337" s="64">
        <v>23591.98</v>
      </c>
      <c r="F2337" s="64">
        <v>209</v>
      </c>
    </row>
    <row r="2338" spans="1:6" x14ac:dyDescent="0.25">
      <c r="A2338" s="47" t="s">
        <v>7649</v>
      </c>
      <c r="B2338" s="47" t="s">
        <v>1288</v>
      </c>
      <c r="C2338" s="47" t="s">
        <v>7650</v>
      </c>
      <c r="D2338" s="47" t="s">
        <v>1290</v>
      </c>
      <c r="E2338" s="64">
        <v>23782.42</v>
      </c>
      <c r="F2338" s="64">
        <v>0.86</v>
      </c>
    </row>
    <row r="2339" spans="1:6" x14ac:dyDescent="0.25">
      <c r="A2339" s="47" t="s">
        <v>7651</v>
      </c>
      <c r="B2339" s="47" t="s">
        <v>1292</v>
      </c>
      <c r="C2339" s="47" t="s">
        <v>7652</v>
      </c>
      <c r="D2339" s="47" t="s">
        <v>184</v>
      </c>
      <c r="E2339" s="64">
        <v>19524.12</v>
      </c>
      <c r="F2339" s="64">
        <v>407.33333333333331</v>
      </c>
    </row>
    <row r="2340" spans="1:6" x14ac:dyDescent="0.25">
      <c r="A2340" s="47" t="s">
        <v>7653</v>
      </c>
      <c r="B2340" s="47" t="s">
        <v>1299</v>
      </c>
      <c r="C2340" s="47" t="s">
        <v>7654</v>
      </c>
      <c r="D2340" s="47" t="s">
        <v>7655</v>
      </c>
      <c r="E2340" s="64">
        <v>34234.253333333334</v>
      </c>
      <c r="F2340" s="64">
        <v>48.894999999999996</v>
      </c>
    </row>
    <row r="2341" spans="1:6" x14ac:dyDescent="0.25">
      <c r="A2341" s="47" t="s">
        <v>7656</v>
      </c>
      <c r="B2341" s="47" t="s">
        <v>1372</v>
      </c>
      <c r="C2341" s="47" t="s">
        <v>7657</v>
      </c>
      <c r="D2341" s="47" t="s">
        <v>1122</v>
      </c>
      <c r="E2341" s="64">
        <v>25357.584999999999</v>
      </c>
      <c r="F2341" s="64">
        <v>68.682333333333332</v>
      </c>
    </row>
    <row r="2342" spans="1:6" x14ac:dyDescent="0.25">
      <c r="A2342" s="47" t="s">
        <v>7658</v>
      </c>
      <c r="B2342" s="47" t="s">
        <v>1375</v>
      </c>
      <c r="C2342" s="47" t="s">
        <v>7659</v>
      </c>
      <c r="D2342" s="47" t="s">
        <v>1377</v>
      </c>
      <c r="E2342" s="64">
        <v>21390.07</v>
      </c>
      <c r="F2342" s="64">
        <v>0.94</v>
      </c>
    </row>
    <row r="2343" spans="1:6" x14ac:dyDescent="0.25">
      <c r="A2343" s="47" t="s">
        <v>7660</v>
      </c>
      <c r="B2343" s="47" t="s">
        <v>1404</v>
      </c>
      <c r="C2343" s="47" t="s">
        <v>7661</v>
      </c>
      <c r="D2343" s="47" t="s">
        <v>1406</v>
      </c>
      <c r="E2343" s="64">
        <v>23275.430000000004</v>
      </c>
      <c r="F2343" s="64">
        <v>2E-3</v>
      </c>
    </row>
    <row r="2344" spans="1:6" x14ac:dyDescent="0.25">
      <c r="A2344" s="47" t="s">
        <v>7662</v>
      </c>
      <c r="B2344" s="47" t="s">
        <v>1416</v>
      </c>
      <c r="C2344" s="47" t="s">
        <v>7663</v>
      </c>
      <c r="D2344" s="47" t="s">
        <v>1418</v>
      </c>
      <c r="E2344" s="64">
        <v>37145.479999999996</v>
      </c>
      <c r="F2344" s="64">
        <v>76.088466666666676</v>
      </c>
    </row>
    <row r="2345" spans="1:6" x14ac:dyDescent="0.25">
      <c r="A2345" s="47" t="s">
        <v>7664</v>
      </c>
      <c r="B2345" s="47" t="s">
        <v>1468</v>
      </c>
      <c r="C2345" s="47" t="s">
        <v>7665</v>
      </c>
      <c r="D2345" s="47" t="s">
        <v>1470</v>
      </c>
      <c r="E2345" s="64">
        <v>41037.589999999997</v>
      </c>
      <c r="F2345" s="64">
        <v>9.1</v>
      </c>
    </row>
    <row r="2346" spans="1:6" x14ac:dyDescent="0.25">
      <c r="A2346" s="47" t="s">
        <v>7666</v>
      </c>
      <c r="B2346" s="47" t="s">
        <v>1475</v>
      </c>
      <c r="C2346" s="47" t="s">
        <v>7667</v>
      </c>
      <c r="D2346" s="47" t="s">
        <v>1477</v>
      </c>
      <c r="E2346" s="64">
        <v>30207.64</v>
      </c>
      <c r="F2346" s="64">
        <v>67</v>
      </c>
    </row>
    <row r="2347" spans="1:6" x14ac:dyDescent="0.25">
      <c r="A2347" s="47" t="s">
        <v>7668</v>
      </c>
      <c r="B2347" s="47" t="s">
        <v>1487</v>
      </c>
      <c r="C2347" s="47" t="s">
        <v>7669</v>
      </c>
      <c r="D2347" s="47" t="s">
        <v>600</v>
      </c>
      <c r="E2347" s="64">
        <v>43542.633999999998</v>
      </c>
      <c r="F2347" s="64">
        <v>0.67</v>
      </c>
    </row>
    <row r="2348" spans="1:6" x14ac:dyDescent="0.25">
      <c r="A2348" s="47" t="s">
        <v>7670</v>
      </c>
      <c r="B2348" s="47" t="s">
        <v>1542</v>
      </c>
      <c r="C2348" s="47" t="s">
        <v>7671</v>
      </c>
      <c r="D2348" s="47" t="s">
        <v>1544</v>
      </c>
      <c r="E2348" s="64">
        <v>56072.39</v>
      </c>
      <c r="F2348" s="64">
        <v>241.7</v>
      </c>
    </row>
    <row r="2349" spans="1:6" x14ac:dyDescent="0.25">
      <c r="A2349" s="47" t="s">
        <v>7672</v>
      </c>
      <c r="B2349" s="47" t="s">
        <v>1546</v>
      </c>
      <c r="C2349" s="47" t="s">
        <v>7673</v>
      </c>
      <c r="D2349" s="47" t="s">
        <v>1548</v>
      </c>
      <c r="E2349" s="64">
        <v>41137.859999999993</v>
      </c>
      <c r="F2349" s="64">
        <v>125</v>
      </c>
    </row>
    <row r="2350" spans="1:6" x14ac:dyDescent="0.25">
      <c r="A2350" s="47" t="s">
        <v>7674</v>
      </c>
      <c r="B2350" s="47" t="s">
        <v>1550</v>
      </c>
      <c r="C2350" s="47" t="s">
        <v>7675</v>
      </c>
      <c r="D2350" s="47" t="s">
        <v>1552</v>
      </c>
      <c r="E2350" s="64">
        <v>36360.57</v>
      </c>
      <c r="F2350" s="64">
        <v>7.3275000000000006</v>
      </c>
    </row>
    <row r="2351" spans="1:6" x14ac:dyDescent="0.25">
      <c r="A2351" s="47" t="s">
        <v>7676</v>
      </c>
      <c r="B2351" s="47" t="s">
        <v>1558</v>
      </c>
      <c r="C2351" s="47" t="s">
        <v>7677</v>
      </c>
      <c r="D2351" s="47" t="s">
        <v>1560</v>
      </c>
      <c r="E2351" s="64">
        <v>64974.729999999996</v>
      </c>
      <c r="F2351" s="64">
        <v>2.87E-2</v>
      </c>
    </row>
    <row r="2352" spans="1:6" x14ac:dyDescent="0.25">
      <c r="A2352" s="47" t="s">
        <v>7678</v>
      </c>
      <c r="B2352" s="47" t="s">
        <v>1566</v>
      </c>
      <c r="C2352" s="47" t="s">
        <v>7679</v>
      </c>
      <c r="D2352" s="47" t="s">
        <v>1568</v>
      </c>
      <c r="E2352" s="64">
        <v>23498.229999999996</v>
      </c>
      <c r="F2352" s="64">
        <v>9.83</v>
      </c>
    </row>
    <row r="2353" spans="1:6" x14ac:dyDescent="0.25">
      <c r="A2353" s="47" t="s">
        <v>7680</v>
      </c>
      <c r="B2353" s="47" t="s">
        <v>1632</v>
      </c>
      <c r="C2353" s="47" t="s">
        <v>7681</v>
      </c>
      <c r="D2353" s="47" t="s">
        <v>1634</v>
      </c>
      <c r="E2353" s="64">
        <v>36700.43</v>
      </c>
      <c r="F2353" s="64">
        <v>9.1666666666666661</v>
      </c>
    </row>
    <row r="2354" spans="1:6" x14ac:dyDescent="0.25">
      <c r="A2354" s="47" t="s">
        <v>7682</v>
      </c>
      <c r="B2354" s="47" t="s">
        <v>1648</v>
      </c>
      <c r="C2354" s="47" t="s">
        <v>7683</v>
      </c>
      <c r="D2354" s="47" t="s">
        <v>1650</v>
      </c>
      <c r="E2354" s="64">
        <v>34217.19</v>
      </c>
      <c r="F2354" s="64">
        <v>0.66</v>
      </c>
    </row>
    <row r="2355" spans="1:6" x14ac:dyDescent="0.25">
      <c r="A2355" s="47" t="s">
        <v>7684</v>
      </c>
      <c r="B2355" s="47" t="s">
        <v>1656</v>
      </c>
      <c r="C2355" s="47" t="s">
        <v>7685</v>
      </c>
      <c r="D2355" s="47" t="s">
        <v>1658</v>
      </c>
      <c r="E2355" s="64">
        <v>26031.899999999998</v>
      </c>
      <c r="F2355" s="64">
        <v>14.3</v>
      </c>
    </row>
    <row r="2356" spans="1:6" x14ac:dyDescent="0.25">
      <c r="A2356" s="47" t="s">
        <v>7686</v>
      </c>
      <c r="B2356" s="47" t="s">
        <v>1660</v>
      </c>
      <c r="C2356" s="47" t="s">
        <v>7687</v>
      </c>
      <c r="D2356" s="47" t="s">
        <v>1662</v>
      </c>
      <c r="E2356" s="64">
        <v>29315.819999999996</v>
      </c>
      <c r="F2356" s="64">
        <v>6.8000000000000005E-2</v>
      </c>
    </row>
    <row r="2357" spans="1:6" x14ac:dyDescent="0.25">
      <c r="A2357" s="47" t="s">
        <v>7688</v>
      </c>
      <c r="B2357" s="47" t="s">
        <v>1676</v>
      </c>
      <c r="C2357" s="47" t="s">
        <v>7689</v>
      </c>
      <c r="D2357" s="47" t="s">
        <v>1678</v>
      </c>
      <c r="E2357" s="64">
        <v>75510.990000000005</v>
      </c>
      <c r="F2357" s="64">
        <v>22.130000000000003</v>
      </c>
    </row>
    <row r="2358" spans="1:6" x14ac:dyDescent="0.25">
      <c r="A2358" s="47" t="s">
        <v>7690</v>
      </c>
      <c r="B2358" s="47" t="s">
        <v>1680</v>
      </c>
      <c r="C2358" s="47" t="s">
        <v>7691</v>
      </c>
      <c r="D2358" s="47" t="s">
        <v>1682</v>
      </c>
      <c r="E2358" s="64">
        <v>40016.67</v>
      </c>
      <c r="F2358" s="64">
        <v>15.6</v>
      </c>
    </row>
    <row r="2359" spans="1:6" x14ac:dyDescent="0.25">
      <c r="A2359" s="47" t="s">
        <v>7692</v>
      </c>
      <c r="B2359" s="47" t="s">
        <v>1745</v>
      </c>
      <c r="C2359" s="47" t="s">
        <v>7693</v>
      </c>
      <c r="D2359" s="47" t="s">
        <v>1747</v>
      </c>
      <c r="E2359" s="64">
        <v>31643.25</v>
      </c>
      <c r="F2359" s="64">
        <v>319</v>
      </c>
    </row>
    <row r="2360" spans="1:6" x14ac:dyDescent="0.25">
      <c r="A2360" s="47" t="s">
        <v>7694</v>
      </c>
      <c r="B2360" s="47" t="s">
        <v>1749</v>
      </c>
      <c r="C2360" s="47" t="s">
        <v>7695</v>
      </c>
      <c r="D2360" s="47" t="s">
        <v>1751</v>
      </c>
      <c r="E2360" s="64">
        <v>24073.030000000006</v>
      </c>
      <c r="F2360" s="64">
        <v>9201.8125</v>
      </c>
    </row>
    <row r="2361" spans="1:6" x14ac:dyDescent="0.25">
      <c r="A2361" s="47" t="s">
        <v>7696</v>
      </c>
      <c r="B2361" s="47" t="s">
        <v>1757</v>
      </c>
      <c r="C2361" s="47" t="s">
        <v>7697</v>
      </c>
      <c r="D2361" s="47" t="s">
        <v>1759</v>
      </c>
      <c r="E2361" s="64">
        <v>24527.25</v>
      </c>
      <c r="F2361" s="64">
        <v>5.5</v>
      </c>
    </row>
    <row r="2362" spans="1:6" x14ac:dyDescent="0.25">
      <c r="A2362" s="47" t="s">
        <v>7698</v>
      </c>
      <c r="B2362" s="47" t="s">
        <v>1772</v>
      </c>
      <c r="C2362" s="47" t="s">
        <v>7699</v>
      </c>
      <c r="D2362" s="47" t="s">
        <v>1774</v>
      </c>
      <c r="E2362" s="64">
        <v>35531.370000000003</v>
      </c>
      <c r="F2362" s="64">
        <v>73.56</v>
      </c>
    </row>
    <row r="2363" spans="1:6" x14ac:dyDescent="0.25">
      <c r="A2363" s="47" t="s">
        <v>7700</v>
      </c>
      <c r="B2363" s="47" t="s">
        <v>1792</v>
      </c>
      <c r="C2363" s="47" t="s">
        <v>7701</v>
      </c>
      <c r="D2363" s="47" t="s">
        <v>1794</v>
      </c>
      <c r="E2363" s="64">
        <v>50316.819999999992</v>
      </c>
      <c r="F2363" s="64">
        <v>34.5</v>
      </c>
    </row>
    <row r="2364" spans="1:6" x14ac:dyDescent="0.25">
      <c r="A2364" s="47" t="s">
        <v>7702</v>
      </c>
      <c r="B2364" s="47" t="s">
        <v>1808</v>
      </c>
      <c r="C2364" s="47" t="s">
        <v>7703</v>
      </c>
      <c r="D2364" s="47" t="s">
        <v>1810</v>
      </c>
      <c r="E2364" s="64">
        <v>42135.390000000007</v>
      </c>
      <c r="F2364" s="64">
        <v>0.46</v>
      </c>
    </row>
    <row r="2365" spans="1:6" x14ac:dyDescent="0.25">
      <c r="A2365" s="47" t="s">
        <v>7704</v>
      </c>
      <c r="B2365" s="47" t="s">
        <v>1821</v>
      </c>
      <c r="C2365" s="47" t="s">
        <v>7705</v>
      </c>
      <c r="D2365" s="47" t="s">
        <v>612</v>
      </c>
      <c r="E2365" s="64">
        <v>90519.87999999999</v>
      </c>
      <c r="F2365" s="64">
        <v>1E-3</v>
      </c>
    </row>
    <row r="2366" spans="1:6" x14ac:dyDescent="0.25">
      <c r="A2366" s="47" t="s">
        <v>7706</v>
      </c>
      <c r="B2366" s="47" t="s">
        <v>1933</v>
      </c>
      <c r="C2366" s="47" t="s">
        <v>7707</v>
      </c>
      <c r="D2366" s="47" t="s">
        <v>1935</v>
      </c>
      <c r="E2366" s="64">
        <v>36866.084999999992</v>
      </c>
      <c r="F2366" s="64">
        <v>8</v>
      </c>
    </row>
    <row r="2367" spans="1:6" x14ac:dyDescent="0.25">
      <c r="A2367" s="47" t="s">
        <v>7708</v>
      </c>
      <c r="B2367" s="47" t="s">
        <v>1937</v>
      </c>
      <c r="C2367" s="47" t="s">
        <v>7709</v>
      </c>
      <c r="D2367" s="47" t="s">
        <v>1939</v>
      </c>
      <c r="E2367" s="64">
        <v>23237.609999999997</v>
      </c>
      <c r="F2367" s="64">
        <v>13.5</v>
      </c>
    </row>
    <row r="2368" spans="1:6" x14ac:dyDescent="0.25">
      <c r="A2368" s="47" t="s">
        <v>7710</v>
      </c>
      <c r="B2368" s="47" t="s">
        <v>1948</v>
      </c>
      <c r="C2368" s="47" t="s">
        <v>7711</v>
      </c>
      <c r="D2368" s="47" t="s">
        <v>7375</v>
      </c>
      <c r="E2368" s="64">
        <v>40400.393333333333</v>
      </c>
      <c r="F2368" s="64">
        <v>670</v>
      </c>
    </row>
    <row r="2369" spans="1:6" x14ac:dyDescent="0.25">
      <c r="A2369" s="47" t="s">
        <v>7712</v>
      </c>
      <c r="B2369" s="47" t="s">
        <v>1962</v>
      </c>
      <c r="C2369" s="47" t="s">
        <v>7713</v>
      </c>
      <c r="D2369" s="47" t="s">
        <v>1964</v>
      </c>
      <c r="E2369" s="64">
        <v>32133.749999999993</v>
      </c>
      <c r="F2369" s="64">
        <v>19</v>
      </c>
    </row>
    <row r="2370" spans="1:6" x14ac:dyDescent="0.25">
      <c r="A2370" s="47" t="s">
        <v>7714</v>
      </c>
      <c r="B2370" s="47" t="s">
        <v>1988</v>
      </c>
      <c r="C2370" s="47" t="s">
        <v>7715</v>
      </c>
      <c r="D2370" s="47" t="s">
        <v>7716</v>
      </c>
      <c r="E2370" s="64">
        <v>44482.77</v>
      </c>
      <c r="F2370" s="64">
        <v>25.45</v>
      </c>
    </row>
    <row r="2371" spans="1:6" x14ac:dyDescent="0.25">
      <c r="A2371" s="47" t="s">
        <v>7717</v>
      </c>
      <c r="B2371" s="47" t="s">
        <v>2006</v>
      </c>
      <c r="C2371" s="47" t="s">
        <v>7718</v>
      </c>
      <c r="D2371" s="47" t="s">
        <v>2008</v>
      </c>
      <c r="E2371" s="64">
        <v>45939.040000000001</v>
      </c>
      <c r="F2371" s="64">
        <v>2.2999999999999998</v>
      </c>
    </row>
    <row r="2372" spans="1:6" x14ac:dyDescent="0.25">
      <c r="A2372" s="47" t="s">
        <v>7719</v>
      </c>
      <c r="B2372" s="47" t="s">
        <v>2040</v>
      </c>
      <c r="C2372" s="47" t="s">
        <v>7720</v>
      </c>
      <c r="D2372" s="47" t="s">
        <v>2042</v>
      </c>
      <c r="E2372" s="64">
        <v>43382.82</v>
      </c>
      <c r="F2372" s="64">
        <v>114</v>
      </c>
    </row>
    <row r="2373" spans="1:6" x14ac:dyDescent="0.25">
      <c r="A2373" s="47" t="s">
        <v>7721</v>
      </c>
      <c r="B2373" s="47" t="s">
        <v>2048</v>
      </c>
      <c r="C2373" s="47" t="s">
        <v>7722</v>
      </c>
      <c r="D2373" s="47" t="s">
        <v>244</v>
      </c>
      <c r="E2373" s="64">
        <v>44368.57</v>
      </c>
      <c r="F2373" s="64">
        <v>173</v>
      </c>
    </row>
    <row r="2374" spans="1:6" x14ac:dyDescent="0.25">
      <c r="A2374" s="47" t="s">
        <v>7723</v>
      </c>
      <c r="B2374" s="47" t="s">
        <v>2054</v>
      </c>
      <c r="C2374" s="47" t="s">
        <v>7724</v>
      </c>
      <c r="D2374" s="47" t="s">
        <v>2056</v>
      </c>
      <c r="E2374" s="64">
        <v>55702.720000000001</v>
      </c>
      <c r="F2374" s="64">
        <v>288</v>
      </c>
    </row>
    <row r="2375" spans="1:6" x14ac:dyDescent="0.25">
      <c r="A2375" s="47" t="s">
        <v>7725</v>
      </c>
      <c r="B2375" s="47" t="s">
        <v>2089</v>
      </c>
      <c r="C2375" s="47" t="s">
        <v>7726</v>
      </c>
      <c r="D2375" s="47" t="s">
        <v>310</v>
      </c>
      <c r="E2375" s="64">
        <v>39146.070000000007</v>
      </c>
      <c r="F2375" s="64">
        <v>2E-3</v>
      </c>
    </row>
    <row r="2376" spans="1:6" x14ac:dyDescent="0.25">
      <c r="A2376" s="47" t="s">
        <v>7727</v>
      </c>
      <c r="B2376" s="47" t="s">
        <v>2100</v>
      </c>
      <c r="C2376" s="47" t="s">
        <v>7728</v>
      </c>
      <c r="D2376" s="47" t="s">
        <v>734</v>
      </c>
      <c r="E2376" s="64">
        <v>23585.280000000002</v>
      </c>
      <c r="F2376" s="64">
        <v>783</v>
      </c>
    </row>
    <row r="2377" spans="1:6" x14ac:dyDescent="0.25">
      <c r="A2377" s="47" t="s">
        <v>7729</v>
      </c>
      <c r="B2377" s="47" t="s">
        <v>2115</v>
      </c>
      <c r="C2377" s="47" t="s">
        <v>7730</v>
      </c>
      <c r="D2377" s="47" t="s">
        <v>2117</v>
      </c>
      <c r="E2377" s="64">
        <v>89001.335000000021</v>
      </c>
      <c r="F2377" s="64">
        <v>156.69999999999999</v>
      </c>
    </row>
    <row r="2378" spans="1:6" x14ac:dyDescent="0.25">
      <c r="A2378" s="47" t="s">
        <v>7731</v>
      </c>
      <c r="B2378" s="47" t="s">
        <v>2135</v>
      </c>
      <c r="C2378" s="47" t="s">
        <v>7732</v>
      </c>
      <c r="D2378" s="47"/>
      <c r="E2378" s="64">
        <v>39959.482499999998</v>
      </c>
      <c r="F2378" s="64">
        <v>100000000</v>
      </c>
    </row>
    <row r="2379" spans="1:6" x14ac:dyDescent="0.25">
      <c r="A2379" s="47" t="s">
        <v>7733</v>
      </c>
      <c r="B2379" s="47" t="s">
        <v>2138</v>
      </c>
      <c r="C2379" s="47" t="s">
        <v>7734</v>
      </c>
      <c r="D2379" s="47"/>
      <c r="E2379" s="64">
        <v>39959.482499999998</v>
      </c>
      <c r="F2379" s="64">
        <v>100000000</v>
      </c>
    </row>
    <row r="2380" spans="1:6" x14ac:dyDescent="0.25">
      <c r="A2380" s="47" t="s">
        <v>7735</v>
      </c>
      <c r="B2380" s="47" t="s">
        <v>2141</v>
      </c>
      <c r="C2380" s="47" t="s">
        <v>7736</v>
      </c>
      <c r="D2380" s="47"/>
      <c r="E2380" s="64">
        <v>39959.482499999998</v>
      </c>
      <c r="F2380" s="64">
        <v>100000000</v>
      </c>
    </row>
    <row r="2381" spans="1:6" x14ac:dyDescent="0.25">
      <c r="A2381" s="47" t="s">
        <v>7737</v>
      </c>
      <c r="B2381" s="47" t="s">
        <v>2144</v>
      </c>
      <c r="C2381" s="47" t="s">
        <v>7738</v>
      </c>
      <c r="D2381" s="47"/>
      <c r="E2381" s="64">
        <v>39959.482499999998</v>
      </c>
      <c r="F2381" s="64">
        <v>100000000</v>
      </c>
    </row>
    <row r="2382" spans="1:6" x14ac:dyDescent="0.25">
      <c r="A2382" s="47" t="s">
        <v>7739</v>
      </c>
      <c r="B2382" s="47" t="s">
        <v>2147</v>
      </c>
      <c r="C2382" s="47" t="s">
        <v>7740</v>
      </c>
      <c r="D2382" s="47"/>
      <c r="E2382" s="64">
        <v>39959.482499999998</v>
      </c>
      <c r="F2382" s="64">
        <v>100000000</v>
      </c>
    </row>
    <row r="2383" spans="1:6" x14ac:dyDescent="0.25">
      <c r="A2383" s="47" t="s">
        <v>7741</v>
      </c>
      <c r="B2383" s="47" t="s">
        <v>2150</v>
      </c>
      <c r="C2383" s="47" t="s">
        <v>7742</v>
      </c>
      <c r="D2383" s="47"/>
      <c r="E2383" s="64">
        <v>39959.482499999998</v>
      </c>
      <c r="F2383" s="64">
        <v>100000000</v>
      </c>
    </row>
    <row r="2384" spans="1:6" x14ac:dyDescent="0.25">
      <c r="A2384" s="47" t="s">
        <v>7743</v>
      </c>
      <c r="B2384" s="47" t="s">
        <v>2153</v>
      </c>
      <c r="C2384" s="47" t="s">
        <v>7744</v>
      </c>
      <c r="D2384" s="47"/>
      <c r="E2384" s="64">
        <v>39959.482499999998</v>
      </c>
      <c r="F2384" s="64">
        <v>100000000</v>
      </c>
    </row>
    <row r="2385" spans="1:6" x14ac:dyDescent="0.25">
      <c r="A2385" s="47" t="s">
        <v>7745</v>
      </c>
      <c r="B2385" s="47" t="s">
        <v>2156</v>
      </c>
      <c r="C2385" s="47" t="s">
        <v>7746</v>
      </c>
      <c r="D2385" s="47"/>
      <c r="E2385" s="64">
        <v>39959.482499999998</v>
      </c>
      <c r="F2385" s="64">
        <v>100000000</v>
      </c>
    </row>
    <row r="2386" spans="1:6" x14ac:dyDescent="0.25">
      <c r="A2386" s="47" t="s">
        <v>7747</v>
      </c>
      <c r="B2386" s="47" t="s">
        <v>2159</v>
      </c>
      <c r="C2386" s="47" t="s">
        <v>7748</v>
      </c>
      <c r="D2386" s="47"/>
      <c r="E2386" s="64">
        <v>33587.89</v>
      </c>
      <c r="F2386" s="64">
        <v>100000000</v>
      </c>
    </row>
    <row r="2387" spans="1:6" x14ac:dyDescent="0.25">
      <c r="A2387" s="47" t="s">
        <v>7749</v>
      </c>
      <c r="B2387" s="47" t="s">
        <v>2162</v>
      </c>
      <c r="C2387" s="47" t="s">
        <v>7750</v>
      </c>
      <c r="D2387" s="47"/>
      <c r="E2387" s="64">
        <v>39959.482499999998</v>
      </c>
      <c r="F2387" s="64">
        <v>100000000</v>
      </c>
    </row>
    <row r="2388" spans="1:6" x14ac:dyDescent="0.25">
      <c r="A2388" s="47" t="s">
        <v>7751</v>
      </c>
      <c r="B2388" s="47" t="s">
        <v>2165</v>
      </c>
      <c r="C2388" s="47" t="s">
        <v>7752</v>
      </c>
      <c r="D2388" s="47"/>
      <c r="E2388" s="64">
        <v>39959.482499999998</v>
      </c>
      <c r="F2388" s="64">
        <v>100000000</v>
      </c>
    </row>
    <row r="2389" spans="1:6" x14ac:dyDescent="0.25">
      <c r="A2389" s="47" t="s">
        <v>7753</v>
      </c>
      <c r="B2389" s="47" t="s">
        <v>2168</v>
      </c>
      <c r="C2389" s="47" t="s">
        <v>7754</v>
      </c>
      <c r="D2389" s="47"/>
      <c r="E2389" s="64">
        <v>37021.279999999999</v>
      </c>
      <c r="F2389" s="64">
        <v>100000000</v>
      </c>
    </row>
    <row r="2390" spans="1:6" x14ac:dyDescent="0.25">
      <c r="A2390" s="47" t="s">
        <v>7755</v>
      </c>
      <c r="B2390" s="47" t="s">
        <v>2213</v>
      </c>
      <c r="C2390" s="47" t="s">
        <v>7756</v>
      </c>
      <c r="D2390" s="47"/>
      <c r="E2390" s="64">
        <v>39959.482499999998</v>
      </c>
      <c r="F2390" s="64">
        <v>100000000</v>
      </c>
    </row>
    <row r="2391" spans="1:6" x14ac:dyDescent="0.25">
      <c r="A2391" s="47" t="s">
        <v>7757</v>
      </c>
      <c r="B2391" s="47" t="s">
        <v>2216</v>
      </c>
      <c r="C2391" s="47" t="s">
        <v>7758</v>
      </c>
      <c r="D2391" s="47"/>
      <c r="E2391" s="64">
        <v>39959.482499999998</v>
      </c>
      <c r="F2391" s="64">
        <v>100000000</v>
      </c>
    </row>
    <row r="2392" spans="1:6" x14ac:dyDescent="0.25">
      <c r="A2392" s="47" t="s">
        <v>7759</v>
      </c>
      <c r="B2392" s="47" t="s">
        <v>2219</v>
      </c>
      <c r="C2392" s="47" t="s">
        <v>7760</v>
      </c>
      <c r="D2392" s="47"/>
      <c r="E2392" s="64">
        <v>39959.482499999998</v>
      </c>
      <c r="F2392" s="64">
        <v>100000000</v>
      </c>
    </row>
    <row r="2393" spans="1:6" x14ac:dyDescent="0.25">
      <c r="A2393" s="47" t="s">
        <v>7761</v>
      </c>
      <c r="B2393" s="47" t="s">
        <v>2222</v>
      </c>
      <c r="C2393" s="47" t="s">
        <v>7762</v>
      </c>
      <c r="D2393" s="47"/>
      <c r="E2393" s="64">
        <v>39959.482499999998</v>
      </c>
      <c r="F2393" s="64">
        <v>100000000</v>
      </c>
    </row>
    <row r="2394" spans="1:6" x14ac:dyDescent="0.25">
      <c r="A2394" s="47" t="s">
        <v>7763</v>
      </c>
      <c r="B2394" s="47" t="s">
        <v>2225</v>
      </c>
      <c r="C2394" s="47" t="s">
        <v>7764</v>
      </c>
      <c r="D2394" s="47"/>
      <c r="E2394" s="64">
        <v>39959.482499999998</v>
      </c>
      <c r="F2394" s="64">
        <v>100000000</v>
      </c>
    </row>
    <row r="2395" spans="1:6" x14ac:dyDescent="0.25">
      <c r="A2395" s="47" t="s">
        <v>7765</v>
      </c>
      <c r="B2395" s="47" t="s">
        <v>2228</v>
      </c>
      <c r="C2395" s="47" t="s">
        <v>7766</v>
      </c>
      <c r="D2395" s="47"/>
      <c r="E2395" s="64">
        <v>39959.482499999998</v>
      </c>
      <c r="F2395" s="64">
        <v>100000000</v>
      </c>
    </row>
    <row r="2396" spans="1:6" x14ac:dyDescent="0.25">
      <c r="A2396" s="47" t="s">
        <v>7767</v>
      </c>
      <c r="B2396" s="47" t="s">
        <v>2231</v>
      </c>
      <c r="C2396" s="47" t="s">
        <v>7768</v>
      </c>
      <c r="D2396" s="47"/>
      <c r="E2396" s="64">
        <v>39959.482499999998</v>
      </c>
      <c r="F2396" s="64">
        <v>100000000</v>
      </c>
    </row>
    <row r="2397" spans="1:6" x14ac:dyDescent="0.25">
      <c r="A2397" s="47" t="s">
        <v>7769</v>
      </c>
      <c r="B2397" s="47" t="s">
        <v>2234</v>
      </c>
      <c r="C2397" s="47" t="s">
        <v>7770</v>
      </c>
      <c r="D2397" s="47"/>
      <c r="E2397" s="64">
        <v>39959.482499999998</v>
      </c>
      <c r="F2397" s="64">
        <v>100000000</v>
      </c>
    </row>
    <row r="2398" spans="1:6" x14ac:dyDescent="0.25">
      <c r="A2398" s="47" t="s">
        <v>7771</v>
      </c>
      <c r="B2398" s="47" t="s">
        <v>2237</v>
      </c>
      <c r="C2398" s="47" t="s">
        <v>7772</v>
      </c>
      <c r="D2398" s="47"/>
      <c r="E2398" s="64">
        <v>39959.482499999998</v>
      </c>
      <c r="F2398" s="64">
        <v>100000000</v>
      </c>
    </row>
    <row r="2399" spans="1:6" x14ac:dyDescent="0.25">
      <c r="A2399" s="47" t="s">
        <v>7773</v>
      </c>
      <c r="B2399" s="47" t="s">
        <v>2243</v>
      </c>
      <c r="C2399" s="47" t="s">
        <v>7774</v>
      </c>
      <c r="D2399" s="47" t="s">
        <v>2245</v>
      </c>
      <c r="E2399" s="64">
        <v>43702.130000000005</v>
      </c>
      <c r="F2399" s="64">
        <v>14.8</v>
      </c>
    </row>
    <row r="2400" spans="1:6" x14ac:dyDescent="0.25">
      <c r="A2400" s="47" t="s">
        <v>7775</v>
      </c>
      <c r="B2400" s="47" t="s">
        <v>2251</v>
      </c>
      <c r="C2400" s="47" t="s">
        <v>7776</v>
      </c>
      <c r="D2400" s="47" t="s">
        <v>2245</v>
      </c>
      <c r="E2400" s="64">
        <v>43702.130000000005</v>
      </c>
      <c r="F2400" s="64">
        <v>14.8</v>
      </c>
    </row>
    <row r="2401" spans="1:6" x14ac:dyDescent="0.25">
      <c r="A2401" s="47" t="s">
        <v>7777</v>
      </c>
      <c r="B2401" s="47" t="s">
        <v>2254</v>
      </c>
      <c r="C2401" s="47" t="s">
        <v>7778</v>
      </c>
      <c r="D2401" s="47" t="s">
        <v>2245</v>
      </c>
      <c r="E2401" s="64">
        <v>43702.130000000005</v>
      </c>
      <c r="F2401" s="64">
        <v>14.8</v>
      </c>
    </row>
    <row r="2402" spans="1:6" x14ac:dyDescent="0.25">
      <c r="A2402" s="47" t="s">
        <v>7779</v>
      </c>
      <c r="B2402" s="47" t="s">
        <v>2257</v>
      </c>
      <c r="C2402" s="47" t="s">
        <v>7780</v>
      </c>
      <c r="D2402" s="47" t="s">
        <v>2245</v>
      </c>
      <c r="E2402" s="64">
        <v>43702.130000000005</v>
      </c>
      <c r="F2402" s="64">
        <v>14.8</v>
      </c>
    </row>
    <row r="2403" spans="1:6" x14ac:dyDescent="0.25">
      <c r="A2403" s="47" t="s">
        <v>7781</v>
      </c>
      <c r="B2403" s="47" t="s">
        <v>2263</v>
      </c>
      <c r="C2403" s="47" t="s">
        <v>7782</v>
      </c>
      <c r="D2403" s="47"/>
      <c r="E2403" s="64">
        <v>47364.853333333333</v>
      </c>
      <c r="F2403" s="64">
        <v>22</v>
      </c>
    </row>
    <row r="2404" spans="1:6" x14ac:dyDescent="0.25">
      <c r="A2404" s="47" t="s">
        <v>7783</v>
      </c>
      <c r="B2404" s="47" t="s">
        <v>2278</v>
      </c>
      <c r="C2404" s="47" t="s">
        <v>7784</v>
      </c>
      <c r="D2404" s="47"/>
      <c r="E2404" s="64">
        <v>52905.039999999994</v>
      </c>
      <c r="F2404" s="64">
        <v>22</v>
      </c>
    </row>
    <row r="2405" spans="1:6" x14ac:dyDescent="0.25">
      <c r="A2405" s="47" t="s">
        <v>7785</v>
      </c>
      <c r="B2405" s="47" t="s">
        <v>2281</v>
      </c>
      <c r="C2405" s="47" t="s">
        <v>7786</v>
      </c>
      <c r="D2405" s="47" t="s">
        <v>7787</v>
      </c>
      <c r="E2405" s="64">
        <v>44174.560000000005</v>
      </c>
      <c r="F2405" s="64">
        <v>16.82075</v>
      </c>
    </row>
    <row r="2406" spans="1:6" x14ac:dyDescent="0.25">
      <c r="A2406" s="47" t="s">
        <v>7788</v>
      </c>
      <c r="B2406" s="47" t="s">
        <v>2295</v>
      </c>
      <c r="C2406" s="47" t="s">
        <v>7789</v>
      </c>
      <c r="D2406" s="47"/>
      <c r="E2406" s="64">
        <v>47051.219999999994</v>
      </c>
      <c r="F2406" s="64">
        <v>22</v>
      </c>
    </row>
    <row r="2407" spans="1:6" x14ac:dyDescent="0.25">
      <c r="A2407" s="47" t="s">
        <v>7790</v>
      </c>
      <c r="B2407" s="47" t="s">
        <v>2289</v>
      </c>
      <c r="C2407" s="47" t="s">
        <v>7791</v>
      </c>
      <c r="D2407" s="47"/>
      <c r="E2407" s="64">
        <v>46138.509999999995</v>
      </c>
      <c r="F2407" s="64">
        <v>22</v>
      </c>
    </row>
    <row r="2408" spans="1:6" x14ac:dyDescent="0.25">
      <c r="A2408" s="47" t="s">
        <v>7792</v>
      </c>
      <c r="B2408" s="47" t="s">
        <v>2313</v>
      </c>
      <c r="C2408" s="47" t="s">
        <v>7793</v>
      </c>
      <c r="D2408" s="47"/>
      <c r="E2408" s="64">
        <v>46409.919999999998</v>
      </c>
      <c r="F2408" s="64">
        <v>22</v>
      </c>
    </row>
    <row r="2409" spans="1:6" x14ac:dyDescent="0.25">
      <c r="A2409" s="47" t="s">
        <v>7794</v>
      </c>
      <c r="B2409" s="47" t="s">
        <v>2316</v>
      </c>
      <c r="C2409" s="47" t="s">
        <v>7795</v>
      </c>
      <c r="D2409" s="47"/>
      <c r="E2409" s="64">
        <v>46253.51</v>
      </c>
      <c r="F2409" s="64">
        <v>22</v>
      </c>
    </row>
    <row r="2410" spans="1:6" x14ac:dyDescent="0.25">
      <c r="A2410" s="47" t="s">
        <v>7796</v>
      </c>
      <c r="B2410" s="47" t="s">
        <v>2319</v>
      </c>
      <c r="C2410" s="47" t="s">
        <v>7797</v>
      </c>
      <c r="D2410" s="47"/>
      <c r="E2410" s="64">
        <v>46138.509999999995</v>
      </c>
      <c r="F2410" s="64">
        <v>22</v>
      </c>
    </row>
    <row r="2411" spans="1:6" x14ac:dyDescent="0.25">
      <c r="A2411" s="47" t="s">
        <v>7798</v>
      </c>
      <c r="B2411" s="47" t="s">
        <v>2326</v>
      </c>
      <c r="C2411" s="47" t="s">
        <v>7799</v>
      </c>
      <c r="D2411" s="47"/>
      <c r="E2411" s="64">
        <v>46138.509999999995</v>
      </c>
      <c r="F2411" s="64">
        <v>22</v>
      </c>
    </row>
    <row r="2412" spans="1:6" x14ac:dyDescent="0.25">
      <c r="A2412" s="47" t="s">
        <v>7800</v>
      </c>
      <c r="B2412" s="47" t="s">
        <v>2339</v>
      </c>
      <c r="C2412" s="47" t="s">
        <v>7801</v>
      </c>
      <c r="D2412" s="47"/>
      <c r="E2412" s="64">
        <v>39959.482499999998</v>
      </c>
      <c r="F2412" s="64">
        <v>100000000</v>
      </c>
    </row>
    <row r="2413" spans="1:6" x14ac:dyDescent="0.25">
      <c r="A2413" s="47" t="s">
        <v>7802</v>
      </c>
      <c r="B2413" s="47" t="s">
        <v>2342</v>
      </c>
      <c r="C2413" s="47" t="s">
        <v>7803</v>
      </c>
      <c r="D2413" s="47"/>
      <c r="E2413" s="64">
        <v>39959.482499999998</v>
      </c>
      <c r="F2413" s="64">
        <v>100000000</v>
      </c>
    </row>
    <row r="2414" spans="1:6" x14ac:dyDescent="0.25">
      <c r="A2414" s="47" t="s">
        <v>7804</v>
      </c>
      <c r="B2414" s="47" t="s">
        <v>2345</v>
      </c>
      <c r="C2414" s="47" t="s">
        <v>7805</v>
      </c>
      <c r="D2414" s="47"/>
      <c r="E2414" s="64">
        <v>39959.482499999998</v>
      </c>
      <c r="F2414" s="64">
        <v>100000000</v>
      </c>
    </row>
    <row r="2415" spans="1:6" x14ac:dyDescent="0.25">
      <c r="A2415" s="47" t="s">
        <v>7806</v>
      </c>
      <c r="B2415" s="47" t="s">
        <v>2348</v>
      </c>
      <c r="C2415" s="47" t="s">
        <v>7807</v>
      </c>
      <c r="D2415" s="47"/>
      <c r="E2415" s="64">
        <v>39959.482499999998</v>
      </c>
      <c r="F2415" s="64">
        <v>100000000</v>
      </c>
    </row>
    <row r="2416" spans="1:6" x14ac:dyDescent="0.25">
      <c r="A2416" s="47" t="s">
        <v>7808</v>
      </c>
      <c r="B2416" s="47" t="s">
        <v>2351</v>
      </c>
      <c r="C2416" s="47" t="s">
        <v>7809</v>
      </c>
      <c r="D2416" s="47"/>
      <c r="E2416" s="64">
        <v>39959.482499999998</v>
      </c>
      <c r="F2416" s="64">
        <v>100000000</v>
      </c>
    </row>
    <row r="2417" spans="1:6" x14ac:dyDescent="0.25">
      <c r="A2417" s="47" t="s">
        <v>7810</v>
      </c>
      <c r="B2417" s="47" t="s">
        <v>2370</v>
      </c>
      <c r="C2417" s="47" t="s">
        <v>7811</v>
      </c>
      <c r="D2417" s="47"/>
      <c r="E2417" s="64">
        <v>47526.44</v>
      </c>
      <c r="F2417" s="64">
        <v>22</v>
      </c>
    </row>
    <row r="2418" spans="1:6" x14ac:dyDescent="0.25">
      <c r="A2418" s="47" t="s">
        <v>7812</v>
      </c>
      <c r="B2418" s="47" t="s">
        <v>344</v>
      </c>
      <c r="C2418" s="47" t="s">
        <v>7813</v>
      </c>
      <c r="D2418" s="47" t="s">
        <v>346</v>
      </c>
      <c r="E2418" s="64">
        <v>72625.084999999992</v>
      </c>
      <c r="F2418" s="64">
        <v>85.25</v>
      </c>
    </row>
    <row r="2419" spans="1:6" x14ac:dyDescent="0.25">
      <c r="A2419" s="47" t="s">
        <v>7814</v>
      </c>
      <c r="B2419" s="47" t="s">
        <v>2400</v>
      </c>
      <c r="C2419" s="47" t="s">
        <v>7815</v>
      </c>
      <c r="D2419" s="47"/>
      <c r="E2419" s="64">
        <v>39959.482499999998</v>
      </c>
      <c r="F2419" s="64">
        <v>100000000</v>
      </c>
    </row>
    <row r="2420" spans="1:6" x14ac:dyDescent="0.25">
      <c r="A2420" s="47" t="s">
        <v>7816</v>
      </c>
      <c r="B2420" s="47" t="s">
        <v>2403</v>
      </c>
      <c r="C2420" s="47" t="s">
        <v>7817</v>
      </c>
      <c r="D2420" s="47"/>
      <c r="E2420" s="64">
        <v>39959.482499999998</v>
      </c>
      <c r="F2420" s="64">
        <v>100000000</v>
      </c>
    </row>
    <row r="2421" spans="1:6" x14ac:dyDescent="0.25">
      <c r="A2421" s="47" t="s">
        <v>7818</v>
      </c>
      <c r="B2421" s="47" t="s">
        <v>2406</v>
      </c>
      <c r="C2421" s="47" t="s">
        <v>7819</v>
      </c>
      <c r="D2421" s="47"/>
      <c r="E2421" s="64">
        <v>51683.05</v>
      </c>
      <c r="F2421" s="64">
        <v>22</v>
      </c>
    </row>
    <row r="2422" spans="1:6" x14ac:dyDescent="0.25">
      <c r="A2422" s="47" t="s">
        <v>7820</v>
      </c>
      <c r="B2422" s="47" t="s">
        <v>2416</v>
      </c>
      <c r="C2422" s="47" t="s">
        <v>7821</v>
      </c>
      <c r="D2422" s="47"/>
      <c r="E2422" s="64">
        <v>46841.400000000009</v>
      </c>
      <c r="F2422" s="64">
        <v>22</v>
      </c>
    </row>
    <row r="2423" spans="1:6" x14ac:dyDescent="0.25">
      <c r="A2423" s="47" t="s">
        <v>7822</v>
      </c>
      <c r="B2423" s="47" t="s">
        <v>2423</v>
      </c>
      <c r="C2423" s="47" t="s">
        <v>7823</v>
      </c>
      <c r="D2423" s="47"/>
      <c r="E2423" s="64">
        <v>54231.64</v>
      </c>
      <c r="F2423" s="64">
        <v>22</v>
      </c>
    </row>
    <row r="2424" spans="1:6" x14ac:dyDescent="0.25">
      <c r="A2424" s="47" t="s">
        <v>7824</v>
      </c>
      <c r="B2424" s="47" t="s">
        <v>2439</v>
      </c>
      <c r="C2424" s="47" t="s">
        <v>7825</v>
      </c>
      <c r="D2424" s="47"/>
      <c r="E2424" s="64">
        <v>39959.482499999998</v>
      </c>
      <c r="F2424" s="64">
        <v>100000000</v>
      </c>
    </row>
    <row r="2425" spans="1:6" x14ac:dyDescent="0.25">
      <c r="A2425" s="47" t="s">
        <v>7826</v>
      </c>
      <c r="B2425" s="47" t="s">
        <v>2442</v>
      </c>
      <c r="C2425" s="47" t="s">
        <v>7827</v>
      </c>
      <c r="D2425" s="47"/>
      <c r="E2425" s="64">
        <v>39959.482499999998</v>
      </c>
      <c r="F2425" s="64">
        <v>100000000</v>
      </c>
    </row>
    <row r="2426" spans="1:6" x14ac:dyDescent="0.25">
      <c r="A2426" s="47" t="s">
        <v>7828</v>
      </c>
      <c r="B2426" s="47" t="s">
        <v>2445</v>
      </c>
      <c r="C2426" s="47" t="s">
        <v>7829</v>
      </c>
      <c r="D2426" s="47"/>
      <c r="E2426" s="64">
        <v>39959.482499999998</v>
      </c>
      <c r="F2426" s="64">
        <v>100000000</v>
      </c>
    </row>
    <row r="2427" spans="1:6" x14ac:dyDescent="0.25">
      <c r="A2427" s="47" t="s">
        <v>7830</v>
      </c>
      <c r="B2427" s="47" t="s">
        <v>2448</v>
      </c>
      <c r="C2427" s="47" t="s">
        <v>7831</v>
      </c>
      <c r="D2427" s="47"/>
      <c r="E2427" s="64">
        <v>39959.482499999998</v>
      </c>
      <c r="F2427" s="64">
        <v>100000000</v>
      </c>
    </row>
    <row r="2428" spans="1:6" x14ac:dyDescent="0.25">
      <c r="A2428" s="47" t="s">
        <v>7832</v>
      </c>
      <c r="B2428" s="47" t="s">
        <v>2451</v>
      </c>
      <c r="C2428" s="47" t="s">
        <v>7833</v>
      </c>
      <c r="D2428" s="47"/>
      <c r="E2428" s="64">
        <v>39959.482499999998</v>
      </c>
      <c r="F2428" s="64">
        <v>100000000</v>
      </c>
    </row>
    <row r="2429" spans="1:6" x14ac:dyDescent="0.25">
      <c r="A2429" s="47" t="s">
        <v>7834</v>
      </c>
      <c r="B2429" s="47" t="s">
        <v>2454</v>
      </c>
      <c r="C2429" s="47" t="s">
        <v>7835</v>
      </c>
      <c r="D2429" s="47"/>
      <c r="E2429" s="64">
        <v>39959.482499999998</v>
      </c>
      <c r="F2429" s="64">
        <v>100000000</v>
      </c>
    </row>
    <row r="2430" spans="1:6" x14ac:dyDescent="0.25">
      <c r="A2430" s="47" t="s">
        <v>7836</v>
      </c>
      <c r="B2430" s="47" t="s">
        <v>2457</v>
      </c>
      <c r="C2430" s="47" t="s">
        <v>7837</v>
      </c>
      <c r="D2430" s="47"/>
      <c r="E2430" s="64">
        <v>33587.89</v>
      </c>
      <c r="F2430" s="64">
        <v>100000000</v>
      </c>
    </row>
    <row r="2431" spans="1:6" x14ac:dyDescent="0.25">
      <c r="A2431" s="47" t="s">
        <v>7838</v>
      </c>
      <c r="B2431" s="47" t="s">
        <v>2460</v>
      </c>
      <c r="C2431" s="47" t="s">
        <v>7839</v>
      </c>
      <c r="D2431" s="47"/>
      <c r="E2431" s="64">
        <v>39959.482499999998</v>
      </c>
      <c r="F2431" s="64">
        <v>100000000</v>
      </c>
    </row>
    <row r="2432" spans="1:6" x14ac:dyDescent="0.25">
      <c r="A2432" s="47" t="s">
        <v>7840</v>
      </c>
      <c r="B2432" s="47" t="s">
        <v>2463</v>
      </c>
      <c r="C2432" s="47" t="s">
        <v>7841</v>
      </c>
      <c r="D2432" s="47"/>
      <c r="E2432" s="64">
        <v>39959.482499999998</v>
      </c>
      <c r="F2432" s="64">
        <v>100000000</v>
      </c>
    </row>
    <row r="2433" spans="1:6" x14ac:dyDescent="0.25">
      <c r="A2433" s="47" t="s">
        <v>7842</v>
      </c>
      <c r="B2433" s="47" t="s">
        <v>2469</v>
      </c>
      <c r="C2433" s="47" t="s">
        <v>7843</v>
      </c>
      <c r="D2433" s="47"/>
      <c r="E2433" s="64">
        <v>39959.482499999998</v>
      </c>
      <c r="F2433" s="64">
        <v>100000000</v>
      </c>
    </row>
    <row r="2434" spans="1:6" x14ac:dyDescent="0.25">
      <c r="A2434" s="47" t="s">
        <v>7844</v>
      </c>
      <c r="B2434" s="47" t="s">
        <v>2472</v>
      </c>
      <c r="C2434" s="47" t="s">
        <v>7845</v>
      </c>
      <c r="D2434" s="47"/>
      <c r="E2434" s="64">
        <v>49074.31</v>
      </c>
      <c r="F2434" s="64">
        <v>22</v>
      </c>
    </row>
    <row r="2435" spans="1:6" x14ac:dyDescent="0.25">
      <c r="A2435" s="47" t="s">
        <v>7846</v>
      </c>
      <c r="B2435" s="47" t="s">
        <v>2478</v>
      </c>
      <c r="C2435" s="47" t="s">
        <v>7847</v>
      </c>
      <c r="D2435" s="47"/>
      <c r="E2435" s="64">
        <v>39959.482499999998</v>
      </c>
      <c r="F2435" s="64">
        <v>100000000</v>
      </c>
    </row>
    <row r="2436" spans="1:6" x14ac:dyDescent="0.25">
      <c r="A2436" s="47" t="s">
        <v>7848</v>
      </c>
      <c r="B2436" s="47" t="s">
        <v>2501</v>
      </c>
      <c r="C2436" s="47" t="s">
        <v>7849</v>
      </c>
      <c r="D2436" s="47"/>
      <c r="E2436" s="64">
        <v>20070.43</v>
      </c>
      <c r="F2436" s="64">
        <v>22</v>
      </c>
    </row>
    <row r="2437" spans="1:6" x14ac:dyDescent="0.25">
      <c r="A2437" s="47" t="s">
        <v>7850</v>
      </c>
      <c r="B2437" s="47" t="s">
        <v>2504</v>
      </c>
      <c r="C2437" s="47" t="s">
        <v>7851</v>
      </c>
      <c r="D2437" s="47" t="s">
        <v>2506</v>
      </c>
      <c r="E2437" s="64">
        <v>234022.89499999996</v>
      </c>
      <c r="F2437" s="64">
        <v>285</v>
      </c>
    </row>
    <row r="2438" spans="1:6" x14ac:dyDescent="0.25">
      <c r="A2438" s="47" t="s">
        <v>7852</v>
      </c>
      <c r="B2438" s="47" t="s">
        <v>2508</v>
      </c>
      <c r="C2438" s="47" t="s">
        <v>7853</v>
      </c>
      <c r="D2438" s="47"/>
      <c r="E2438" s="64">
        <v>39959.482499999998</v>
      </c>
      <c r="F2438" s="64">
        <v>100000000</v>
      </c>
    </row>
    <row r="2439" spans="1:6" x14ac:dyDescent="0.25">
      <c r="A2439" s="47" t="s">
        <v>7854</v>
      </c>
      <c r="B2439" s="47" t="s">
        <v>2511</v>
      </c>
      <c r="C2439" s="47" t="s">
        <v>7855</v>
      </c>
      <c r="D2439" s="47"/>
      <c r="E2439" s="64">
        <v>39959.482499999998</v>
      </c>
      <c r="F2439" s="64">
        <v>100000000</v>
      </c>
    </row>
    <row r="2440" spans="1:6" x14ac:dyDescent="0.25">
      <c r="A2440" s="47" t="s">
        <v>7856</v>
      </c>
      <c r="B2440" s="47" t="s">
        <v>2517</v>
      </c>
      <c r="C2440" s="47" t="s">
        <v>7857</v>
      </c>
      <c r="D2440" s="47"/>
      <c r="E2440" s="64">
        <v>47554.513333333329</v>
      </c>
      <c r="F2440" s="64">
        <v>22</v>
      </c>
    </row>
    <row r="2441" spans="1:6" x14ac:dyDescent="0.25">
      <c r="A2441" s="47" t="s">
        <v>7858</v>
      </c>
      <c r="B2441" s="47" t="s">
        <v>2520</v>
      </c>
      <c r="C2441" s="47" t="s">
        <v>7859</v>
      </c>
      <c r="D2441" s="47"/>
      <c r="E2441" s="64">
        <v>46138.509999999995</v>
      </c>
      <c r="F2441" s="64">
        <v>22</v>
      </c>
    </row>
    <row r="2442" spans="1:6" x14ac:dyDescent="0.25">
      <c r="A2442" s="47" t="s">
        <v>7860</v>
      </c>
      <c r="B2442" s="47" t="s">
        <v>2530</v>
      </c>
      <c r="C2442" s="47" t="s">
        <v>7861</v>
      </c>
      <c r="D2442" s="47"/>
      <c r="E2442" s="64">
        <v>52454.75</v>
      </c>
      <c r="F2442" s="64">
        <v>22</v>
      </c>
    </row>
    <row r="2443" spans="1:6" x14ac:dyDescent="0.25">
      <c r="A2443" s="47" t="s">
        <v>7862</v>
      </c>
      <c r="B2443" s="47" t="s">
        <v>2536</v>
      </c>
      <c r="C2443" s="47" t="s">
        <v>7863</v>
      </c>
      <c r="D2443" s="47" t="s">
        <v>152</v>
      </c>
      <c r="E2443" s="64">
        <v>78330.794999999998</v>
      </c>
      <c r="F2443" s="64">
        <v>7.5465</v>
      </c>
    </row>
    <row r="2444" spans="1:6" x14ac:dyDescent="0.25">
      <c r="A2444" s="47" t="s">
        <v>7864</v>
      </c>
      <c r="B2444" s="47" t="s">
        <v>2543</v>
      </c>
      <c r="C2444" s="47" t="s">
        <v>7865</v>
      </c>
      <c r="D2444" s="47"/>
      <c r="E2444" s="64">
        <v>46233.58</v>
      </c>
      <c r="F2444" s="64">
        <v>100000000</v>
      </c>
    </row>
    <row r="2445" spans="1:6" x14ac:dyDescent="0.25">
      <c r="A2445" s="47" t="s">
        <v>7866</v>
      </c>
      <c r="B2445" s="47" t="s">
        <v>2550</v>
      </c>
      <c r="C2445" s="47" t="s">
        <v>7867</v>
      </c>
      <c r="D2445" s="47"/>
      <c r="E2445" s="64">
        <v>46233.58</v>
      </c>
      <c r="F2445" s="64">
        <v>22</v>
      </c>
    </row>
    <row r="2446" spans="1:6" x14ac:dyDescent="0.25">
      <c r="A2446" s="47" t="s">
        <v>7868</v>
      </c>
      <c r="B2446" s="47" t="s">
        <v>2559</v>
      </c>
      <c r="C2446" s="47" t="s">
        <v>7869</v>
      </c>
      <c r="D2446" s="47"/>
      <c r="E2446" s="64">
        <v>39959.482499999998</v>
      </c>
      <c r="F2446" s="64">
        <v>100000000</v>
      </c>
    </row>
    <row r="2447" spans="1:6" x14ac:dyDescent="0.25">
      <c r="A2447" s="47" t="s">
        <v>7870</v>
      </c>
      <c r="B2447" s="47" t="s">
        <v>2562</v>
      </c>
      <c r="C2447" s="47" t="s">
        <v>7871</v>
      </c>
      <c r="D2447" s="47"/>
      <c r="E2447" s="64">
        <v>39959.482499999998</v>
      </c>
      <c r="F2447" s="64">
        <v>100000000</v>
      </c>
    </row>
    <row r="2448" spans="1:6" x14ac:dyDescent="0.25">
      <c r="A2448" s="47" t="s">
        <v>7872</v>
      </c>
      <c r="B2448" s="47" t="s">
        <v>2565</v>
      </c>
      <c r="C2448" s="47" t="s">
        <v>7873</v>
      </c>
      <c r="D2448" s="47"/>
      <c r="E2448" s="64">
        <v>39959.482499999998</v>
      </c>
      <c r="F2448" s="64">
        <v>100000000</v>
      </c>
    </row>
    <row r="2449" spans="1:6" x14ac:dyDescent="0.25">
      <c r="A2449" s="47" t="s">
        <v>7874</v>
      </c>
      <c r="B2449" s="47" t="s">
        <v>2568</v>
      </c>
      <c r="C2449" s="47" t="s">
        <v>7875</v>
      </c>
      <c r="D2449" s="47"/>
      <c r="E2449" s="64">
        <v>39959.482499999998</v>
      </c>
      <c r="F2449" s="64">
        <v>100000000</v>
      </c>
    </row>
    <row r="2450" spans="1:6" x14ac:dyDescent="0.25">
      <c r="A2450" s="47" t="s">
        <v>7876</v>
      </c>
      <c r="B2450" s="47" t="s">
        <v>2571</v>
      </c>
      <c r="C2450" s="47" t="s">
        <v>7877</v>
      </c>
      <c r="D2450" s="47"/>
      <c r="E2450" s="64">
        <v>39959.482499999998</v>
      </c>
      <c r="F2450" s="64">
        <v>100000000</v>
      </c>
    </row>
    <row r="2451" spans="1:6" x14ac:dyDescent="0.25">
      <c r="A2451" s="47" t="s">
        <v>7878</v>
      </c>
      <c r="B2451" s="47" t="s">
        <v>2574</v>
      </c>
      <c r="C2451" s="47" t="s">
        <v>7879</v>
      </c>
      <c r="D2451" s="47"/>
      <c r="E2451" s="64">
        <v>39959.482499999998</v>
      </c>
      <c r="F2451" s="64">
        <v>100000000</v>
      </c>
    </row>
    <row r="2452" spans="1:6" x14ac:dyDescent="0.25">
      <c r="A2452" s="47" t="s">
        <v>7880</v>
      </c>
      <c r="B2452" s="47" t="s">
        <v>2577</v>
      </c>
      <c r="C2452" s="47" t="s">
        <v>7881</v>
      </c>
      <c r="D2452" s="47"/>
      <c r="E2452" s="64">
        <v>39959.482499999998</v>
      </c>
      <c r="F2452" s="64">
        <v>100000000</v>
      </c>
    </row>
    <row r="2453" spans="1:6" x14ac:dyDescent="0.25">
      <c r="A2453" s="47" t="s">
        <v>7882</v>
      </c>
      <c r="B2453" s="47" t="s">
        <v>2580</v>
      </c>
      <c r="C2453" s="47" t="s">
        <v>7883</v>
      </c>
      <c r="D2453" s="47" t="s">
        <v>152</v>
      </c>
      <c r="E2453" s="64">
        <v>78330.794999999998</v>
      </c>
      <c r="F2453" s="64">
        <v>7.5465</v>
      </c>
    </row>
    <row r="2454" spans="1:6" x14ac:dyDescent="0.25">
      <c r="A2454" s="47" t="s">
        <v>7884</v>
      </c>
      <c r="B2454" s="47" t="s">
        <v>2612</v>
      </c>
      <c r="C2454" s="47" t="s">
        <v>7885</v>
      </c>
      <c r="D2454" s="47"/>
      <c r="E2454" s="64">
        <v>47543.700000000004</v>
      </c>
      <c r="F2454" s="64">
        <v>22</v>
      </c>
    </row>
    <row r="2455" spans="1:6" x14ac:dyDescent="0.25">
      <c r="A2455" s="47" t="s">
        <v>7886</v>
      </c>
      <c r="B2455" s="47" t="s">
        <v>2630</v>
      </c>
      <c r="C2455" s="47" t="s">
        <v>7887</v>
      </c>
      <c r="D2455" s="47"/>
      <c r="E2455" s="64">
        <v>46138.509999999995</v>
      </c>
      <c r="F2455" s="64">
        <v>22</v>
      </c>
    </row>
    <row r="2456" spans="1:6" x14ac:dyDescent="0.25">
      <c r="A2456" s="47" t="s">
        <v>7888</v>
      </c>
      <c r="B2456" s="47" t="s">
        <v>2640</v>
      </c>
      <c r="C2456" s="47" t="s">
        <v>7889</v>
      </c>
      <c r="D2456" s="47"/>
      <c r="E2456" s="64">
        <v>33668.410000000003</v>
      </c>
      <c r="F2456" s="64">
        <v>22</v>
      </c>
    </row>
    <row r="2457" spans="1:6" x14ac:dyDescent="0.25">
      <c r="A2457" s="47" t="s">
        <v>7890</v>
      </c>
      <c r="B2457" s="47" t="s">
        <v>2643</v>
      </c>
      <c r="C2457" s="47" t="s">
        <v>7891</v>
      </c>
      <c r="D2457" s="47"/>
      <c r="E2457" s="64">
        <v>39959.482499999998</v>
      </c>
      <c r="F2457" s="64">
        <v>100000000</v>
      </c>
    </row>
    <row r="2458" spans="1:6" x14ac:dyDescent="0.25">
      <c r="A2458" s="47" t="s">
        <v>7892</v>
      </c>
      <c r="B2458" s="47" t="s">
        <v>2664</v>
      </c>
      <c r="C2458" s="47" t="s">
        <v>7893</v>
      </c>
      <c r="D2458" s="47"/>
      <c r="E2458" s="64">
        <v>39959.482499999998</v>
      </c>
      <c r="F2458" s="64">
        <v>100000000</v>
      </c>
    </row>
    <row r="2459" spans="1:6" x14ac:dyDescent="0.25">
      <c r="A2459" s="47" t="s">
        <v>7894</v>
      </c>
      <c r="B2459" s="47" t="s">
        <v>2667</v>
      </c>
      <c r="C2459" s="47" t="s">
        <v>7895</v>
      </c>
      <c r="D2459" s="47"/>
      <c r="E2459" s="64">
        <v>39959.482499999998</v>
      </c>
      <c r="F2459" s="64">
        <v>100000000</v>
      </c>
    </row>
    <row r="2460" spans="1:6" x14ac:dyDescent="0.25">
      <c r="A2460" s="47" t="s">
        <v>7896</v>
      </c>
      <c r="B2460" s="47" t="s">
        <v>2685</v>
      </c>
      <c r="C2460" s="47" t="s">
        <v>7897</v>
      </c>
      <c r="D2460" s="47" t="s">
        <v>2687</v>
      </c>
      <c r="E2460" s="64">
        <v>30613.19</v>
      </c>
      <c r="F2460" s="64">
        <v>243</v>
      </c>
    </row>
    <row r="2461" spans="1:6" x14ac:dyDescent="0.25">
      <c r="A2461" s="47" t="s">
        <v>7898</v>
      </c>
      <c r="B2461" s="47" t="s">
        <v>2692</v>
      </c>
      <c r="C2461" s="47" t="s">
        <v>7899</v>
      </c>
      <c r="D2461" s="47"/>
      <c r="E2461" s="64">
        <v>39959.482499999998</v>
      </c>
      <c r="F2461" s="64">
        <v>100000000</v>
      </c>
    </row>
    <row r="2462" spans="1:6" x14ac:dyDescent="0.25">
      <c r="A2462" s="47" t="s">
        <v>7900</v>
      </c>
      <c r="B2462" s="47" t="s">
        <v>2695</v>
      </c>
      <c r="C2462" s="47" t="s">
        <v>7901</v>
      </c>
      <c r="D2462" s="47"/>
      <c r="E2462" s="64">
        <v>39959.482499999998</v>
      </c>
      <c r="F2462" s="64">
        <v>100000000</v>
      </c>
    </row>
    <row r="2463" spans="1:6" x14ac:dyDescent="0.25">
      <c r="A2463" s="47" t="s">
        <v>7902</v>
      </c>
      <c r="B2463" s="47" t="s">
        <v>2698</v>
      </c>
      <c r="C2463" s="47" t="s">
        <v>7903</v>
      </c>
      <c r="D2463" s="47"/>
      <c r="E2463" s="64">
        <v>39959.482499999998</v>
      </c>
      <c r="F2463" s="64">
        <v>100000000</v>
      </c>
    </row>
    <row r="2464" spans="1:6" x14ac:dyDescent="0.25">
      <c r="A2464" s="47" t="s">
        <v>7904</v>
      </c>
      <c r="B2464" s="47" t="s">
        <v>2701</v>
      </c>
      <c r="C2464" s="47" t="s">
        <v>7905</v>
      </c>
      <c r="D2464" s="47"/>
      <c r="E2464" s="64">
        <v>39959.482499999998</v>
      </c>
      <c r="F2464" s="64">
        <v>100000000</v>
      </c>
    </row>
    <row r="2465" spans="1:6" x14ac:dyDescent="0.25">
      <c r="A2465" s="47" t="s">
        <v>7906</v>
      </c>
      <c r="B2465" s="47" t="s">
        <v>2704</v>
      </c>
      <c r="C2465" s="47" t="s">
        <v>7907</v>
      </c>
      <c r="D2465" s="47"/>
      <c r="E2465" s="64">
        <v>39959.482499999998</v>
      </c>
      <c r="F2465" s="64">
        <v>100000000</v>
      </c>
    </row>
    <row r="2466" spans="1:6" x14ac:dyDescent="0.25">
      <c r="A2466" s="47" t="s">
        <v>7908</v>
      </c>
      <c r="B2466" s="47" t="s">
        <v>2707</v>
      </c>
      <c r="C2466" s="47" t="s">
        <v>7909</v>
      </c>
      <c r="D2466" s="47"/>
      <c r="E2466" s="64">
        <v>39959.482499999998</v>
      </c>
      <c r="F2466" s="64">
        <v>100000000</v>
      </c>
    </row>
    <row r="2467" spans="1:6" x14ac:dyDescent="0.25">
      <c r="A2467" s="47" t="s">
        <v>7910</v>
      </c>
      <c r="B2467" s="47" t="s">
        <v>2710</v>
      </c>
      <c r="C2467" s="47" t="s">
        <v>7911</v>
      </c>
      <c r="D2467" s="47"/>
      <c r="E2467" s="64">
        <v>39959.482499999998</v>
      </c>
      <c r="F2467" s="64">
        <v>100000000</v>
      </c>
    </row>
    <row r="2468" spans="1:6" x14ac:dyDescent="0.25">
      <c r="A2468" s="47" t="s">
        <v>7912</v>
      </c>
      <c r="B2468" s="47" t="s">
        <v>2713</v>
      </c>
      <c r="C2468" s="47" t="s">
        <v>7913</v>
      </c>
      <c r="D2468" s="47"/>
      <c r="E2468" s="64">
        <v>39959.482499999998</v>
      </c>
      <c r="F2468" s="64">
        <v>100000000</v>
      </c>
    </row>
    <row r="2469" spans="1:6" x14ac:dyDescent="0.25">
      <c r="A2469" s="47" t="s">
        <v>7914</v>
      </c>
      <c r="B2469" s="47" t="s">
        <v>2716</v>
      </c>
      <c r="C2469" s="47" t="s">
        <v>7915</v>
      </c>
      <c r="D2469" s="47"/>
      <c r="E2469" s="64">
        <v>39959.482499999998</v>
      </c>
      <c r="F2469" s="64">
        <v>100000000</v>
      </c>
    </row>
    <row r="2470" spans="1:6" x14ac:dyDescent="0.25">
      <c r="A2470" s="47" t="s">
        <v>7916</v>
      </c>
      <c r="B2470" s="47" t="s">
        <v>2719</v>
      </c>
      <c r="C2470" s="47" t="s">
        <v>7917</v>
      </c>
      <c r="D2470" s="47"/>
      <c r="E2470" s="64">
        <v>39959.482499999998</v>
      </c>
      <c r="F2470" s="64">
        <v>100000000</v>
      </c>
    </row>
    <row r="2471" spans="1:6" x14ac:dyDescent="0.25">
      <c r="A2471" s="47" t="s">
        <v>7918</v>
      </c>
      <c r="B2471" s="47" t="s">
        <v>2722</v>
      </c>
      <c r="C2471" s="47" t="s">
        <v>7919</v>
      </c>
      <c r="D2471" s="47"/>
      <c r="E2471" s="64">
        <v>39959.482499999998</v>
      </c>
      <c r="F2471" s="64">
        <v>100000000</v>
      </c>
    </row>
    <row r="2472" spans="1:6" x14ac:dyDescent="0.25">
      <c r="A2472" s="47" t="s">
        <v>7920</v>
      </c>
      <c r="B2472" s="47" t="s">
        <v>2725</v>
      </c>
      <c r="C2472" s="47" t="s">
        <v>7921</v>
      </c>
      <c r="D2472" s="47"/>
      <c r="E2472" s="64">
        <v>39959.482499999998</v>
      </c>
      <c r="F2472" s="64">
        <v>100000000</v>
      </c>
    </row>
    <row r="2473" spans="1:6" x14ac:dyDescent="0.25">
      <c r="A2473" s="47" t="s">
        <v>7922</v>
      </c>
      <c r="B2473" s="47" t="s">
        <v>2728</v>
      </c>
      <c r="C2473" s="47" t="s">
        <v>7923</v>
      </c>
      <c r="D2473" s="47"/>
      <c r="E2473" s="64">
        <v>39959.482499999998</v>
      </c>
      <c r="F2473" s="64">
        <v>100000000</v>
      </c>
    </row>
    <row r="2474" spans="1:6" x14ac:dyDescent="0.25">
      <c r="A2474" s="47" t="s">
        <v>7924</v>
      </c>
      <c r="B2474" s="47" t="s">
        <v>2731</v>
      </c>
      <c r="C2474" s="47" t="s">
        <v>7925</v>
      </c>
      <c r="D2474" s="47"/>
      <c r="E2474" s="64">
        <v>39959.482499999998</v>
      </c>
      <c r="F2474" s="64">
        <v>100000000</v>
      </c>
    </row>
    <row r="2475" spans="1:6" x14ac:dyDescent="0.25">
      <c r="A2475" s="47" t="s">
        <v>7926</v>
      </c>
      <c r="B2475" s="47" t="s">
        <v>2734</v>
      </c>
      <c r="C2475" s="47" t="s">
        <v>7927</v>
      </c>
      <c r="D2475" s="47"/>
      <c r="E2475" s="64">
        <v>39959.482499999998</v>
      </c>
      <c r="F2475" s="64">
        <v>100000000</v>
      </c>
    </row>
    <row r="2476" spans="1:6" x14ac:dyDescent="0.25">
      <c r="A2476" s="47" t="s">
        <v>7928</v>
      </c>
      <c r="B2476" s="47" t="s">
        <v>2740</v>
      </c>
      <c r="C2476" s="47" t="s">
        <v>7929</v>
      </c>
      <c r="D2476" s="47"/>
      <c r="E2476" s="64">
        <v>39959.482499999998</v>
      </c>
      <c r="F2476" s="64">
        <v>100000000</v>
      </c>
    </row>
    <row r="2477" spans="1:6" x14ac:dyDescent="0.25">
      <c r="A2477" s="47" t="s">
        <v>7930</v>
      </c>
      <c r="B2477" s="47" t="s">
        <v>2743</v>
      </c>
      <c r="C2477" s="47" t="s">
        <v>7931</v>
      </c>
      <c r="D2477" s="47"/>
      <c r="E2477" s="64">
        <v>39959.482499999998</v>
      </c>
      <c r="F2477" s="64">
        <v>100000000</v>
      </c>
    </row>
    <row r="2478" spans="1:6" x14ac:dyDescent="0.25">
      <c r="A2478" s="47" t="s">
        <v>7932</v>
      </c>
      <c r="B2478" s="47" t="s">
        <v>2746</v>
      </c>
      <c r="C2478" s="47" t="s">
        <v>7933</v>
      </c>
      <c r="D2478" s="47"/>
      <c r="E2478" s="64">
        <v>39959.482499999998</v>
      </c>
      <c r="F2478" s="64">
        <v>100000000</v>
      </c>
    </row>
    <row r="2479" spans="1:6" x14ac:dyDescent="0.25">
      <c r="A2479" s="47" t="s">
        <v>7934</v>
      </c>
      <c r="B2479" s="47" t="s">
        <v>2749</v>
      </c>
      <c r="C2479" s="47" t="s">
        <v>7935</v>
      </c>
      <c r="D2479" s="47"/>
      <c r="E2479" s="64">
        <v>39959.482499999998</v>
      </c>
      <c r="F2479" s="64">
        <v>100000000</v>
      </c>
    </row>
    <row r="2480" spans="1:6" x14ac:dyDescent="0.25">
      <c r="A2480" s="47" t="s">
        <v>7936</v>
      </c>
      <c r="B2480" s="47" t="s">
        <v>2752</v>
      </c>
      <c r="C2480" s="47" t="s">
        <v>7937</v>
      </c>
      <c r="D2480" s="47"/>
      <c r="E2480" s="64">
        <v>39959.482499999998</v>
      </c>
      <c r="F2480" s="64">
        <v>100000000</v>
      </c>
    </row>
    <row r="2481" spans="1:6" x14ac:dyDescent="0.25">
      <c r="A2481" s="47" t="s">
        <v>7938</v>
      </c>
      <c r="B2481" s="47" t="s">
        <v>2755</v>
      </c>
      <c r="C2481" s="47" t="s">
        <v>7939</v>
      </c>
      <c r="D2481" s="47"/>
      <c r="E2481" s="64">
        <v>39959.482499999998</v>
      </c>
      <c r="F2481" s="64">
        <v>100000000</v>
      </c>
    </row>
    <row r="2482" spans="1:6" x14ac:dyDescent="0.25">
      <c r="A2482" s="47" t="s">
        <v>7940</v>
      </c>
      <c r="B2482" s="47" t="s">
        <v>2767</v>
      </c>
      <c r="C2482" s="47" t="s">
        <v>7941</v>
      </c>
      <c r="D2482" s="47"/>
      <c r="E2482" s="64">
        <v>39959.482499999998</v>
      </c>
      <c r="F2482" s="64">
        <v>100000000</v>
      </c>
    </row>
    <row r="2483" spans="1:6" x14ac:dyDescent="0.25">
      <c r="A2483" s="47" t="s">
        <v>7942</v>
      </c>
      <c r="B2483" s="47" t="s">
        <v>2770</v>
      </c>
      <c r="C2483" s="47" t="s">
        <v>7943</v>
      </c>
      <c r="D2483" s="47"/>
      <c r="E2483" s="64">
        <v>39959.482499999998</v>
      </c>
      <c r="F2483" s="64">
        <v>100000000</v>
      </c>
    </row>
    <row r="2484" spans="1:6" x14ac:dyDescent="0.25">
      <c r="A2484" s="47" t="s">
        <v>7944</v>
      </c>
      <c r="B2484" s="47" t="s">
        <v>2773</v>
      </c>
      <c r="C2484" s="47" t="s">
        <v>7945</v>
      </c>
      <c r="D2484" s="47"/>
      <c r="E2484" s="64">
        <v>39959.482499999998</v>
      </c>
      <c r="F2484" s="64">
        <v>100000000</v>
      </c>
    </row>
    <row r="2485" spans="1:6" x14ac:dyDescent="0.25">
      <c r="A2485" s="47" t="s">
        <v>7946</v>
      </c>
      <c r="B2485" s="47" t="s">
        <v>2776</v>
      </c>
      <c r="C2485" s="47" t="s">
        <v>7947</v>
      </c>
      <c r="D2485" s="47"/>
      <c r="E2485" s="64">
        <v>39959.482499999998</v>
      </c>
      <c r="F2485" s="64">
        <v>100000000</v>
      </c>
    </row>
    <row r="2486" spans="1:6" x14ac:dyDescent="0.25">
      <c r="A2486" s="47" t="s">
        <v>7948</v>
      </c>
      <c r="B2486" s="47" t="s">
        <v>2783</v>
      </c>
      <c r="C2486" s="47" t="s">
        <v>7949</v>
      </c>
      <c r="D2486" s="47"/>
      <c r="E2486" s="64">
        <v>39959.482499999998</v>
      </c>
      <c r="F2486" s="64">
        <v>100000000</v>
      </c>
    </row>
    <row r="2487" spans="1:6" x14ac:dyDescent="0.25">
      <c r="A2487" s="47" t="s">
        <v>7950</v>
      </c>
      <c r="B2487" s="47" t="s">
        <v>2786</v>
      </c>
      <c r="C2487" s="47" t="s">
        <v>7951</v>
      </c>
      <c r="D2487" s="47"/>
      <c r="E2487" s="64">
        <v>39959.482499999998</v>
      </c>
      <c r="F2487" s="64">
        <v>100000000</v>
      </c>
    </row>
    <row r="2488" spans="1:6" x14ac:dyDescent="0.25">
      <c r="A2488" s="47" t="s">
        <v>7952</v>
      </c>
      <c r="B2488" s="47" t="s">
        <v>2789</v>
      </c>
      <c r="C2488" s="47" t="s">
        <v>7953</v>
      </c>
      <c r="D2488" s="47"/>
      <c r="E2488" s="64">
        <v>39959.482499999998</v>
      </c>
      <c r="F2488" s="64">
        <v>100000000</v>
      </c>
    </row>
    <row r="2489" spans="1:6" x14ac:dyDescent="0.25">
      <c r="A2489" s="47" t="s">
        <v>7954</v>
      </c>
      <c r="B2489" s="47" t="s">
        <v>2792</v>
      </c>
      <c r="C2489" s="47" t="s">
        <v>7955</v>
      </c>
      <c r="D2489" s="47"/>
      <c r="E2489" s="64">
        <v>39959.482499999998</v>
      </c>
      <c r="F2489" s="64">
        <v>100000000</v>
      </c>
    </row>
    <row r="2490" spans="1:6" x14ac:dyDescent="0.25">
      <c r="A2490" s="47" t="s">
        <v>7956</v>
      </c>
      <c r="B2490" s="47" t="s">
        <v>2795</v>
      </c>
      <c r="C2490" s="47" t="s">
        <v>7957</v>
      </c>
      <c r="D2490" s="47"/>
      <c r="E2490" s="64">
        <v>39959.482499999998</v>
      </c>
      <c r="F2490" s="64">
        <v>100000000</v>
      </c>
    </row>
    <row r="2491" spans="1:6" x14ac:dyDescent="0.25">
      <c r="A2491" s="47" t="s">
        <v>7958</v>
      </c>
      <c r="B2491" s="47" t="s">
        <v>2798</v>
      </c>
      <c r="C2491" s="47" t="s">
        <v>7959</v>
      </c>
      <c r="D2491" s="47"/>
      <c r="E2491" s="64">
        <v>39959.482499999998</v>
      </c>
      <c r="F2491" s="64">
        <v>100000000</v>
      </c>
    </row>
    <row r="2492" spans="1:6" x14ac:dyDescent="0.25">
      <c r="A2492" s="47" t="s">
        <v>7960</v>
      </c>
      <c r="B2492" s="47" t="s">
        <v>2801</v>
      </c>
      <c r="C2492" s="47" t="s">
        <v>7961</v>
      </c>
      <c r="D2492" s="47"/>
      <c r="E2492" s="64">
        <v>39959.482499999998</v>
      </c>
      <c r="F2492" s="64">
        <v>100000000</v>
      </c>
    </row>
    <row r="2493" spans="1:6" x14ac:dyDescent="0.25">
      <c r="A2493" s="47" t="s">
        <v>7962</v>
      </c>
      <c r="B2493" s="47" t="s">
        <v>2804</v>
      </c>
      <c r="C2493" s="47" t="s">
        <v>7963</v>
      </c>
      <c r="D2493" s="47"/>
      <c r="E2493" s="64">
        <v>33587.89</v>
      </c>
      <c r="F2493" s="64">
        <v>100000000</v>
      </c>
    </row>
    <row r="2494" spans="1:6" x14ac:dyDescent="0.25">
      <c r="A2494" s="47" t="s">
        <v>7964</v>
      </c>
      <c r="B2494" s="47" t="s">
        <v>2807</v>
      </c>
      <c r="C2494" s="47" t="s">
        <v>7965</v>
      </c>
      <c r="D2494" s="47"/>
      <c r="E2494" s="64">
        <v>39959.482499999998</v>
      </c>
      <c r="F2494" s="64">
        <v>100000000</v>
      </c>
    </row>
    <row r="2495" spans="1:6" x14ac:dyDescent="0.25">
      <c r="A2495" s="47" t="s">
        <v>7966</v>
      </c>
      <c r="B2495" s="47" t="s">
        <v>2824</v>
      </c>
      <c r="C2495" s="47" t="s">
        <v>7967</v>
      </c>
      <c r="D2495" s="47"/>
      <c r="E2495" s="64">
        <v>39959.482499999998</v>
      </c>
      <c r="F2495" s="64">
        <v>100000000</v>
      </c>
    </row>
    <row r="2496" spans="1:6" x14ac:dyDescent="0.25">
      <c r="A2496" s="47" t="s">
        <v>7968</v>
      </c>
      <c r="B2496" s="47" t="s">
        <v>2827</v>
      </c>
      <c r="C2496" s="47" t="s">
        <v>7969</v>
      </c>
      <c r="D2496" s="47"/>
      <c r="E2496" s="64">
        <v>39959.482499999998</v>
      </c>
      <c r="F2496" s="64">
        <v>100000000</v>
      </c>
    </row>
    <row r="2497" spans="1:6" x14ac:dyDescent="0.25">
      <c r="A2497" s="47" t="s">
        <v>7970</v>
      </c>
      <c r="B2497" s="47" t="s">
        <v>2830</v>
      </c>
      <c r="C2497" s="47" t="s">
        <v>7971</v>
      </c>
      <c r="D2497" s="47"/>
      <c r="E2497" s="64">
        <v>39959.482499999998</v>
      </c>
      <c r="F2497" s="64">
        <v>100000000</v>
      </c>
    </row>
    <row r="2498" spans="1:6" x14ac:dyDescent="0.25">
      <c r="A2498" s="47" t="s">
        <v>7972</v>
      </c>
      <c r="B2498" s="47" t="s">
        <v>2833</v>
      </c>
      <c r="C2498" s="47" t="s">
        <v>7973</v>
      </c>
      <c r="D2498" s="47"/>
      <c r="E2498" s="64">
        <v>39959.482499999998</v>
      </c>
      <c r="F2498" s="64">
        <v>100000000</v>
      </c>
    </row>
    <row r="2499" spans="1:6" x14ac:dyDescent="0.25">
      <c r="A2499" s="47" t="s">
        <v>7974</v>
      </c>
      <c r="B2499" s="47" t="s">
        <v>2836</v>
      </c>
      <c r="C2499" s="47" t="s">
        <v>7975</v>
      </c>
      <c r="D2499" s="47"/>
      <c r="E2499" s="64">
        <v>39959.482499999998</v>
      </c>
      <c r="F2499" s="64">
        <v>100000000</v>
      </c>
    </row>
    <row r="2500" spans="1:6" x14ac:dyDescent="0.25">
      <c r="A2500" s="47" t="s">
        <v>7976</v>
      </c>
      <c r="B2500" s="47" t="s">
        <v>2839</v>
      </c>
      <c r="C2500" s="47" t="s">
        <v>7977</v>
      </c>
      <c r="D2500" s="47"/>
      <c r="E2500" s="64">
        <v>39959.482499999998</v>
      </c>
      <c r="F2500" s="64">
        <v>100000000</v>
      </c>
    </row>
    <row r="2501" spans="1:6" x14ac:dyDescent="0.25">
      <c r="A2501" s="47" t="s">
        <v>7978</v>
      </c>
      <c r="B2501" s="47" t="s">
        <v>2842</v>
      </c>
      <c r="C2501" s="47" t="s">
        <v>7979</v>
      </c>
      <c r="D2501" s="47"/>
      <c r="E2501" s="64">
        <v>39959.482499999998</v>
      </c>
      <c r="F2501" s="64">
        <v>100000000</v>
      </c>
    </row>
    <row r="2502" spans="1:6" x14ac:dyDescent="0.25">
      <c r="A2502" s="47" t="s">
        <v>7980</v>
      </c>
      <c r="B2502" s="47" t="s">
        <v>2845</v>
      </c>
      <c r="C2502" s="47" t="s">
        <v>7981</v>
      </c>
      <c r="D2502" s="47"/>
      <c r="E2502" s="64">
        <v>39959.482499999998</v>
      </c>
      <c r="F2502" s="64">
        <v>100000000</v>
      </c>
    </row>
    <row r="2503" spans="1:6" x14ac:dyDescent="0.25">
      <c r="A2503" s="47" t="s">
        <v>7982</v>
      </c>
      <c r="B2503" s="47" t="s">
        <v>2848</v>
      </c>
      <c r="C2503" s="47" t="s">
        <v>7983</v>
      </c>
      <c r="D2503" s="47"/>
      <c r="E2503" s="64">
        <v>33587.89</v>
      </c>
      <c r="F2503" s="64">
        <v>100000000</v>
      </c>
    </row>
    <row r="2504" spans="1:6" x14ac:dyDescent="0.25">
      <c r="A2504" s="47" t="s">
        <v>7984</v>
      </c>
      <c r="B2504" s="47" t="s">
        <v>2851</v>
      </c>
      <c r="C2504" s="47" t="s">
        <v>7985</v>
      </c>
      <c r="D2504" s="47"/>
      <c r="E2504" s="64">
        <v>39959.482499999998</v>
      </c>
      <c r="F2504" s="64">
        <v>100000000</v>
      </c>
    </row>
    <row r="2505" spans="1:6" x14ac:dyDescent="0.25">
      <c r="A2505" s="47" t="s">
        <v>7986</v>
      </c>
      <c r="B2505" s="47" t="s">
        <v>2854</v>
      </c>
      <c r="C2505" s="47" t="s">
        <v>7987</v>
      </c>
      <c r="D2505" s="47"/>
      <c r="E2505" s="64">
        <v>39959.482499999998</v>
      </c>
      <c r="F2505" s="64">
        <v>100000000</v>
      </c>
    </row>
    <row r="2506" spans="1:6" x14ac:dyDescent="0.25">
      <c r="A2506" s="47" t="s">
        <v>7988</v>
      </c>
      <c r="B2506" s="47" t="s">
        <v>2857</v>
      </c>
      <c r="C2506" s="47" t="s">
        <v>7989</v>
      </c>
      <c r="D2506" s="47"/>
      <c r="E2506" s="64">
        <v>39959.482499999998</v>
      </c>
      <c r="F2506" s="64">
        <v>100000000</v>
      </c>
    </row>
    <row r="2507" spans="1:6" x14ac:dyDescent="0.25">
      <c r="A2507" s="47" t="s">
        <v>7990</v>
      </c>
      <c r="B2507" s="47" t="s">
        <v>2860</v>
      </c>
      <c r="C2507" s="47" t="s">
        <v>7991</v>
      </c>
      <c r="D2507" s="47" t="s">
        <v>2245</v>
      </c>
      <c r="E2507" s="64">
        <v>43702.130000000005</v>
      </c>
      <c r="F2507" s="64">
        <v>14.8</v>
      </c>
    </row>
    <row r="2508" spans="1:6" x14ac:dyDescent="0.25">
      <c r="A2508" s="47" t="s">
        <v>7992</v>
      </c>
      <c r="B2508" s="47" t="s">
        <v>2867</v>
      </c>
      <c r="C2508" s="47" t="s">
        <v>7993</v>
      </c>
      <c r="D2508" s="47"/>
      <c r="E2508" s="64">
        <v>39959.482499999998</v>
      </c>
      <c r="F2508" s="64">
        <v>100000000</v>
      </c>
    </row>
    <row r="2509" spans="1:6" x14ac:dyDescent="0.25">
      <c r="A2509" s="47" t="s">
        <v>7994</v>
      </c>
      <c r="B2509" s="47" t="s">
        <v>2870</v>
      </c>
      <c r="C2509" s="47" t="s">
        <v>7995</v>
      </c>
      <c r="D2509" s="47"/>
      <c r="E2509" s="64">
        <v>39959.482499999998</v>
      </c>
      <c r="F2509" s="64">
        <v>100000000</v>
      </c>
    </row>
    <row r="2510" spans="1:6" x14ac:dyDescent="0.25">
      <c r="A2510" s="47" t="s">
        <v>7996</v>
      </c>
      <c r="B2510" s="47" t="s">
        <v>2873</v>
      </c>
      <c r="C2510" s="47" t="s">
        <v>7997</v>
      </c>
      <c r="D2510" s="47"/>
      <c r="E2510" s="64">
        <v>39959.482499999998</v>
      </c>
      <c r="F2510" s="64">
        <v>100000000</v>
      </c>
    </row>
    <row r="2511" spans="1:6" x14ac:dyDescent="0.25">
      <c r="A2511" s="47" t="s">
        <v>7998</v>
      </c>
      <c r="B2511" s="47" t="s">
        <v>2880</v>
      </c>
      <c r="C2511" s="47" t="s">
        <v>7999</v>
      </c>
      <c r="D2511" s="47" t="s">
        <v>2882</v>
      </c>
      <c r="E2511" s="64">
        <v>31042.839999999997</v>
      </c>
      <c r="F2511" s="64">
        <v>134</v>
      </c>
    </row>
    <row r="2512" spans="1:6" x14ac:dyDescent="0.25">
      <c r="A2512" s="47" t="s">
        <v>8000</v>
      </c>
      <c r="B2512" s="47" t="s">
        <v>2884</v>
      </c>
      <c r="C2512" s="47" t="s">
        <v>8001</v>
      </c>
      <c r="D2512" s="47" t="s">
        <v>2886</v>
      </c>
      <c r="E2512" s="64">
        <v>31042.839999999997</v>
      </c>
      <c r="F2512" s="64">
        <v>14</v>
      </c>
    </row>
    <row r="2513" spans="1:6" x14ac:dyDescent="0.25">
      <c r="A2513" s="47" t="s">
        <v>8002</v>
      </c>
      <c r="B2513" s="47" t="s">
        <v>2888</v>
      </c>
      <c r="C2513" s="47" t="s">
        <v>8003</v>
      </c>
      <c r="D2513" s="47"/>
      <c r="E2513" s="64">
        <v>47526.44</v>
      </c>
      <c r="F2513" s="64">
        <v>22</v>
      </c>
    </row>
    <row r="2514" spans="1:6" x14ac:dyDescent="0.25">
      <c r="A2514" s="47" t="s">
        <v>8004</v>
      </c>
      <c r="B2514" s="47" t="s">
        <v>2902</v>
      </c>
      <c r="C2514" s="47" t="s">
        <v>8005</v>
      </c>
      <c r="D2514" s="47"/>
      <c r="E2514" s="64">
        <v>39959.482499999998</v>
      </c>
      <c r="F2514" s="64">
        <v>100000000</v>
      </c>
    </row>
    <row r="2515" spans="1:6" x14ac:dyDescent="0.25">
      <c r="A2515" s="47" t="s">
        <v>8006</v>
      </c>
      <c r="B2515" s="47" t="s">
        <v>2905</v>
      </c>
      <c r="C2515" s="47" t="s">
        <v>8007</v>
      </c>
      <c r="D2515" s="47"/>
      <c r="E2515" s="64">
        <v>39959.482499999998</v>
      </c>
      <c r="F2515" s="64">
        <v>100000000</v>
      </c>
    </row>
    <row r="2516" spans="1:6" x14ac:dyDescent="0.25">
      <c r="A2516" s="47" t="s">
        <v>8008</v>
      </c>
      <c r="B2516" s="47" t="s">
        <v>2908</v>
      </c>
      <c r="C2516" s="47" t="s">
        <v>8009</v>
      </c>
      <c r="D2516" s="47"/>
      <c r="E2516" s="64">
        <v>39959.482499999998</v>
      </c>
      <c r="F2516" s="64">
        <v>100000000</v>
      </c>
    </row>
    <row r="2517" spans="1:6" x14ac:dyDescent="0.25">
      <c r="A2517" s="47" t="s">
        <v>8010</v>
      </c>
      <c r="B2517" s="47" t="s">
        <v>2911</v>
      </c>
      <c r="C2517" s="47" t="s">
        <v>8011</v>
      </c>
      <c r="D2517" s="47"/>
      <c r="E2517" s="64">
        <v>39959.482499999998</v>
      </c>
      <c r="F2517" s="64">
        <v>100000000</v>
      </c>
    </row>
    <row r="2518" spans="1:6" x14ac:dyDescent="0.25">
      <c r="A2518" s="47" t="s">
        <v>8012</v>
      </c>
      <c r="B2518" s="47" t="s">
        <v>2921</v>
      </c>
      <c r="C2518" s="47" t="s">
        <v>8013</v>
      </c>
      <c r="D2518" s="47" t="s">
        <v>2245</v>
      </c>
      <c r="E2518" s="64">
        <v>43702.130000000005</v>
      </c>
      <c r="F2518" s="64">
        <v>14.8</v>
      </c>
    </row>
    <row r="2519" spans="1:6" x14ac:dyDescent="0.25">
      <c r="A2519" s="47" t="s">
        <v>8014</v>
      </c>
      <c r="B2519" s="47" t="s">
        <v>2924</v>
      </c>
      <c r="C2519" s="47" t="s">
        <v>8015</v>
      </c>
      <c r="D2519" s="47"/>
      <c r="E2519" s="64">
        <v>39959.482499999998</v>
      </c>
      <c r="F2519" s="64">
        <v>100000000</v>
      </c>
    </row>
    <row r="2520" spans="1:6" x14ac:dyDescent="0.25">
      <c r="A2520" s="47" t="s">
        <v>8016</v>
      </c>
      <c r="B2520" s="47" t="s">
        <v>2927</v>
      </c>
      <c r="C2520" s="47" t="s">
        <v>8017</v>
      </c>
      <c r="D2520" s="47"/>
      <c r="E2520" s="64">
        <v>39959.482499999998</v>
      </c>
      <c r="F2520" s="64">
        <v>100000000</v>
      </c>
    </row>
    <row r="2521" spans="1:6" x14ac:dyDescent="0.25">
      <c r="A2521" s="47" t="s">
        <v>8018</v>
      </c>
      <c r="B2521" s="47" t="s">
        <v>2930</v>
      </c>
      <c r="C2521" s="47" t="s">
        <v>8019</v>
      </c>
      <c r="D2521" s="47"/>
      <c r="E2521" s="64">
        <v>39959.482499999998</v>
      </c>
      <c r="F2521" s="64">
        <v>100000000</v>
      </c>
    </row>
    <row r="2522" spans="1:6" x14ac:dyDescent="0.25">
      <c r="A2522" s="47" t="s">
        <v>8020</v>
      </c>
      <c r="B2522" s="47" t="s">
        <v>2933</v>
      </c>
      <c r="C2522" s="47" t="s">
        <v>8021</v>
      </c>
      <c r="D2522" s="47"/>
      <c r="E2522" s="64">
        <v>39959.482499999998</v>
      </c>
      <c r="F2522" s="64">
        <v>100000000</v>
      </c>
    </row>
    <row r="2523" spans="1:6" x14ac:dyDescent="0.25">
      <c r="A2523" s="47" t="s">
        <v>8022</v>
      </c>
      <c r="B2523" s="47" t="s">
        <v>2936</v>
      </c>
      <c r="C2523" s="47" t="s">
        <v>8023</v>
      </c>
      <c r="D2523" s="47"/>
      <c r="E2523" s="64">
        <v>39959.482499999998</v>
      </c>
      <c r="F2523" s="64">
        <v>100000000</v>
      </c>
    </row>
    <row r="2524" spans="1:6" x14ac:dyDescent="0.25">
      <c r="A2524" s="47" t="s">
        <v>8024</v>
      </c>
      <c r="B2524" s="47" t="s">
        <v>2939</v>
      </c>
      <c r="C2524" s="47" t="s">
        <v>8025</v>
      </c>
      <c r="D2524" s="47"/>
      <c r="E2524" s="64">
        <v>33587.89</v>
      </c>
      <c r="F2524" s="64">
        <v>100000000</v>
      </c>
    </row>
    <row r="2525" spans="1:6" x14ac:dyDescent="0.25">
      <c r="A2525" s="47" t="s">
        <v>8026</v>
      </c>
      <c r="B2525" s="47" t="s">
        <v>2942</v>
      </c>
      <c r="C2525" s="47" t="s">
        <v>8027</v>
      </c>
      <c r="D2525" s="47"/>
      <c r="E2525" s="64">
        <v>39959.482499999998</v>
      </c>
      <c r="F2525" s="64">
        <v>100000000</v>
      </c>
    </row>
    <row r="2526" spans="1:6" x14ac:dyDescent="0.25">
      <c r="A2526" s="47" t="s">
        <v>8028</v>
      </c>
      <c r="B2526" s="47" t="s">
        <v>2945</v>
      </c>
      <c r="C2526" s="47" t="s">
        <v>8029</v>
      </c>
      <c r="D2526" s="47"/>
      <c r="E2526" s="64">
        <v>39959.482499999998</v>
      </c>
      <c r="F2526" s="64">
        <v>100000000</v>
      </c>
    </row>
    <row r="2527" spans="1:6" x14ac:dyDescent="0.25">
      <c r="A2527" s="47" t="s">
        <v>8030</v>
      </c>
      <c r="B2527" s="47" t="s">
        <v>2948</v>
      </c>
      <c r="C2527" s="47" t="s">
        <v>8031</v>
      </c>
      <c r="D2527" s="47"/>
      <c r="E2527" s="64">
        <v>39959.482499999998</v>
      </c>
      <c r="F2527" s="64">
        <v>100000000</v>
      </c>
    </row>
    <row r="2528" spans="1:6" x14ac:dyDescent="0.25">
      <c r="A2528" s="47" t="s">
        <v>8032</v>
      </c>
      <c r="B2528" s="47" t="s">
        <v>2951</v>
      </c>
      <c r="C2528" s="47" t="s">
        <v>8033</v>
      </c>
      <c r="D2528" s="47"/>
      <c r="E2528" s="64">
        <v>39959.482499999998</v>
      </c>
      <c r="F2528" s="64">
        <v>100000000</v>
      </c>
    </row>
    <row r="2529" spans="1:6" x14ac:dyDescent="0.25">
      <c r="A2529" s="47" t="s">
        <v>8034</v>
      </c>
      <c r="B2529" s="47" t="s">
        <v>2967</v>
      </c>
      <c r="C2529" s="47" t="s">
        <v>8035</v>
      </c>
      <c r="D2529" s="47" t="s">
        <v>2969</v>
      </c>
      <c r="E2529" s="64">
        <v>53417.080000000009</v>
      </c>
      <c r="F2529" s="64">
        <v>26.1</v>
      </c>
    </row>
    <row r="2530" spans="1:6" x14ac:dyDescent="0.25">
      <c r="A2530" s="47" t="s">
        <v>8036</v>
      </c>
      <c r="B2530" s="47" t="s">
        <v>3000</v>
      </c>
      <c r="C2530" s="47" t="s">
        <v>8037</v>
      </c>
      <c r="D2530" s="47" t="s">
        <v>3002</v>
      </c>
      <c r="E2530" s="64">
        <v>20095.39</v>
      </c>
      <c r="F2530" s="64">
        <v>109.46666666666665</v>
      </c>
    </row>
    <row r="2531" spans="1:6" x14ac:dyDescent="0.25">
      <c r="A2531" s="47" t="s">
        <v>8038</v>
      </c>
      <c r="B2531" s="47" t="s">
        <v>3008</v>
      </c>
      <c r="C2531" s="47" t="s">
        <v>8039</v>
      </c>
      <c r="D2531" s="47"/>
      <c r="E2531" s="64">
        <v>39959.482499999998</v>
      </c>
      <c r="F2531" s="64">
        <v>100000000</v>
      </c>
    </row>
    <row r="2532" spans="1:6" x14ac:dyDescent="0.25">
      <c r="A2532" s="47" t="s">
        <v>8040</v>
      </c>
      <c r="B2532" s="47" t="s">
        <v>3011</v>
      </c>
      <c r="C2532" s="47" t="s">
        <v>8041</v>
      </c>
      <c r="D2532" s="47"/>
      <c r="E2532" s="64">
        <v>39959.482499999998</v>
      </c>
      <c r="F2532" s="64">
        <v>100000000</v>
      </c>
    </row>
    <row r="2533" spans="1:6" x14ac:dyDescent="0.25">
      <c r="A2533" s="47" t="s">
        <v>8042</v>
      </c>
      <c r="B2533" s="47" t="s">
        <v>3014</v>
      </c>
      <c r="C2533" s="47" t="s">
        <v>8043</v>
      </c>
      <c r="D2533" s="47"/>
      <c r="E2533" s="64">
        <v>39959.482499999998</v>
      </c>
      <c r="F2533" s="64">
        <v>100000000</v>
      </c>
    </row>
    <row r="2534" spans="1:6" x14ac:dyDescent="0.25">
      <c r="A2534" s="47" t="s">
        <v>8044</v>
      </c>
      <c r="B2534" s="47" t="s">
        <v>3017</v>
      </c>
      <c r="C2534" s="47" t="s">
        <v>8045</v>
      </c>
      <c r="D2534" s="47"/>
      <c r="E2534" s="64">
        <v>39959.482499999998</v>
      </c>
      <c r="F2534" s="64">
        <v>100000000</v>
      </c>
    </row>
    <row r="2535" spans="1:6" x14ac:dyDescent="0.25">
      <c r="A2535" s="47" t="s">
        <v>8046</v>
      </c>
      <c r="B2535" s="47" t="s">
        <v>3020</v>
      </c>
      <c r="C2535" s="47" t="s">
        <v>8047</v>
      </c>
      <c r="D2535" s="47"/>
      <c r="E2535" s="64">
        <v>39959.482499999998</v>
      </c>
      <c r="F2535" s="64">
        <v>100000000</v>
      </c>
    </row>
    <row r="2536" spans="1:6" x14ac:dyDescent="0.25">
      <c r="A2536" s="47" t="s">
        <v>8048</v>
      </c>
      <c r="B2536" s="47" t="s">
        <v>3023</v>
      </c>
      <c r="C2536" s="47" t="s">
        <v>8049</v>
      </c>
      <c r="D2536" s="47"/>
      <c r="E2536" s="64">
        <v>39959.482499999998</v>
      </c>
      <c r="F2536" s="64">
        <v>100000000</v>
      </c>
    </row>
    <row r="2537" spans="1:6" x14ac:dyDescent="0.25">
      <c r="A2537" s="47" t="s">
        <v>8050</v>
      </c>
      <c r="B2537" s="47" t="s">
        <v>3029</v>
      </c>
      <c r="C2537" s="47" t="s">
        <v>8051</v>
      </c>
      <c r="D2537" s="47" t="s">
        <v>3031</v>
      </c>
      <c r="E2537" s="64">
        <v>34673.08</v>
      </c>
      <c r="F2537" s="64">
        <v>17</v>
      </c>
    </row>
    <row r="2538" spans="1:6" x14ac:dyDescent="0.25">
      <c r="A2538" s="47" t="s">
        <v>8052</v>
      </c>
      <c r="B2538" s="47" t="s">
        <v>3056</v>
      </c>
      <c r="C2538" s="47" t="s">
        <v>8053</v>
      </c>
      <c r="D2538" s="47"/>
      <c r="E2538" s="64">
        <v>39959.482499999998</v>
      </c>
      <c r="F2538" s="64">
        <v>100000000</v>
      </c>
    </row>
    <row r="2539" spans="1:6" x14ac:dyDescent="0.25">
      <c r="A2539" s="47" t="s">
        <v>8054</v>
      </c>
      <c r="B2539" s="47" t="s">
        <v>3059</v>
      </c>
      <c r="C2539" s="47" t="s">
        <v>8055</v>
      </c>
      <c r="D2539" s="47"/>
      <c r="E2539" s="64">
        <v>39959.482499999998</v>
      </c>
      <c r="F2539" s="64">
        <v>100000000</v>
      </c>
    </row>
    <row r="2540" spans="1:6" x14ac:dyDescent="0.25">
      <c r="A2540" s="47" t="s">
        <v>8056</v>
      </c>
      <c r="B2540" s="47" t="s">
        <v>3062</v>
      </c>
      <c r="C2540" s="47" t="s">
        <v>8057</v>
      </c>
      <c r="D2540" s="47"/>
      <c r="E2540" s="64">
        <v>39959.482499999998</v>
      </c>
      <c r="F2540" s="64">
        <v>100000000</v>
      </c>
    </row>
    <row r="2541" spans="1:6" x14ac:dyDescent="0.25">
      <c r="A2541" s="47" t="s">
        <v>8058</v>
      </c>
      <c r="B2541" s="47" t="s">
        <v>3076</v>
      </c>
      <c r="C2541" s="47" t="s">
        <v>8059</v>
      </c>
      <c r="D2541" s="47"/>
      <c r="E2541" s="64">
        <v>39959.482499999998</v>
      </c>
      <c r="F2541" s="64">
        <v>100000000</v>
      </c>
    </row>
    <row r="2542" spans="1:6" x14ac:dyDescent="0.25">
      <c r="A2542" s="47" t="s">
        <v>8060</v>
      </c>
      <c r="B2542" s="47" t="s">
        <v>3101</v>
      </c>
      <c r="C2542" s="47" t="s">
        <v>8061</v>
      </c>
      <c r="D2542" s="47"/>
      <c r="E2542" s="64">
        <v>39959.482499999998</v>
      </c>
      <c r="F2542" s="64">
        <v>100000000</v>
      </c>
    </row>
    <row r="2543" spans="1:6" x14ac:dyDescent="0.25">
      <c r="A2543" s="47" t="s">
        <v>8062</v>
      </c>
      <c r="B2543" s="47" t="s">
        <v>3134</v>
      </c>
      <c r="C2543" s="47" t="s">
        <v>8063</v>
      </c>
      <c r="D2543" s="47"/>
      <c r="E2543" s="64">
        <v>39959.482499999998</v>
      </c>
      <c r="F2543" s="64">
        <v>100000000</v>
      </c>
    </row>
    <row r="2544" spans="1:6" x14ac:dyDescent="0.25">
      <c r="A2544" s="47" t="s">
        <v>8064</v>
      </c>
      <c r="B2544" s="47" t="s">
        <v>3141</v>
      </c>
      <c r="C2544" s="47" t="s">
        <v>8065</v>
      </c>
      <c r="D2544" s="47"/>
      <c r="E2544" s="64">
        <v>39959.482499999998</v>
      </c>
      <c r="F2544" s="64">
        <v>100000000</v>
      </c>
    </row>
    <row r="2545" spans="1:6" x14ac:dyDescent="0.25">
      <c r="A2545" s="47" t="s">
        <v>8066</v>
      </c>
      <c r="B2545" s="47" t="s">
        <v>3147</v>
      </c>
      <c r="C2545" s="47" t="s">
        <v>8067</v>
      </c>
      <c r="D2545" s="47"/>
      <c r="E2545" s="64">
        <v>54844.33</v>
      </c>
      <c r="F2545" s="64">
        <v>22</v>
      </c>
    </row>
    <row r="2546" spans="1:6" x14ac:dyDescent="0.25">
      <c r="A2546" s="47" t="s">
        <v>8068</v>
      </c>
      <c r="B2546" s="47" t="s">
        <v>3150</v>
      </c>
      <c r="C2546" s="47" t="s">
        <v>8069</v>
      </c>
      <c r="D2546" s="47"/>
      <c r="E2546" s="64">
        <v>54844.33</v>
      </c>
      <c r="F2546" s="64">
        <v>22</v>
      </c>
    </row>
    <row r="2547" spans="1:6" x14ac:dyDescent="0.25">
      <c r="A2547" s="47" t="s">
        <v>8070</v>
      </c>
      <c r="B2547" s="47" t="s">
        <v>3153</v>
      </c>
      <c r="C2547" s="47" t="s">
        <v>8071</v>
      </c>
      <c r="D2547" s="47"/>
      <c r="E2547" s="64">
        <v>54844.33</v>
      </c>
      <c r="F2547" s="64">
        <v>22</v>
      </c>
    </row>
    <row r="2548" spans="1:6" x14ac:dyDescent="0.25">
      <c r="A2548" s="47" t="s">
        <v>8072</v>
      </c>
      <c r="B2548" s="47" t="s">
        <v>3163</v>
      </c>
      <c r="C2548" s="47" t="s">
        <v>8073</v>
      </c>
      <c r="D2548" s="47"/>
      <c r="E2548" s="64">
        <v>39959.482499999998</v>
      </c>
      <c r="F2548" s="64">
        <v>100000000</v>
      </c>
    </row>
    <row r="2549" spans="1:6" x14ac:dyDescent="0.25">
      <c r="A2549" s="47" t="s">
        <v>8074</v>
      </c>
      <c r="B2549" s="47" t="s">
        <v>3166</v>
      </c>
      <c r="C2549" s="47" t="s">
        <v>8075</v>
      </c>
      <c r="D2549" s="47"/>
      <c r="E2549" s="64">
        <v>39959.482499999998</v>
      </c>
      <c r="F2549" s="64">
        <v>100000000</v>
      </c>
    </row>
    <row r="2550" spans="1:6" x14ac:dyDescent="0.25">
      <c r="A2550" s="47" t="s">
        <v>8076</v>
      </c>
      <c r="B2550" s="47" t="s">
        <v>3183</v>
      </c>
      <c r="C2550" s="47" t="s">
        <v>8077</v>
      </c>
      <c r="D2550" s="47"/>
      <c r="E2550" s="64">
        <v>39959.482499999998</v>
      </c>
      <c r="F2550" s="64">
        <v>100000000</v>
      </c>
    </row>
    <row r="2551" spans="1:6" x14ac:dyDescent="0.25">
      <c r="A2551" s="47" t="s">
        <v>8078</v>
      </c>
      <c r="B2551" s="47" t="s">
        <v>3186</v>
      </c>
      <c r="C2551" s="47" t="s">
        <v>8079</v>
      </c>
      <c r="D2551" s="47"/>
      <c r="E2551" s="64">
        <v>39959.482499999998</v>
      </c>
      <c r="F2551" s="64">
        <v>100000000</v>
      </c>
    </row>
    <row r="2552" spans="1:6" x14ac:dyDescent="0.25">
      <c r="A2552" s="47" t="s">
        <v>8080</v>
      </c>
      <c r="B2552" s="47" t="s">
        <v>3189</v>
      </c>
      <c r="C2552" s="47" t="s">
        <v>8081</v>
      </c>
      <c r="D2552" s="47"/>
      <c r="E2552" s="64">
        <v>39959.482499999998</v>
      </c>
      <c r="F2552" s="64">
        <v>100000000</v>
      </c>
    </row>
    <row r="2553" spans="1:6" x14ac:dyDescent="0.25">
      <c r="A2553" s="47" t="s">
        <v>8082</v>
      </c>
      <c r="B2553" s="47" t="s">
        <v>3196</v>
      </c>
      <c r="C2553" s="47" t="s">
        <v>8083</v>
      </c>
      <c r="D2553" s="47"/>
      <c r="E2553" s="64">
        <v>39959.482499999998</v>
      </c>
      <c r="F2553" s="64">
        <v>100000000</v>
      </c>
    </row>
    <row r="2554" spans="1:6" x14ac:dyDescent="0.25">
      <c r="A2554" s="47" t="s">
        <v>8084</v>
      </c>
      <c r="B2554" s="47" t="s">
        <v>3199</v>
      </c>
      <c r="C2554" s="47" t="s">
        <v>8085</v>
      </c>
      <c r="D2554" s="47"/>
      <c r="E2554" s="64">
        <v>39959.482499999998</v>
      </c>
      <c r="F2554" s="64">
        <v>100000000</v>
      </c>
    </row>
    <row r="2555" spans="1:6" x14ac:dyDescent="0.25">
      <c r="A2555" s="47" t="s">
        <v>8086</v>
      </c>
      <c r="B2555" s="47" t="s">
        <v>3202</v>
      </c>
      <c r="C2555" s="47" t="s">
        <v>8087</v>
      </c>
      <c r="D2555" s="47"/>
      <c r="E2555" s="64">
        <v>39959.482499999998</v>
      </c>
      <c r="F2555" s="64">
        <v>100000000</v>
      </c>
    </row>
    <row r="2556" spans="1:6" x14ac:dyDescent="0.25">
      <c r="A2556" s="47" t="s">
        <v>8088</v>
      </c>
      <c r="B2556" s="47" t="s">
        <v>3205</v>
      </c>
      <c r="C2556" s="47" t="s">
        <v>8089</v>
      </c>
      <c r="D2556" s="47"/>
      <c r="E2556" s="64">
        <v>39959.482499999998</v>
      </c>
      <c r="F2556" s="64">
        <v>100000000</v>
      </c>
    </row>
    <row r="2557" spans="1:6" x14ac:dyDescent="0.25">
      <c r="A2557" s="47" t="s">
        <v>8090</v>
      </c>
      <c r="B2557" s="47" t="s">
        <v>3224</v>
      </c>
      <c r="C2557" s="47" t="s">
        <v>8091</v>
      </c>
      <c r="D2557" s="47"/>
      <c r="E2557" s="64">
        <v>39959.482499999998</v>
      </c>
      <c r="F2557" s="64">
        <v>100000000</v>
      </c>
    </row>
    <row r="2558" spans="1:6" x14ac:dyDescent="0.25">
      <c r="A2558" s="47" t="s">
        <v>8092</v>
      </c>
      <c r="B2558" s="47" t="s">
        <v>3227</v>
      </c>
      <c r="C2558" s="47" t="s">
        <v>8093</v>
      </c>
      <c r="D2558" s="47"/>
      <c r="E2558" s="64">
        <v>39959.482499999998</v>
      </c>
      <c r="F2558" s="64">
        <v>100000000</v>
      </c>
    </row>
    <row r="2559" spans="1:6" x14ac:dyDescent="0.25">
      <c r="A2559" s="47" t="s">
        <v>8094</v>
      </c>
      <c r="B2559" s="47" t="s">
        <v>3237</v>
      </c>
      <c r="C2559" s="47" t="s">
        <v>8095</v>
      </c>
      <c r="D2559" s="47"/>
      <c r="E2559" s="64">
        <v>39959.482499999998</v>
      </c>
      <c r="F2559" s="64">
        <v>100000000</v>
      </c>
    </row>
    <row r="2560" spans="1:6" x14ac:dyDescent="0.25">
      <c r="A2560" s="47" t="s">
        <v>8096</v>
      </c>
      <c r="B2560" s="47" t="s">
        <v>3240</v>
      </c>
      <c r="C2560" s="47" t="s">
        <v>8097</v>
      </c>
      <c r="D2560" s="47"/>
      <c r="E2560" s="64">
        <v>39959.482499999998</v>
      </c>
      <c r="F2560" s="64">
        <v>100000000</v>
      </c>
    </row>
    <row r="2561" spans="1:6" x14ac:dyDescent="0.25">
      <c r="A2561" s="47" t="s">
        <v>8098</v>
      </c>
      <c r="B2561" s="47" t="s">
        <v>3265</v>
      </c>
      <c r="C2561" s="47" t="s">
        <v>8099</v>
      </c>
      <c r="D2561" s="47"/>
      <c r="E2561" s="64">
        <v>39959.482499999998</v>
      </c>
      <c r="F2561" s="64">
        <v>100000000</v>
      </c>
    </row>
    <row r="2562" spans="1:6" x14ac:dyDescent="0.25">
      <c r="A2562" s="47" t="s">
        <v>8100</v>
      </c>
      <c r="B2562" s="47" t="s">
        <v>3268</v>
      </c>
      <c r="C2562" s="47" t="s">
        <v>8101</v>
      </c>
      <c r="D2562" s="47"/>
      <c r="E2562" s="64">
        <v>39959.482499999998</v>
      </c>
      <c r="F2562" s="64">
        <v>100000000</v>
      </c>
    </row>
    <row r="2563" spans="1:6" x14ac:dyDescent="0.25">
      <c r="A2563" s="47" t="s">
        <v>8102</v>
      </c>
      <c r="B2563" s="47" t="s">
        <v>3271</v>
      </c>
      <c r="C2563" s="47" t="s">
        <v>8103</v>
      </c>
      <c r="D2563" s="47"/>
      <c r="E2563" s="64">
        <v>39959.482499999998</v>
      </c>
      <c r="F2563" s="64">
        <v>100000000</v>
      </c>
    </row>
    <row r="2564" spans="1:6" x14ac:dyDescent="0.25">
      <c r="A2564" s="47" t="s">
        <v>8104</v>
      </c>
      <c r="B2564" s="47" t="s">
        <v>3274</v>
      </c>
      <c r="C2564" s="47" t="s">
        <v>8105</v>
      </c>
      <c r="D2564" s="47"/>
      <c r="E2564" s="64">
        <v>39959.482499999998</v>
      </c>
      <c r="F2564" s="64">
        <v>100000000</v>
      </c>
    </row>
    <row r="2565" spans="1:6" x14ac:dyDescent="0.25">
      <c r="A2565" s="47" t="s">
        <v>8106</v>
      </c>
      <c r="B2565" s="47" t="s">
        <v>3298</v>
      </c>
      <c r="C2565" s="47" t="s">
        <v>8107</v>
      </c>
      <c r="D2565" s="47"/>
      <c r="E2565" s="64">
        <v>39959.482499999998</v>
      </c>
      <c r="F2565" s="64">
        <v>100000000</v>
      </c>
    </row>
    <row r="2566" spans="1:6" x14ac:dyDescent="0.25">
      <c r="A2566" s="47" t="s">
        <v>8108</v>
      </c>
      <c r="B2566" s="47" t="s">
        <v>3301</v>
      </c>
      <c r="C2566" s="47" t="s">
        <v>8109</v>
      </c>
      <c r="D2566" s="47"/>
      <c r="E2566" s="64">
        <v>39959.482499999998</v>
      </c>
      <c r="F2566" s="64">
        <v>100000000</v>
      </c>
    </row>
    <row r="2567" spans="1:6" x14ac:dyDescent="0.25">
      <c r="A2567" s="47" t="s">
        <v>8110</v>
      </c>
      <c r="B2567" s="47" t="s">
        <v>3304</v>
      </c>
      <c r="C2567" s="47" t="s">
        <v>8111</v>
      </c>
      <c r="D2567" s="47"/>
      <c r="E2567" s="64">
        <v>39959.482499999998</v>
      </c>
      <c r="F2567" s="64">
        <v>100000000</v>
      </c>
    </row>
    <row r="2568" spans="1:6" x14ac:dyDescent="0.25">
      <c r="A2568" s="47" t="s">
        <v>8112</v>
      </c>
      <c r="B2568" s="47" t="s">
        <v>3307</v>
      </c>
      <c r="C2568" s="47" t="s">
        <v>8113</v>
      </c>
      <c r="D2568" s="47"/>
      <c r="E2568" s="64">
        <v>39959.482499999998</v>
      </c>
      <c r="F2568" s="64">
        <v>100000000</v>
      </c>
    </row>
    <row r="2569" spans="1:6" x14ac:dyDescent="0.25">
      <c r="A2569" s="47" t="s">
        <v>8114</v>
      </c>
      <c r="B2569" s="47" t="s">
        <v>3310</v>
      </c>
      <c r="C2569" s="47" t="s">
        <v>8115</v>
      </c>
      <c r="D2569" s="47"/>
      <c r="E2569" s="64">
        <v>39959.482499999998</v>
      </c>
      <c r="F2569" s="64">
        <v>100000000</v>
      </c>
    </row>
    <row r="2570" spans="1:6" x14ac:dyDescent="0.25">
      <c r="A2570" s="47" t="s">
        <v>8116</v>
      </c>
      <c r="B2570" s="47" t="s">
        <v>3313</v>
      </c>
      <c r="C2570" s="47" t="s">
        <v>8117</v>
      </c>
      <c r="D2570" s="47"/>
      <c r="E2570" s="64">
        <v>39959.482499999998</v>
      </c>
      <c r="F2570" s="64">
        <v>100000000</v>
      </c>
    </row>
    <row r="2571" spans="1:6" x14ac:dyDescent="0.25">
      <c r="A2571" s="47" t="s">
        <v>8118</v>
      </c>
      <c r="B2571" s="47" t="s">
        <v>3326</v>
      </c>
      <c r="C2571" s="47" t="s">
        <v>8119</v>
      </c>
      <c r="D2571" s="47" t="s">
        <v>3328</v>
      </c>
      <c r="E2571" s="64">
        <v>21998.239999999998</v>
      </c>
      <c r="F2571" s="64">
        <v>0.11</v>
      </c>
    </row>
    <row r="2572" spans="1:6" x14ac:dyDescent="0.25">
      <c r="A2572" s="47" t="s">
        <v>8120</v>
      </c>
      <c r="B2572" s="47" t="s">
        <v>3333</v>
      </c>
      <c r="C2572" s="47" t="s">
        <v>8121</v>
      </c>
      <c r="D2572" s="47"/>
      <c r="E2572" s="64">
        <v>39959.482499999998</v>
      </c>
      <c r="F2572" s="64">
        <v>100000000</v>
      </c>
    </row>
    <row r="2573" spans="1:6" x14ac:dyDescent="0.25">
      <c r="A2573" s="47" t="s">
        <v>8122</v>
      </c>
      <c r="B2573" s="47" t="s">
        <v>1558</v>
      </c>
      <c r="C2573" s="47" t="s">
        <v>8123</v>
      </c>
      <c r="D2573" s="47" t="s">
        <v>1560</v>
      </c>
      <c r="E2573" s="64">
        <v>64974.729999999996</v>
      </c>
      <c r="F2573" s="64">
        <v>2.87E-2</v>
      </c>
    </row>
    <row r="2574" spans="1:6" x14ac:dyDescent="0.25">
      <c r="A2574" s="47" t="s">
        <v>8124</v>
      </c>
      <c r="B2574" s="47" t="s">
        <v>3392</v>
      </c>
      <c r="C2574" s="47" t="s">
        <v>8125</v>
      </c>
      <c r="D2574" s="47"/>
      <c r="E2574" s="64">
        <v>39959.482499999998</v>
      </c>
      <c r="F2574" s="64">
        <v>100000000</v>
      </c>
    </row>
    <row r="2575" spans="1:6" x14ac:dyDescent="0.25">
      <c r="A2575" s="47" t="s">
        <v>8126</v>
      </c>
      <c r="B2575" s="47" t="s">
        <v>3395</v>
      </c>
      <c r="C2575" s="47" t="s">
        <v>8127</v>
      </c>
      <c r="D2575" s="47"/>
      <c r="E2575" s="64">
        <v>39959.482499999998</v>
      </c>
      <c r="F2575" s="64">
        <v>100000000</v>
      </c>
    </row>
    <row r="2576" spans="1:6" x14ac:dyDescent="0.25">
      <c r="A2576" s="47" t="s">
        <v>8128</v>
      </c>
      <c r="B2576" s="47" t="s">
        <v>3398</v>
      </c>
      <c r="C2576" s="47" t="s">
        <v>8129</v>
      </c>
      <c r="D2576" s="47"/>
      <c r="E2576" s="64">
        <v>39959.482499999998</v>
      </c>
      <c r="F2576" s="64">
        <v>100000000</v>
      </c>
    </row>
    <row r="2577" spans="1:6" x14ac:dyDescent="0.25">
      <c r="A2577" s="47" t="s">
        <v>8130</v>
      </c>
      <c r="B2577" s="47" t="s">
        <v>3401</v>
      </c>
      <c r="C2577" s="47" t="s">
        <v>8131</v>
      </c>
      <c r="D2577" s="47"/>
      <c r="E2577" s="64">
        <v>39959.482499999998</v>
      </c>
      <c r="F2577" s="64">
        <v>100000000</v>
      </c>
    </row>
    <row r="2578" spans="1:6" x14ac:dyDescent="0.25">
      <c r="A2578" s="47" t="s">
        <v>8132</v>
      </c>
      <c r="B2578" s="47" t="s">
        <v>3404</v>
      </c>
      <c r="C2578" s="47" t="s">
        <v>8133</v>
      </c>
      <c r="D2578" s="47"/>
      <c r="E2578" s="64">
        <v>39959.482499999998</v>
      </c>
      <c r="F2578" s="64">
        <v>100000000</v>
      </c>
    </row>
    <row r="2579" spans="1:6" x14ac:dyDescent="0.25">
      <c r="A2579" s="47" t="s">
        <v>8134</v>
      </c>
      <c r="B2579" s="47" t="s">
        <v>3446</v>
      </c>
      <c r="C2579" s="47" t="s">
        <v>8135</v>
      </c>
      <c r="D2579" s="47"/>
      <c r="E2579" s="64">
        <v>39959.482499999998</v>
      </c>
      <c r="F2579" s="64">
        <v>100000000</v>
      </c>
    </row>
    <row r="2580" spans="1:6" x14ac:dyDescent="0.25">
      <c r="A2580" s="47" t="s">
        <v>8136</v>
      </c>
      <c r="B2580" s="47" t="s">
        <v>3449</v>
      </c>
      <c r="C2580" s="47" t="s">
        <v>8137</v>
      </c>
      <c r="D2580" s="47"/>
      <c r="E2580" s="64">
        <v>39959.482499999998</v>
      </c>
      <c r="F2580" s="64">
        <v>100000000</v>
      </c>
    </row>
    <row r="2581" spans="1:6" x14ac:dyDescent="0.25">
      <c r="A2581" s="47" t="s">
        <v>8138</v>
      </c>
      <c r="B2581" s="47" t="s">
        <v>3492</v>
      </c>
      <c r="C2581" s="47" t="s">
        <v>8139</v>
      </c>
      <c r="D2581" s="47" t="s">
        <v>3494</v>
      </c>
      <c r="E2581" s="64">
        <v>46040.200000000004</v>
      </c>
      <c r="F2581" s="64">
        <v>59.367588235294122</v>
      </c>
    </row>
    <row r="2582" spans="1:6" x14ac:dyDescent="0.25">
      <c r="A2582" s="47" t="s">
        <v>8140</v>
      </c>
      <c r="B2582" s="47" t="s">
        <v>3517</v>
      </c>
      <c r="C2582" s="47" t="s">
        <v>8141</v>
      </c>
      <c r="D2582" s="47"/>
      <c r="E2582" s="64">
        <v>39959.482499999998</v>
      </c>
      <c r="F2582" s="64">
        <v>100000000</v>
      </c>
    </row>
    <row r="2583" spans="1:6" x14ac:dyDescent="0.25">
      <c r="A2583" s="47" t="s">
        <v>8142</v>
      </c>
      <c r="B2583" s="47" t="s">
        <v>3527</v>
      </c>
      <c r="C2583" s="47" t="s">
        <v>8143</v>
      </c>
      <c r="D2583" s="47"/>
      <c r="E2583" s="64">
        <v>39959.482499999998</v>
      </c>
      <c r="F2583" s="64">
        <v>100000000</v>
      </c>
    </row>
    <row r="2584" spans="1:6" x14ac:dyDescent="0.25">
      <c r="A2584" s="47" t="s">
        <v>8144</v>
      </c>
      <c r="B2584" s="47" t="s">
        <v>3534</v>
      </c>
      <c r="C2584" s="47" t="s">
        <v>8145</v>
      </c>
      <c r="D2584" s="47"/>
      <c r="E2584" s="64">
        <v>39959.482499999998</v>
      </c>
      <c r="F2584" s="64">
        <v>100000000</v>
      </c>
    </row>
    <row r="2585" spans="1:6" x14ac:dyDescent="0.25">
      <c r="A2585" s="47" t="s">
        <v>8146</v>
      </c>
      <c r="B2585" s="47" t="s">
        <v>3548</v>
      </c>
      <c r="C2585" s="47" t="s">
        <v>8147</v>
      </c>
      <c r="D2585" s="47"/>
      <c r="E2585" s="64">
        <v>59042.635000000009</v>
      </c>
      <c r="F2585" s="64">
        <v>22</v>
      </c>
    </row>
    <row r="2586" spans="1:6" x14ac:dyDescent="0.25">
      <c r="A2586" s="47" t="s">
        <v>8148</v>
      </c>
      <c r="B2586" s="47" t="s">
        <v>3608</v>
      </c>
      <c r="C2586" s="47" t="s">
        <v>8149</v>
      </c>
      <c r="D2586" s="47"/>
      <c r="E2586" s="64">
        <v>44513.67</v>
      </c>
      <c r="F2586" s="64">
        <v>22</v>
      </c>
    </row>
    <row r="2587" spans="1:6" x14ac:dyDescent="0.25">
      <c r="A2587" s="47" t="s">
        <v>8150</v>
      </c>
      <c r="B2587" s="47" t="s">
        <v>3614</v>
      </c>
      <c r="C2587" s="47" t="s">
        <v>8151</v>
      </c>
      <c r="D2587" s="47"/>
      <c r="E2587" s="64">
        <v>39126.909999999996</v>
      </c>
      <c r="F2587" s="64">
        <v>22</v>
      </c>
    </row>
    <row r="2588" spans="1:6" x14ac:dyDescent="0.25">
      <c r="A2588" s="47" t="s">
        <v>8152</v>
      </c>
      <c r="B2588" s="47" t="s">
        <v>3630</v>
      </c>
      <c r="C2588" s="47" t="s">
        <v>8153</v>
      </c>
      <c r="D2588" s="47" t="s">
        <v>3632</v>
      </c>
      <c r="E2588" s="64">
        <v>38568.089999999997</v>
      </c>
      <c r="F2588" s="64">
        <v>0.25481666666666664</v>
      </c>
    </row>
    <row r="2589" spans="1:6" x14ac:dyDescent="0.25">
      <c r="A2589" s="47" t="s">
        <v>8154</v>
      </c>
      <c r="B2589" s="47" t="s">
        <v>3641</v>
      </c>
      <c r="C2589" s="47" t="s">
        <v>8155</v>
      </c>
      <c r="D2589" s="47"/>
      <c r="E2589" s="64">
        <v>52529.365000000005</v>
      </c>
      <c r="F2589" s="64">
        <v>22</v>
      </c>
    </row>
    <row r="2590" spans="1:6" x14ac:dyDescent="0.25">
      <c r="A2590" s="47" t="s">
        <v>8156</v>
      </c>
      <c r="B2590" s="47" t="s">
        <v>3713</v>
      </c>
      <c r="C2590" s="47" t="s">
        <v>8157</v>
      </c>
      <c r="D2590" s="47"/>
      <c r="E2590" s="64">
        <v>39959.482499999998</v>
      </c>
      <c r="F2590" s="64">
        <v>100000000</v>
      </c>
    </row>
    <row r="2591" spans="1:6" x14ac:dyDescent="0.25">
      <c r="A2591" s="47" t="s">
        <v>8158</v>
      </c>
      <c r="B2591" s="47" t="s">
        <v>3718</v>
      </c>
      <c r="C2591" s="47" t="s">
        <v>8159</v>
      </c>
      <c r="D2591" s="47" t="s">
        <v>3720</v>
      </c>
      <c r="E2591" s="64">
        <v>16072.900000000001</v>
      </c>
      <c r="F2591" s="64">
        <v>2100</v>
      </c>
    </row>
    <row r="2592" spans="1:6" x14ac:dyDescent="0.25">
      <c r="A2592" s="47" t="s">
        <v>8160</v>
      </c>
      <c r="B2592" s="47" t="s">
        <v>3726</v>
      </c>
      <c r="C2592" s="47" t="s">
        <v>8161</v>
      </c>
      <c r="D2592" s="47" t="s">
        <v>3728</v>
      </c>
      <c r="E2592" s="64">
        <v>26108.45</v>
      </c>
      <c r="F2592" s="64">
        <v>9201.8125</v>
      </c>
    </row>
    <row r="2593" spans="1:6" x14ac:dyDescent="0.25">
      <c r="A2593" s="47" t="s">
        <v>8162</v>
      </c>
      <c r="B2593" s="47" t="s">
        <v>3730</v>
      </c>
      <c r="C2593" s="47" t="s">
        <v>8163</v>
      </c>
      <c r="D2593" s="47"/>
      <c r="E2593" s="64">
        <v>39959.482499999998</v>
      </c>
      <c r="F2593" s="64">
        <v>100000000</v>
      </c>
    </row>
    <row r="2594" spans="1:6" x14ac:dyDescent="0.25">
      <c r="A2594" s="47" t="s">
        <v>8164</v>
      </c>
      <c r="B2594" s="47" t="s">
        <v>3733</v>
      </c>
      <c r="C2594" s="47" t="s">
        <v>8165</v>
      </c>
      <c r="D2594" s="47"/>
      <c r="E2594" s="64">
        <v>33587.89</v>
      </c>
      <c r="F2594" s="64">
        <v>100000000</v>
      </c>
    </row>
    <row r="2595" spans="1:6" x14ac:dyDescent="0.25">
      <c r="A2595" s="47" t="s">
        <v>8166</v>
      </c>
      <c r="B2595" s="47" t="s">
        <v>3736</v>
      </c>
      <c r="C2595" s="47" t="s">
        <v>8167</v>
      </c>
      <c r="D2595" s="47"/>
      <c r="E2595" s="64">
        <v>39959.482499999998</v>
      </c>
      <c r="F2595" s="64">
        <v>100000000</v>
      </c>
    </row>
    <row r="2596" spans="1:6" x14ac:dyDescent="0.25">
      <c r="A2596" s="47" t="s">
        <v>8168</v>
      </c>
      <c r="B2596" s="47" t="s">
        <v>3739</v>
      </c>
      <c r="C2596" s="47" t="s">
        <v>8169</v>
      </c>
      <c r="D2596" s="47"/>
      <c r="E2596" s="64">
        <v>39959.482499999998</v>
      </c>
      <c r="F2596" s="64">
        <v>100000000</v>
      </c>
    </row>
    <row r="2597" spans="1:6" x14ac:dyDescent="0.25">
      <c r="A2597" s="47" t="s">
        <v>8170</v>
      </c>
      <c r="B2597" s="47" t="s">
        <v>3742</v>
      </c>
      <c r="C2597" s="47" t="s">
        <v>8171</v>
      </c>
      <c r="D2597" s="47"/>
      <c r="E2597" s="64">
        <v>39959.482499999998</v>
      </c>
      <c r="F2597" s="64">
        <v>100000000</v>
      </c>
    </row>
    <row r="2598" spans="1:6" x14ac:dyDescent="0.25">
      <c r="A2598" s="47" t="s">
        <v>8172</v>
      </c>
      <c r="B2598" s="47" t="s">
        <v>3745</v>
      </c>
      <c r="C2598" s="47" t="s">
        <v>8173</v>
      </c>
      <c r="D2598" s="47"/>
      <c r="E2598" s="64">
        <v>39959.482499999998</v>
      </c>
      <c r="F2598" s="64">
        <v>100000000</v>
      </c>
    </row>
    <row r="2599" spans="1:6" x14ac:dyDescent="0.25">
      <c r="A2599" s="47" t="s">
        <v>8174</v>
      </c>
      <c r="B2599" s="47" t="s">
        <v>3748</v>
      </c>
      <c r="C2599" s="47" t="s">
        <v>8175</v>
      </c>
      <c r="D2599" s="47"/>
      <c r="E2599" s="64">
        <v>39959.482499999998</v>
      </c>
      <c r="F2599" s="64">
        <v>100000000</v>
      </c>
    </row>
    <row r="2600" spans="1:6" x14ac:dyDescent="0.25">
      <c r="A2600" s="47" t="s">
        <v>8176</v>
      </c>
      <c r="B2600" s="47" t="s">
        <v>3751</v>
      </c>
      <c r="C2600" s="47" t="s">
        <v>8177</v>
      </c>
      <c r="D2600" s="47"/>
      <c r="E2600" s="64">
        <v>39959.482499999998</v>
      </c>
      <c r="F2600" s="64">
        <v>100000000</v>
      </c>
    </row>
    <row r="2601" spans="1:6" x14ac:dyDescent="0.25">
      <c r="A2601" s="47" t="s">
        <v>8178</v>
      </c>
      <c r="B2601" s="47" t="s">
        <v>3754</v>
      </c>
      <c r="C2601" s="47" t="s">
        <v>8179</v>
      </c>
      <c r="D2601" s="47"/>
      <c r="E2601" s="64">
        <v>39959.482499999998</v>
      </c>
      <c r="F2601" s="64">
        <v>100000000</v>
      </c>
    </row>
    <row r="2602" spans="1:6" x14ac:dyDescent="0.25">
      <c r="A2602" s="47" t="s">
        <v>8180</v>
      </c>
      <c r="B2602" s="47" t="s">
        <v>3757</v>
      </c>
      <c r="C2602" s="47" t="s">
        <v>8181</v>
      </c>
      <c r="D2602" s="47"/>
      <c r="E2602" s="64">
        <v>39959.482499999998</v>
      </c>
      <c r="F2602" s="64">
        <v>100000000</v>
      </c>
    </row>
    <row r="2603" spans="1:6" x14ac:dyDescent="0.25">
      <c r="A2603" s="47" t="s">
        <v>8182</v>
      </c>
      <c r="B2603" s="47" t="s">
        <v>3800</v>
      </c>
      <c r="C2603" s="47" t="s">
        <v>8183</v>
      </c>
      <c r="D2603" s="47"/>
      <c r="E2603" s="64">
        <v>39959.482499999998</v>
      </c>
      <c r="F2603" s="64">
        <v>100000000</v>
      </c>
    </row>
    <row r="2604" spans="1:6" x14ac:dyDescent="0.25">
      <c r="A2604" s="47" t="s">
        <v>8184</v>
      </c>
      <c r="B2604" s="47" t="s">
        <v>3803</v>
      </c>
      <c r="C2604" s="47" t="s">
        <v>8185</v>
      </c>
      <c r="D2604" s="47"/>
      <c r="E2604" s="64">
        <v>39959.482499999998</v>
      </c>
      <c r="F2604" s="64">
        <v>100000000</v>
      </c>
    </row>
    <row r="2605" spans="1:6" x14ac:dyDescent="0.25">
      <c r="A2605" s="47" t="s">
        <v>8186</v>
      </c>
      <c r="B2605" s="47" t="s">
        <v>3806</v>
      </c>
      <c r="C2605" s="47" t="s">
        <v>8187</v>
      </c>
      <c r="D2605" s="47"/>
      <c r="E2605" s="64">
        <v>39959.482499999998</v>
      </c>
      <c r="F2605" s="64">
        <v>100000000</v>
      </c>
    </row>
    <row r="2606" spans="1:6" x14ac:dyDescent="0.25">
      <c r="A2606" s="47" t="s">
        <v>8188</v>
      </c>
      <c r="B2606" s="47" t="s">
        <v>3809</v>
      </c>
      <c r="C2606" s="47" t="s">
        <v>8189</v>
      </c>
      <c r="D2606" s="47"/>
      <c r="E2606" s="64">
        <v>39959.482499999998</v>
      </c>
      <c r="F2606" s="64">
        <v>100000000</v>
      </c>
    </row>
    <row r="2607" spans="1:6" x14ac:dyDescent="0.25">
      <c r="A2607" s="47" t="s">
        <v>8190</v>
      </c>
      <c r="B2607" s="47" t="s">
        <v>3815</v>
      </c>
      <c r="C2607" s="47" t="s">
        <v>8191</v>
      </c>
      <c r="D2607" s="47"/>
      <c r="E2607" s="64">
        <v>39959.482499999998</v>
      </c>
      <c r="F2607" s="64">
        <v>100000000</v>
      </c>
    </row>
    <row r="2608" spans="1:6" x14ac:dyDescent="0.25">
      <c r="A2608" s="47" t="s">
        <v>8192</v>
      </c>
      <c r="B2608" s="47" t="s">
        <v>3824</v>
      </c>
      <c r="C2608" s="47" t="s">
        <v>8193</v>
      </c>
      <c r="D2608" s="47"/>
      <c r="E2608" s="64">
        <v>55075.24</v>
      </c>
      <c r="F2608" s="64">
        <v>22</v>
      </c>
    </row>
    <row r="2609" spans="1:6" x14ac:dyDescent="0.25">
      <c r="A2609" s="47" t="s">
        <v>8194</v>
      </c>
      <c r="B2609" s="47" t="s">
        <v>3827</v>
      </c>
      <c r="C2609" s="47" t="s">
        <v>8195</v>
      </c>
      <c r="D2609" s="47"/>
      <c r="E2609" s="64">
        <v>47157.939999999995</v>
      </c>
      <c r="F2609" s="64">
        <v>22</v>
      </c>
    </row>
    <row r="2610" spans="1:6" x14ac:dyDescent="0.25">
      <c r="A2610" s="47" t="s">
        <v>8196</v>
      </c>
      <c r="B2610" s="47" t="s">
        <v>3833</v>
      </c>
      <c r="C2610" s="47" t="s">
        <v>8197</v>
      </c>
      <c r="D2610" s="47"/>
      <c r="E2610" s="64">
        <v>29779.22</v>
      </c>
      <c r="F2610" s="64">
        <v>100000000</v>
      </c>
    </row>
    <row r="2611" spans="1:6" x14ac:dyDescent="0.25">
      <c r="A2611" s="47" t="s">
        <v>8198</v>
      </c>
      <c r="B2611" s="47" t="s">
        <v>3853</v>
      </c>
      <c r="C2611" s="47" t="s">
        <v>8199</v>
      </c>
      <c r="D2611" s="47" t="s">
        <v>3855</v>
      </c>
      <c r="E2611" s="64">
        <v>14081.640000000003</v>
      </c>
      <c r="F2611" s="64">
        <v>933.67600000000004</v>
      </c>
    </row>
    <row r="2612" spans="1:6" x14ac:dyDescent="0.25">
      <c r="A2612" s="47" t="s">
        <v>8200</v>
      </c>
      <c r="B2612" s="47" t="s">
        <v>3874</v>
      </c>
      <c r="C2612" s="47" t="s">
        <v>8201</v>
      </c>
      <c r="D2612" s="47"/>
      <c r="E2612" s="64">
        <v>39959.482499999998</v>
      </c>
      <c r="F2612" s="64">
        <v>100000000</v>
      </c>
    </row>
    <row r="2613" spans="1:6" x14ac:dyDescent="0.25">
      <c r="A2613" s="47" t="s">
        <v>8202</v>
      </c>
      <c r="B2613" s="47" t="s">
        <v>3877</v>
      </c>
      <c r="C2613" s="47" t="s">
        <v>8203</v>
      </c>
      <c r="D2613" s="47"/>
      <c r="E2613" s="64">
        <v>39959.482499999998</v>
      </c>
      <c r="F2613" s="64">
        <v>100000000</v>
      </c>
    </row>
    <row r="2614" spans="1:6" x14ac:dyDescent="0.25">
      <c r="A2614" s="47" t="s">
        <v>8204</v>
      </c>
      <c r="B2614" s="47" t="s">
        <v>3880</v>
      </c>
      <c r="C2614" s="47" t="s">
        <v>8205</v>
      </c>
      <c r="D2614" s="47"/>
      <c r="E2614" s="64">
        <v>47136.84</v>
      </c>
      <c r="F2614" s="64">
        <v>22</v>
      </c>
    </row>
    <row r="2615" spans="1:6" x14ac:dyDescent="0.25">
      <c r="A2615" s="47" t="s">
        <v>8206</v>
      </c>
      <c r="B2615" s="47" t="s">
        <v>3883</v>
      </c>
      <c r="C2615" s="47" t="s">
        <v>8207</v>
      </c>
      <c r="D2615" s="47"/>
      <c r="E2615" s="64">
        <v>39959.482499999998</v>
      </c>
      <c r="F2615" s="64">
        <v>100000000</v>
      </c>
    </row>
    <row r="2616" spans="1:6" x14ac:dyDescent="0.25">
      <c r="A2616" s="47" t="s">
        <v>8208</v>
      </c>
      <c r="B2616" s="47" t="s">
        <v>3901</v>
      </c>
      <c r="C2616" s="47" t="s">
        <v>8209</v>
      </c>
      <c r="D2616" s="47"/>
      <c r="E2616" s="64">
        <v>49074.31</v>
      </c>
      <c r="F2616" s="64">
        <v>22</v>
      </c>
    </row>
    <row r="2617" spans="1:6" x14ac:dyDescent="0.25">
      <c r="A2617" s="47" t="s">
        <v>8210</v>
      </c>
      <c r="B2617" s="47" t="s">
        <v>3904</v>
      </c>
      <c r="C2617" s="47" t="s">
        <v>8211</v>
      </c>
      <c r="D2617" s="47"/>
      <c r="E2617" s="64">
        <v>39959.482499999998</v>
      </c>
      <c r="F2617" s="64">
        <v>100000000</v>
      </c>
    </row>
    <row r="2618" spans="1:6" x14ac:dyDescent="0.25">
      <c r="A2618" s="47" t="s">
        <v>8212</v>
      </c>
      <c r="B2618" s="47" t="s">
        <v>3916</v>
      </c>
      <c r="C2618" s="47" t="s">
        <v>8213</v>
      </c>
      <c r="D2618" s="47" t="s">
        <v>3918</v>
      </c>
      <c r="E2618" s="64">
        <v>39357.79</v>
      </c>
      <c r="F2618" s="64">
        <v>93.75</v>
      </c>
    </row>
    <row r="2619" spans="1:6" x14ac:dyDescent="0.25">
      <c r="A2619" s="47" t="s">
        <v>8214</v>
      </c>
      <c r="B2619" s="47" t="s">
        <v>3929</v>
      </c>
      <c r="C2619" s="47" t="s">
        <v>8215</v>
      </c>
      <c r="D2619" s="47"/>
      <c r="E2619" s="64">
        <v>29779.22</v>
      </c>
      <c r="F2619" s="64">
        <v>22</v>
      </c>
    </row>
    <row r="2620" spans="1:6" x14ac:dyDescent="0.25">
      <c r="A2620" s="47" t="s">
        <v>8216</v>
      </c>
      <c r="B2620" s="47" t="s">
        <v>3932</v>
      </c>
      <c r="C2620" s="47" t="s">
        <v>8217</v>
      </c>
      <c r="D2620" s="47"/>
      <c r="E2620" s="64">
        <v>23702.22</v>
      </c>
      <c r="F2620" s="64">
        <v>100000000</v>
      </c>
    </row>
    <row r="2621" spans="1:6" x14ac:dyDescent="0.25">
      <c r="A2621" s="47" t="s">
        <v>8218</v>
      </c>
      <c r="B2621" s="47" t="s">
        <v>3935</v>
      </c>
      <c r="C2621" s="47" t="s">
        <v>8219</v>
      </c>
      <c r="D2621" s="47"/>
      <c r="E2621" s="64">
        <v>41549.749999999993</v>
      </c>
      <c r="F2621" s="64">
        <v>22</v>
      </c>
    </row>
    <row r="2622" spans="1:6" x14ac:dyDescent="0.25">
      <c r="A2622" s="47" t="s">
        <v>8220</v>
      </c>
      <c r="B2622" s="47" t="s">
        <v>3941</v>
      </c>
      <c r="C2622" s="47" t="s">
        <v>8221</v>
      </c>
      <c r="D2622" s="47"/>
      <c r="E2622" s="64">
        <v>49688.929999999993</v>
      </c>
      <c r="F2622" s="64">
        <v>22</v>
      </c>
    </row>
    <row r="2623" spans="1:6" x14ac:dyDescent="0.25">
      <c r="A2623" s="47" t="s">
        <v>8222</v>
      </c>
      <c r="B2623" s="47" t="s">
        <v>3944</v>
      </c>
      <c r="C2623" s="47" t="s">
        <v>8223</v>
      </c>
      <c r="D2623" s="47" t="s">
        <v>3328</v>
      </c>
      <c r="E2623" s="64">
        <v>21998.239999999998</v>
      </c>
      <c r="F2623" s="64">
        <v>0.11</v>
      </c>
    </row>
    <row r="2624" spans="1:6" x14ac:dyDescent="0.25">
      <c r="A2624" s="47" t="s">
        <v>8224</v>
      </c>
      <c r="B2624" s="47" t="s">
        <v>3950</v>
      </c>
      <c r="C2624" s="47" t="s">
        <v>8225</v>
      </c>
      <c r="D2624" s="47"/>
      <c r="E2624" s="64">
        <v>39959.482499999998</v>
      </c>
      <c r="F2624" s="64">
        <v>100000000</v>
      </c>
    </row>
    <row r="2625" spans="1:6" x14ac:dyDescent="0.25">
      <c r="A2625" s="47" t="s">
        <v>8226</v>
      </c>
      <c r="B2625" s="47" t="s">
        <v>3963</v>
      </c>
      <c r="C2625" s="47" t="s">
        <v>8227</v>
      </c>
      <c r="D2625" s="47"/>
      <c r="E2625" s="64">
        <v>39959.482499999998</v>
      </c>
      <c r="F2625" s="64">
        <v>100000000</v>
      </c>
    </row>
    <row r="2626" spans="1:6" x14ac:dyDescent="0.25">
      <c r="A2626" s="47" t="s">
        <v>8228</v>
      </c>
      <c r="B2626" s="47" t="s">
        <v>3987</v>
      </c>
      <c r="C2626" s="47" t="s">
        <v>8229</v>
      </c>
      <c r="D2626" s="47"/>
      <c r="E2626" s="64">
        <v>46891.17</v>
      </c>
      <c r="F2626" s="64">
        <v>22</v>
      </c>
    </row>
    <row r="2627" spans="1:6" x14ac:dyDescent="0.25">
      <c r="A2627" s="47" t="s">
        <v>8230</v>
      </c>
      <c r="B2627" s="47" t="s">
        <v>3990</v>
      </c>
      <c r="C2627" s="47" t="s">
        <v>8231</v>
      </c>
      <c r="D2627" s="47"/>
      <c r="E2627" s="64">
        <v>46389.337500000009</v>
      </c>
      <c r="F2627" s="64">
        <v>22</v>
      </c>
    </row>
    <row r="2628" spans="1:6" x14ac:dyDescent="0.25">
      <c r="A2628" s="47" t="s">
        <v>8232</v>
      </c>
      <c r="B2628" s="47" t="s">
        <v>3996</v>
      </c>
      <c r="C2628" s="47" t="s">
        <v>8233</v>
      </c>
      <c r="D2628" s="47"/>
      <c r="E2628" s="64">
        <v>49074.31</v>
      </c>
      <c r="F2628" s="64">
        <v>22</v>
      </c>
    </row>
    <row r="2629" spans="1:6" x14ac:dyDescent="0.25">
      <c r="A2629" s="47" t="s">
        <v>8234</v>
      </c>
      <c r="B2629" s="47" t="s">
        <v>4002</v>
      </c>
      <c r="C2629" s="47" t="s">
        <v>8235</v>
      </c>
      <c r="D2629" s="47"/>
      <c r="E2629" s="64">
        <v>40279.79</v>
      </c>
      <c r="F2629" s="64">
        <v>22</v>
      </c>
    </row>
    <row r="2630" spans="1:6" x14ac:dyDescent="0.25">
      <c r="A2630" s="47" t="s">
        <v>8236</v>
      </c>
      <c r="B2630" s="47" t="s">
        <v>4020</v>
      </c>
      <c r="C2630" s="47" t="s">
        <v>8237</v>
      </c>
      <c r="D2630" s="47"/>
      <c r="E2630" s="64">
        <v>39959.482499999998</v>
      </c>
      <c r="F2630" s="64">
        <v>100000000</v>
      </c>
    </row>
    <row r="2631" spans="1:6" x14ac:dyDescent="0.25">
      <c r="A2631" s="47" t="s">
        <v>8238</v>
      </c>
      <c r="B2631" s="47" t="s">
        <v>4043</v>
      </c>
      <c r="C2631" s="47" t="s">
        <v>8239</v>
      </c>
      <c r="D2631" s="47" t="s">
        <v>8240</v>
      </c>
      <c r="E2631" s="64">
        <v>131933.76500000001</v>
      </c>
      <c r="F2631" s="64">
        <v>190</v>
      </c>
    </row>
    <row r="2632" spans="1:6" x14ac:dyDescent="0.25">
      <c r="A2632" s="47" t="s">
        <v>8241</v>
      </c>
      <c r="B2632" s="47" t="s">
        <v>4061</v>
      </c>
      <c r="C2632" s="47" t="s">
        <v>8242</v>
      </c>
      <c r="D2632" s="47"/>
      <c r="E2632" s="64">
        <v>29779.22</v>
      </c>
      <c r="F2632" s="64">
        <v>100000000</v>
      </c>
    </row>
    <row r="2633" spans="1:6" x14ac:dyDescent="0.25">
      <c r="A2633" s="47" t="s">
        <v>8243</v>
      </c>
      <c r="B2633" s="47" t="s">
        <v>4071</v>
      </c>
      <c r="C2633" s="47" t="s">
        <v>8244</v>
      </c>
      <c r="D2633" s="47"/>
      <c r="E2633" s="64">
        <v>41591.730000000003</v>
      </c>
      <c r="F2633" s="64">
        <v>22</v>
      </c>
    </row>
    <row r="2634" spans="1:6" x14ac:dyDescent="0.25">
      <c r="A2634" s="47" t="s">
        <v>8245</v>
      </c>
      <c r="B2634" s="47" t="s">
        <v>4074</v>
      </c>
      <c r="C2634" s="47" t="s">
        <v>8246</v>
      </c>
      <c r="D2634" s="47"/>
      <c r="E2634" s="64">
        <v>46493.590000000004</v>
      </c>
      <c r="F2634" s="64">
        <v>22</v>
      </c>
    </row>
    <row r="2635" spans="1:6" x14ac:dyDescent="0.25">
      <c r="A2635" s="47" t="s">
        <v>8247</v>
      </c>
      <c r="B2635" s="47" t="s">
        <v>4080</v>
      </c>
      <c r="C2635" s="47" t="s">
        <v>8248</v>
      </c>
      <c r="D2635" s="47"/>
      <c r="E2635" s="64">
        <v>39959.482499999998</v>
      </c>
      <c r="F2635" s="64">
        <v>100000000</v>
      </c>
    </row>
    <row r="2636" spans="1:6" x14ac:dyDescent="0.25">
      <c r="A2636" s="47" t="s">
        <v>8249</v>
      </c>
      <c r="B2636" s="47" t="s">
        <v>4095</v>
      </c>
      <c r="C2636" s="47" t="s">
        <v>8250</v>
      </c>
      <c r="D2636" s="47"/>
      <c r="E2636" s="64">
        <v>33587.89</v>
      </c>
      <c r="F2636" s="64">
        <v>100000000</v>
      </c>
    </row>
    <row r="2637" spans="1:6" x14ac:dyDescent="0.25">
      <c r="A2637" s="47" t="s">
        <v>8251</v>
      </c>
      <c r="B2637" s="47" t="s">
        <v>4098</v>
      </c>
      <c r="C2637" s="47" t="s">
        <v>8252</v>
      </c>
      <c r="D2637" s="47"/>
      <c r="E2637" s="64">
        <v>39959.482499999998</v>
      </c>
      <c r="F2637" s="64">
        <v>100000000</v>
      </c>
    </row>
    <row r="2638" spans="1:6" x14ac:dyDescent="0.25">
      <c r="A2638" s="47" t="s">
        <v>8253</v>
      </c>
      <c r="B2638" s="47" t="s">
        <v>4101</v>
      </c>
      <c r="C2638" s="47" t="s">
        <v>8254</v>
      </c>
      <c r="D2638" s="47"/>
      <c r="E2638" s="64">
        <v>39959.482499999998</v>
      </c>
      <c r="F2638" s="64">
        <v>100000000</v>
      </c>
    </row>
    <row r="2639" spans="1:6" x14ac:dyDescent="0.25">
      <c r="A2639" s="47" t="s">
        <v>8255</v>
      </c>
      <c r="B2639" s="47" t="s">
        <v>4121</v>
      </c>
      <c r="C2639" s="47" t="s">
        <v>8256</v>
      </c>
      <c r="D2639" s="47" t="s">
        <v>699</v>
      </c>
      <c r="E2639" s="64">
        <v>78330.794999999998</v>
      </c>
      <c r="F2639" s="64">
        <v>4.0000000000000001E-3</v>
      </c>
    </row>
    <row r="2640" spans="1:6" x14ac:dyDescent="0.25">
      <c r="A2640" s="47" t="s">
        <v>8257</v>
      </c>
      <c r="B2640" s="47" t="s">
        <v>4124</v>
      </c>
      <c r="C2640" s="47" t="s">
        <v>8258</v>
      </c>
      <c r="D2640" s="47"/>
      <c r="E2640" s="64">
        <v>39959.482499999998</v>
      </c>
      <c r="F2640" s="64">
        <v>100000000</v>
      </c>
    </row>
    <row r="2641" spans="1:6" x14ac:dyDescent="0.25">
      <c r="A2641" s="47" t="s">
        <v>8259</v>
      </c>
      <c r="B2641" s="47" t="s">
        <v>4127</v>
      </c>
      <c r="C2641" s="47" t="s">
        <v>8260</v>
      </c>
      <c r="D2641" s="47"/>
      <c r="E2641" s="64">
        <v>35861.956666666665</v>
      </c>
      <c r="F2641" s="64">
        <v>100000000</v>
      </c>
    </row>
    <row r="2642" spans="1:6" x14ac:dyDescent="0.25">
      <c r="A2642" s="47" t="s">
        <v>8261</v>
      </c>
      <c r="B2642" s="47" t="s">
        <v>4145</v>
      </c>
      <c r="C2642" s="47" t="s">
        <v>8262</v>
      </c>
      <c r="D2642" s="47"/>
      <c r="E2642" s="64">
        <v>39959.482499999998</v>
      </c>
      <c r="F2642" s="64">
        <v>100000000</v>
      </c>
    </row>
    <row r="2643" spans="1:6" x14ac:dyDescent="0.25">
      <c r="A2643" s="47" t="s">
        <v>8263</v>
      </c>
      <c r="B2643" s="47" t="s">
        <v>4154</v>
      </c>
      <c r="C2643" s="47" t="s">
        <v>8264</v>
      </c>
      <c r="D2643" s="47" t="s">
        <v>1774</v>
      </c>
      <c r="E2643" s="64">
        <v>36414.825000000004</v>
      </c>
      <c r="F2643" s="64">
        <v>73.599999999999994</v>
      </c>
    </row>
    <row r="2644" spans="1:6" x14ac:dyDescent="0.25">
      <c r="A2644" s="47" t="s">
        <v>8265</v>
      </c>
      <c r="B2644" s="47" t="s">
        <v>4162</v>
      </c>
      <c r="C2644" s="47" t="s">
        <v>8266</v>
      </c>
      <c r="D2644" s="47" t="s">
        <v>734</v>
      </c>
      <c r="E2644" s="64">
        <v>23585.280000000002</v>
      </c>
      <c r="F2644" s="64">
        <v>783</v>
      </c>
    </row>
    <row r="2645" spans="1:6" x14ac:dyDescent="0.25">
      <c r="A2645" s="47" t="s">
        <v>8267</v>
      </c>
      <c r="B2645" s="47" t="s">
        <v>4186</v>
      </c>
      <c r="C2645" s="47" t="s">
        <v>8268</v>
      </c>
      <c r="D2645" s="47"/>
      <c r="E2645" s="64">
        <v>39959.482499999998</v>
      </c>
      <c r="F2645" s="64">
        <v>100000000</v>
      </c>
    </row>
    <row r="2646" spans="1:6" x14ac:dyDescent="0.25">
      <c r="A2646" s="47" t="s">
        <v>8269</v>
      </c>
      <c r="B2646" s="47" t="s">
        <v>4197</v>
      </c>
      <c r="C2646" s="47" t="s">
        <v>8270</v>
      </c>
      <c r="D2646" s="47" t="s">
        <v>1209</v>
      </c>
      <c r="E2646" s="64">
        <v>28189.389999999996</v>
      </c>
      <c r="F2646" s="64">
        <v>368.48649999999998</v>
      </c>
    </row>
    <row r="2647" spans="1:6" x14ac:dyDescent="0.25">
      <c r="A2647" s="47" t="s">
        <v>8271</v>
      </c>
      <c r="B2647" s="47" t="s">
        <v>4203</v>
      </c>
      <c r="C2647" s="47" t="s">
        <v>8272</v>
      </c>
      <c r="D2647" s="47"/>
      <c r="E2647" s="64">
        <v>59042.635000000009</v>
      </c>
      <c r="F2647" s="64">
        <v>22</v>
      </c>
    </row>
    <row r="2648" spans="1:6" x14ac:dyDescent="0.25">
      <c r="A2648" s="47" t="s">
        <v>8273</v>
      </c>
      <c r="B2648" s="47" t="s">
        <v>4209</v>
      </c>
      <c r="C2648" s="47" t="s">
        <v>8274</v>
      </c>
      <c r="D2648" s="47"/>
      <c r="E2648" s="64">
        <v>41549.749999999993</v>
      </c>
      <c r="F2648" s="64">
        <v>22</v>
      </c>
    </row>
    <row r="2649" spans="1:6" x14ac:dyDescent="0.25">
      <c r="A2649" s="47" t="s">
        <v>8275</v>
      </c>
      <c r="B2649" s="47" t="s">
        <v>4216</v>
      </c>
      <c r="C2649" s="47" t="s">
        <v>8276</v>
      </c>
      <c r="D2649" s="47" t="s">
        <v>4218</v>
      </c>
      <c r="E2649" s="64">
        <v>22173.189999999995</v>
      </c>
      <c r="F2649" s="64">
        <v>22.600000000000005</v>
      </c>
    </row>
    <row r="2650" spans="1:6" x14ac:dyDescent="0.25">
      <c r="A2650" s="47" t="s">
        <v>8277</v>
      </c>
      <c r="B2650" s="47" t="s">
        <v>4224</v>
      </c>
      <c r="C2650" s="47" t="s">
        <v>8278</v>
      </c>
      <c r="D2650" s="47" t="s">
        <v>7375</v>
      </c>
      <c r="E2650" s="64">
        <v>40400.393333333333</v>
      </c>
      <c r="F2650" s="64">
        <v>670</v>
      </c>
    </row>
    <row r="2651" spans="1:6" x14ac:dyDescent="0.25">
      <c r="A2651" s="47" t="s">
        <v>8279</v>
      </c>
      <c r="B2651" s="47" t="s">
        <v>4274</v>
      </c>
      <c r="C2651" s="47" t="s">
        <v>8280</v>
      </c>
      <c r="D2651" s="47" t="s">
        <v>511</v>
      </c>
      <c r="E2651" s="64">
        <v>27891.445000000003</v>
      </c>
      <c r="F2651" s="64">
        <v>111</v>
      </c>
    </row>
    <row r="2652" spans="1:6" x14ac:dyDescent="0.25">
      <c r="A2652" s="47" t="s">
        <v>8281</v>
      </c>
      <c r="B2652" s="47" t="s">
        <v>4277</v>
      </c>
      <c r="C2652" s="47" t="s">
        <v>8282</v>
      </c>
      <c r="D2652" s="47" t="s">
        <v>4279</v>
      </c>
      <c r="E2652" s="64">
        <v>47334.3</v>
      </c>
      <c r="F2652" s="64">
        <v>0.28299999999999997</v>
      </c>
    </row>
    <row r="2653" spans="1:6" x14ac:dyDescent="0.25">
      <c r="A2653" s="47" t="s">
        <v>8283</v>
      </c>
      <c r="B2653" s="47" t="s">
        <v>4281</v>
      </c>
      <c r="C2653" s="47" t="s">
        <v>8284</v>
      </c>
      <c r="D2653" s="47"/>
      <c r="E2653" s="64">
        <v>49500.32</v>
      </c>
      <c r="F2653" s="64">
        <v>22</v>
      </c>
    </row>
    <row r="2654" spans="1:6" x14ac:dyDescent="0.25">
      <c r="A2654" s="47" t="s">
        <v>8285</v>
      </c>
      <c r="B2654" s="47" t="s">
        <v>4302</v>
      </c>
      <c r="C2654" s="47" t="s">
        <v>8286</v>
      </c>
      <c r="D2654" s="47"/>
      <c r="E2654" s="64">
        <v>39959.482499999998</v>
      </c>
      <c r="F2654" s="64">
        <v>100000000</v>
      </c>
    </row>
    <row r="2655" spans="1:6" x14ac:dyDescent="0.25">
      <c r="A2655" s="47" t="s">
        <v>8287</v>
      </c>
      <c r="B2655" s="47" t="s">
        <v>4305</v>
      </c>
      <c r="C2655" s="47" t="s">
        <v>8288</v>
      </c>
      <c r="D2655" s="47" t="s">
        <v>3002</v>
      </c>
      <c r="E2655" s="64">
        <v>20095.39</v>
      </c>
      <c r="F2655" s="64">
        <v>109.46666666666665</v>
      </c>
    </row>
    <row r="2656" spans="1:6" x14ac:dyDescent="0.25">
      <c r="A2656" s="47" t="s">
        <v>8289</v>
      </c>
      <c r="B2656" s="47" t="s">
        <v>4308</v>
      </c>
      <c r="C2656" s="47" t="s">
        <v>8290</v>
      </c>
      <c r="D2656" s="47" t="s">
        <v>4310</v>
      </c>
      <c r="E2656" s="64">
        <v>36076.700000000004</v>
      </c>
      <c r="F2656" s="64">
        <v>14.7</v>
      </c>
    </row>
    <row r="2657" spans="1:6" x14ac:dyDescent="0.25">
      <c r="A2657" s="47" t="s">
        <v>8291</v>
      </c>
      <c r="B2657" s="47" t="s">
        <v>4312</v>
      </c>
      <c r="C2657" s="47" t="s">
        <v>8292</v>
      </c>
      <c r="D2657" s="47"/>
      <c r="E2657" s="64">
        <v>39959.482499999998</v>
      </c>
      <c r="F2657" s="64">
        <v>100000000</v>
      </c>
    </row>
    <row r="2658" spans="1:6" x14ac:dyDescent="0.25">
      <c r="A2658" s="47" t="s">
        <v>8293</v>
      </c>
      <c r="B2658" s="47" t="s">
        <v>4318</v>
      </c>
      <c r="C2658" s="47" t="s">
        <v>8294</v>
      </c>
      <c r="D2658" s="47" t="s">
        <v>4320</v>
      </c>
      <c r="E2658" s="64">
        <v>42585.246666666666</v>
      </c>
      <c r="F2658" s="64">
        <v>47.4</v>
      </c>
    </row>
    <row r="2659" spans="1:6" x14ac:dyDescent="0.25">
      <c r="A2659" s="47" t="s">
        <v>8295</v>
      </c>
      <c r="B2659" s="47" t="s">
        <v>4338</v>
      </c>
      <c r="C2659" s="47" t="s">
        <v>8296</v>
      </c>
      <c r="D2659" s="47" t="s">
        <v>4340</v>
      </c>
      <c r="E2659" s="64">
        <v>71150.159999999989</v>
      </c>
      <c r="F2659" s="64">
        <v>201</v>
      </c>
    </row>
    <row r="2660" spans="1:6" x14ac:dyDescent="0.25">
      <c r="A2660" s="47" t="s">
        <v>8297</v>
      </c>
      <c r="B2660" s="47" t="s">
        <v>4344</v>
      </c>
      <c r="C2660" s="47" t="s">
        <v>8298</v>
      </c>
      <c r="D2660" s="47" t="s">
        <v>4346</v>
      </c>
      <c r="E2660" s="64">
        <v>41440.92</v>
      </c>
      <c r="F2660" s="64">
        <v>0.19500000000000001</v>
      </c>
    </row>
    <row r="2661" spans="1:6" x14ac:dyDescent="0.25">
      <c r="A2661" s="47" t="s">
        <v>8299</v>
      </c>
      <c r="B2661" s="47" t="s">
        <v>4352</v>
      </c>
      <c r="C2661" s="47" t="s">
        <v>8300</v>
      </c>
      <c r="D2661" s="47" t="s">
        <v>4354</v>
      </c>
      <c r="E2661" s="64">
        <v>32908.989999999991</v>
      </c>
      <c r="F2661" s="64">
        <v>8.3300000000000006E-3</v>
      </c>
    </row>
    <row r="2662" spans="1:6" x14ac:dyDescent="0.25">
      <c r="A2662" s="47" t="s">
        <v>8301</v>
      </c>
      <c r="B2662" s="47" t="s">
        <v>4363</v>
      </c>
      <c r="C2662" s="47" t="s">
        <v>8302</v>
      </c>
      <c r="D2662" s="47" t="s">
        <v>507</v>
      </c>
      <c r="E2662" s="64">
        <v>51541.290000000008</v>
      </c>
      <c r="F2662" s="64">
        <v>2.9</v>
      </c>
    </row>
    <row r="2663" spans="1:6" x14ac:dyDescent="0.25">
      <c r="A2663" s="47" t="s">
        <v>8303</v>
      </c>
      <c r="B2663" s="47" t="s">
        <v>4370</v>
      </c>
      <c r="C2663" s="47" t="s">
        <v>8304</v>
      </c>
      <c r="D2663" s="47" t="s">
        <v>4372</v>
      </c>
      <c r="E2663" s="64">
        <v>57327.489999999991</v>
      </c>
      <c r="F2663" s="64">
        <v>5</v>
      </c>
    </row>
    <row r="2664" spans="1:6" x14ac:dyDescent="0.25">
      <c r="A2664" s="47" t="s">
        <v>8305</v>
      </c>
      <c r="B2664" s="47" t="s">
        <v>4380</v>
      </c>
      <c r="C2664" s="47" t="s">
        <v>8306</v>
      </c>
      <c r="D2664" s="47"/>
      <c r="E2664" s="64">
        <v>39959.482499999998</v>
      </c>
      <c r="F2664" s="64">
        <v>100000000</v>
      </c>
    </row>
    <row r="2665" spans="1:6" x14ac:dyDescent="0.25">
      <c r="A2665" s="47" t="s">
        <v>8307</v>
      </c>
      <c r="B2665" s="47" t="s">
        <v>4383</v>
      </c>
      <c r="C2665" s="47" t="s">
        <v>8308</v>
      </c>
      <c r="D2665" s="47"/>
      <c r="E2665" s="64">
        <v>39959.482499999998</v>
      </c>
      <c r="F2665" s="64">
        <v>100000000</v>
      </c>
    </row>
    <row r="2666" spans="1:6" x14ac:dyDescent="0.25">
      <c r="A2666" s="47" t="s">
        <v>8309</v>
      </c>
      <c r="B2666" s="47" t="s">
        <v>4388</v>
      </c>
      <c r="C2666" s="47" t="s">
        <v>8310</v>
      </c>
      <c r="D2666" s="47" t="s">
        <v>8311</v>
      </c>
      <c r="E2666" s="64">
        <v>42373.855000000003</v>
      </c>
      <c r="F2666" s="64">
        <v>275</v>
      </c>
    </row>
    <row r="2667" spans="1:6" x14ac:dyDescent="0.25">
      <c r="A2667" s="47" t="s">
        <v>8312</v>
      </c>
      <c r="B2667" s="47" t="s">
        <v>4392</v>
      </c>
      <c r="C2667" s="47" t="s">
        <v>8313</v>
      </c>
      <c r="D2667" s="47" t="s">
        <v>4394</v>
      </c>
      <c r="E2667" s="64">
        <v>26971.149999999994</v>
      </c>
      <c r="F2667" s="64">
        <v>9000</v>
      </c>
    </row>
    <row r="2668" spans="1:6" x14ac:dyDescent="0.25">
      <c r="A2668" s="47" t="s">
        <v>8314</v>
      </c>
      <c r="B2668" s="47" t="s">
        <v>4396</v>
      </c>
      <c r="C2668" s="47" t="s">
        <v>8315</v>
      </c>
      <c r="D2668" s="47" t="s">
        <v>3720</v>
      </c>
      <c r="E2668" s="64">
        <v>19466.330000000002</v>
      </c>
      <c r="F2668" s="64">
        <v>8</v>
      </c>
    </row>
    <row r="2669" spans="1:6" x14ac:dyDescent="0.25">
      <c r="A2669" s="47" t="s">
        <v>8316</v>
      </c>
      <c r="B2669" s="47" t="s">
        <v>4399</v>
      </c>
      <c r="C2669" s="47" t="s">
        <v>8317</v>
      </c>
      <c r="D2669" s="47" t="s">
        <v>4401</v>
      </c>
      <c r="E2669" s="64">
        <v>41366.409999999996</v>
      </c>
      <c r="F2669" s="64">
        <v>1</v>
      </c>
    </row>
    <row r="2670" spans="1:6" x14ac:dyDescent="0.25">
      <c r="A2670" s="47" t="s">
        <v>8318</v>
      </c>
      <c r="B2670" s="47" t="s">
        <v>4406</v>
      </c>
      <c r="C2670" s="47" t="s">
        <v>8319</v>
      </c>
      <c r="D2670" s="47"/>
      <c r="E2670" s="64">
        <v>39959.482499999998</v>
      </c>
      <c r="F2670" s="64">
        <v>100000000</v>
      </c>
    </row>
    <row r="2671" spans="1:6" x14ac:dyDescent="0.25">
      <c r="A2671" s="47" t="s">
        <v>8320</v>
      </c>
      <c r="B2671" s="47" t="s">
        <v>4409</v>
      </c>
      <c r="C2671" s="47" t="s">
        <v>8321</v>
      </c>
      <c r="D2671" s="47"/>
      <c r="E2671" s="64">
        <v>39959.482499999998</v>
      </c>
      <c r="F2671" s="64">
        <v>100000000</v>
      </c>
    </row>
    <row r="2672" spans="1:6" x14ac:dyDescent="0.25">
      <c r="A2672" s="47" t="s">
        <v>8322</v>
      </c>
      <c r="B2672" s="47" t="s">
        <v>4412</v>
      </c>
      <c r="C2672" s="47" t="s">
        <v>8323</v>
      </c>
      <c r="D2672" s="47"/>
      <c r="E2672" s="64">
        <v>39959.482499999998</v>
      </c>
      <c r="F2672" s="64">
        <v>100000000</v>
      </c>
    </row>
    <row r="2673" spans="1:6" x14ac:dyDescent="0.25">
      <c r="A2673" s="47" t="s">
        <v>8324</v>
      </c>
      <c r="B2673" s="47" t="s">
        <v>4430</v>
      </c>
      <c r="C2673" s="47" t="s">
        <v>8325</v>
      </c>
      <c r="D2673" s="47" t="s">
        <v>4432</v>
      </c>
      <c r="E2673" s="64">
        <v>27248.15</v>
      </c>
      <c r="F2673" s="64">
        <v>3.78</v>
      </c>
    </row>
    <row r="2674" spans="1:6" x14ac:dyDescent="0.25">
      <c r="A2674" s="47" t="s">
        <v>8326</v>
      </c>
      <c r="B2674" s="47" t="s">
        <v>4434</v>
      </c>
      <c r="C2674" s="47" t="s">
        <v>8327</v>
      </c>
      <c r="D2674" s="47" t="s">
        <v>4432</v>
      </c>
      <c r="E2674" s="64">
        <v>27248.15</v>
      </c>
      <c r="F2674" s="64">
        <v>3.78</v>
      </c>
    </row>
    <row r="2675" spans="1:6" x14ac:dyDescent="0.25">
      <c r="A2675" s="47" t="s">
        <v>8328</v>
      </c>
      <c r="B2675" s="47" t="s">
        <v>4437</v>
      </c>
      <c r="C2675" s="47" t="s">
        <v>8329</v>
      </c>
      <c r="D2675" s="47" t="s">
        <v>4432</v>
      </c>
      <c r="E2675" s="64">
        <v>27248.15</v>
      </c>
      <c r="F2675" s="64">
        <v>3.78</v>
      </c>
    </row>
    <row r="2676" spans="1:6" x14ac:dyDescent="0.25">
      <c r="A2676" s="47" t="s">
        <v>8330</v>
      </c>
      <c r="B2676" s="47" t="s">
        <v>4457</v>
      </c>
      <c r="C2676" s="47" t="s">
        <v>8331</v>
      </c>
      <c r="D2676" s="47"/>
      <c r="E2676" s="64">
        <v>39959.482499999998</v>
      </c>
      <c r="F2676" s="64">
        <v>100000000</v>
      </c>
    </row>
    <row r="2677" spans="1:6" x14ac:dyDescent="0.25">
      <c r="A2677" s="47" t="s">
        <v>8332</v>
      </c>
      <c r="B2677" s="47" t="s">
        <v>4464</v>
      </c>
      <c r="C2677" s="47" t="s">
        <v>8333</v>
      </c>
      <c r="D2677" s="47"/>
      <c r="E2677" s="64">
        <v>39959.482499999998</v>
      </c>
      <c r="F2677" s="64">
        <v>100000000</v>
      </c>
    </row>
    <row r="2678" spans="1:6" x14ac:dyDescent="0.25">
      <c r="A2678" s="47" t="s">
        <v>8334</v>
      </c>
      <c r="B2678" s="47" t="s">
        <v>4467</v>
      </c>
      <c r="C2678" s="47" t="s">
        <v>8335</v>
      </c>
      <c r="D2678" s="47"/>
      <c r="E2678" s="64">
        <v>39959.482499999998</v>
      </c>
      <c r="F2678" s="64">
        <v>100000000</v>
      </c>
    </row>
    <row r="2679" spans="1:6" x14ac:dyDescent="0.25">
      <c r="A2679" s="47" t="s">
        <v>8336</v>
      </c>
      <c r="B2679" s="47" t="s">
        <v>4470</v>
      </c>
      <c r="C2679" s="47" t="s">
        <v>8337</v>
      </c>
      <c r="D2679" s="47"/>
      <c r="E2679" s="64">
        <v>39959.482499999998</v>
      </c>
      <c r="F2679" s="64">
        <v>100000000</v>
      </c>
    </row>
    <row r="2680" spans="1:6" x14ac:dyDescent="0.25">
      <c r="A2680" s="47" t="s">
        <v>8338</v>
      </c>
      <c r="B2680" s="47" t="s">
        <v>4473</v>
      </c>
      <c r="C2680" s="47" t="s">
        <v>8339</v>
      </c>
      <c r="D2680" s="47"/>
      <c r="E2680" s="64">
        <v>39959.482499999998</v>
      </c>
      <c r="F2680" s="64">
        <v>100000000</v>
      </c>
    </row>
    <row r="2681" spans="1:6" x14ac:dyDescent="0.25">
      <c r="A2681" s="47" t="s">
        <v>8340</v>
      </c>
      <c r="B2681" s="47" t="s">
        <v>4476</v>
      </c>
      <c r="C2681" s="47" t="s">
        <v>8341</v>
      </c>
      <c r="D2681" s="47"/>
      <c r="E2681" s="64">
        <v>39959.482499999998</v>
      </c>
      <c r="F2681" s="64">
        <v>100000000</v>
      </c>
    </row>
    <row r="2682" spans="1:6" x14ac:dyDescent="0.25">
      <c r="A2682" s="47" t="s">
        <v>8342</v>
      </c>
      <c r="B2682" s="47" t="s">
        <v>4479</v>
      </c>
      <c r="C2682" s="47" t="s">
        <v>8343</v>
      </c>
      <c r="D2682" s="47" t="s">
        <v>4481</v>
      </c>
      <c r="E2682" s="64">
        <v>41648.74</v>
      </c>
      <c r="F2682" s="64">
        <v>278</v>
      </c>
    </row>
    <row r="2683" spans="1:6" x14ac:dyDescent="0.25">
      <c r="A2683" s="47" t="s">
        <v>8344</v>
      </c>
      <c r="B2683" s="47" t="s">
        <v>4502</v>
      </c>
      <c r="C2683" s="47" t="s">
        <v>8345</v>
      </c>
      <c r="D2683" s="47"/>
      <c r="E2683" s="64">
        <v>39959.482499999998</v>
      </c>
      <c r="F2683" s="64">
        <v>100000000</v>
      </c>
    </row>
    <row r="2684" spans="1:6" x14ac:dyDescent="0.25">
      <c r="A2684" s="47" t="s">
        <v>8346</v>
      </c>
      <c r="B2684" s="47" t="s">
        <v>4512</v>
      </c>
      <c r="C2684" s="47" t="s">
        <v>8347</v>
      </c>
      <c r="D2684" s="47" t="s">
        <v>612</v>
      </c>
      <c r="E2684" s="64">
        <v>90519.87999999999</v>
      </c>
      <c r="F2684" s="64">
        <v>1E-3</v>
      </c>
    </row>
    <row r="2685" spans="1:6" x14ac:dyDescent="0.25">
      <c r="A2685" s="47" t="s">
        <v>8348</v>
      </c>
      <c r="B2685" s="47" t="s">
        <v>4518</v>
      </c>
      <c r="C2685" s="47" t="s">
        <v>8349</v>
      </c>
      <c r="D2685" s="47"/>
      <c r="E2685" s="64">
        <v>39959.482499999998</v>
      </c>
      <c r="F2685" s="64">
        <v>100000000</v>
      </c>
    </row>
    <row r="2686" spans="1:6" x14ac:dyDescent="0.25">
      <c r="A2686" s="47" t="s">
        <v>8350</v>
      </c>
      <c r="B2686" s="47" t="s">
        <v>4524</v>
      </c>
      <c r="C2686" s="47" t="s">
        <v>8351</v>
      </c>
      <c r="D2686" s="47"/>
      <c r="E2686" s="64">
        <v>39959.482499999998</v>
      </c>
      <c r="F2686" s="64">
        <v>100000000</v>
      </c>
    </row>
    <row r="2687" spans="1:6" x14ac:dyDescent="0.25">
      <c r="A2687" s="47" t="s">
        <v>8352</v>
      </c>
      <c r="B2687" s="47" t="s">
        <v>4527</v>
      </c>
      <c r="C2687" s="47" t="s">
        <v>8353</v>
      </c>
      <c r="D2687" s="47"/>
      <c r="E2687" s="64">
        <v>39959.482499999998</v>
      </c>
      <c r="F2687" s="64">
        <v>100000000</v>
      </c>
    </row>
    <row r="2688" spans="1:6" x14ac:dyDescent="0.25">
      <c r="A2688" s="47" t="s">
        <v>8354</v>
      </c>
      <c r="B2688" s="47" t="s">
        <v>4530</v>
      </c>
      <c r="C2688" s="47" t="s">
        <v>8355</v>
      </c>
      <c r="D2688" s="47"/>
      <c r="E2688" s="64">
        <v>39959.482499999998</v>
      </c>
      <c r="F2688" s="64">
        <v>100000000</v>
      </c>
    </row>
    <row r="2689" spans="1:6" x14ac:dyDescent="0.25">
      <c r="A2689" s="47" t="s">
        <v>8356</v>
      </c>
      <c r="B2689" s="47" t="s">
        <v>4533</v>
      </c>
      <c r="C2689" s="47" t="s">
        <v>8357</v>
      </c>
      <c r="D2689" s="47"/>
      <c r="E2689" s="64">
        <v>39959.482499999998</v>
      </c>
      <c r="F2689" s="64">
        <v>100000000</v>
      </c>
    </row>
    <row r="2690" spans="1:6" x14ac:dyDescent="0.25">
      <c r="A2690" s="47" t="s">
        <v>8358</v>
      </c>
      <c r="B2690" s="47" t="s">
        <v>4560</v>
      </c>
      <c r="C2690" s="47" t="s">
        <v>8359</v>
      </c>
      <c r="D2690" s="47"/>
      <c r="E2690" s="64">
        <v>39959.482499999998</v>
      </c>
      <c r="F2690" s="64">
        <v>100000000</v>
      </c>
    </row>
    <row r="2691" spans="1:6" x14ac:dyDescent="0.25">
      <c r="A2691" s="47" t="s">
        <v>8360</v>
      </c>
      <c r="B2691" s="47" t="s">
        <v>4563</v>
      </c>
      <c r="C2691" s="47" t="s">
        <v>8361</v>
      </c>
      <c r="D2691" s="47"/>
      <c r="E2691" s="64">
        <v>39959.482499999998</v>
      </c>
      <c r="F2691" s="64">
        <v>100000000</v>
      </c>
    </row>
    <row r="2692" spans="1:6" x14ac:dyDescent="0.25">
      <c r="A2692" s="47" t="s">
        <v>8362</v>
      </c>
      <c r="B2692" s="47" t="s">
        <v>4566</v>
      </c>
      <c r="C2692" s="47" t="s">
        <v>8363</v>
      </c>
      <c r="D2692" s="47"/>
      <c r="E2692" s="64">
        <v>39959.482499999998</v>
      </c>
      <c r="F2692" s="64">
        <v>100000000</v>
      </c>
    </row>
    <row r="2693" spans="1:6" x14ac:dyDescent="0.25">
      <c r="A2693" s="47" t="s">
        <v>8364</v>
      </c>
      <c r="B2693" s="47" t="s">
        <v>4569</v>
      </c>
      <c r="C2693" s="47" t="s">
        <v>8365</v>
      </c>
      <c r="D2693" s="47"/>
      <c r="E2693" s="64">
        <v>39959.482499999998</v>
      </c>
      <c r="F2693" s="64">
        <v>100000000</v>
      </c>
    </row>
    <row r="2694" spans="1:6" x14ac:dyDescent="0.25">
      <c r="A2694" s="47" t="s">
        <v>8366</v>
      </c>
      <c r="B2694" s="47" t="s">
        <v>4572</v>
      </c>
      <c r="C2694" s="47" t="s">
        <v>8367</v>
      </c>
      <c r="D2694" s="47"/>
      <c r="E2694" s="64">
        <v>39959.482499999998</v>
      </c>
      <c r="F2694" s="64">
        <v>100000000</v>
      </c>
    </row>
    <row r="2695" spans="1:6" x14ac:dyDescent="0.25">
      <c r="A2695" s="47" t="s">
        <v>8368</v>
      </c>
      <c r="B2695" s="47" t="s">
        <v>4575</v>
      </c>
      <c r="C2695" s="47" t="s">
        <v>8369</v>
      </c>
      <c r="D2695" s="47"/>
      <c r="E2695" s="64">
        <v>39959.482499999998</v>
      </c>
      <c r="F2695" s="64">
        <v>100000000</v>
      </c>
    </row>
    <row r="2696" spans="1:6" x14ac:dyDescent="0.25">
      <c r="A2696" s="47" t="s">
        <v>8370</v>
      </c>
      <c r="B2696" s="47" t="s">
        <v>4578</v>
      </c>
      <c r="C2696" s="47" t="s">
        <v>8371</v>
      </c>
      <c r="D2696" s="47"/>
      <c r="E2696" s="64">
        <v>39959.482499999998</v>
      </c>
      <c r="F2696" s="64">
        <v>100000000</v>
      </c>
    </row>
    <row r="2697" spans="1:6" x14ac:dyDescent="0.25">
      <c r="A2697" s="47" t="s">
        <v>8372</v>
      </c>
      <c r="B2697" s="47" t="s">
        <v>4581</v>
      </c>
      <c r="C2697" s="47" t="s">
        <v>8373</v>
      </c>
      <c r="D2697" s="47"/>
      <c r="E2697" s="64">
        <v>39959.482499999998</v>
      </c>
      <c r="F2697" s="64">
        <v>100000000</v>
      </c>
    </row>
    <row r="2698" spans="1:6" x14ac:dyDescent="0.25">
      <c r="A2698" s="47" t="s">
        <v>8374</v>
      </c>
      <c r="B2698" s="47" t="s">
        <v>4593</v>
      </c>
      <c r="C2698" s="47" t="s">
        <v>8375</v>
      </c>
      <c r="D2698" s="47"/>
      <c r="E2698" s="64">
        <v>39959.482499999998</v>
      </c>
      <c r="F2698" s="64">
        <v>100000000</v>
      </c>
    </row>
    <row r="2699" spans="1:6" x14ac:dyDescent="0.25">
      <c r="A2699" s="47" t="s">
        <v>8376</v>
      </c>
      <c r="B2699" s="47" t="s">
        <v>4599</v>
      </c>
      <c r="C2699" s="47" t="s">
        <v>8377</v>
      </c>
      <c r="D2699" s="47"/>
      <c r="E2699" s="64">
        <v>39959.482499999998</v>
      </c>
      <c r="F2699" s="64">
        <v>100000000</v>
      </c>
    </row>
    <row r="2700" spans="1:6" x14ac:dyDescent="0.25">
      <c r="A2700" s="47" t="s">
        <v>8378</v>
      </c>
      <c r="B2700" s="47" t="s">
        <v>4602</v>
      </c>
      <c r="C2700" s="47" t="s">
        <v>8379</v>
      </c>
      <c r="D2700" s="47"/>
      <c r="E2700" s="64">
        <v>39959.482499999998</v>
      </c>
      <c r="F2700" s="64">
        <v>100000000</v>
      </c>
    </row>
    <row r="2701" spans="1:6" x14ac:dyDescent="0.25">
      <c r="A2701" s="47" t="s">
        <v>8380</v>
      </c>
      <c r="B2701" s="47" t="s">
        <v>4605</v>
      </c>
      <c r="C2701" s="47" t="s">
        <v>8381</v>
      </c>
      <c r="D2701" s="47"/>
      <c r="E2701" s="64">
        <v>39959.482499999998</v>
      </c>
      <c r="F2701" s="64">
        <v>100000000</v>
      </c>
    </row>
    <row r="2702" spans="1:6" x14ac:dyDescent="0.25">
      <c r="A2702" s="47" t="s">
        <v>8382</v>
      </c>
      <c r="B2702" s="47" t="s">
        <v>4637</v>
      </c>
      <c r="C2702" s="47" t="s">
        <v>8383</v>
      </c>
      <c r="D2702" s="47"/>
      <c r="E2702" s="64">
        <v>39959.482499999998</v>
      </c>
      <c r="F2702" s="64">
        <v>100000000</v>
      </c>
    </row>
    <row r="2703" spans="1:6" x14ac:dyDescent="0.25">
      <c r="A2703" s="47" t="s">
        <v>8384</v>
      </c>
      <c r="B2703" s="47" t="s">
        <v>4640</v>
      </c>
      <c r="C2703" s="47" t="s">
        <v>8385</v>
      </c>
      <c r="D2703" s="47"/>
      <c r="E2703" s="64">
        <v>39959.482499999998</v>
      </c>
      <c r="F2703" s="64">
        <v>100000000</v>
      </c>
    </row>
    <row r="2704" spans="1:6" x14ac:dyDescent="0.25">
      <c r="A2704" s="47" t="s">
        <v>8386</v>
      </c>
      <c r="B2704" s="47" t="s">
        <v>4665</v>
      </c>
      <c r="C2704" s="47" t="s">
        <v>8387</v>
      </c>
      <c r="D2704" s="47"/>
      <c r="E2704" s="64">
        <v>39959.482499999998</v>
      </c>
      <c r="F2704" s="64">
        <v>100000000</v>
      </c>
    </row>
    <row r="2705" spans="1:6" x14ac:dyDescent="0.25">
      <c r="A2705" s="47" t="s">
        <v>8388</v>
      </c>
      <c r="B2705" s="47" t="s">
        <v>4738</v>
      </c>
      <c r="C2705" s="47" t="s">
        <v>8389</v>
      </c>
      <c r="D2705" s="47" t="s">
        <v>4740</v>
      </c>
      <c r="E2705" s="64">
        <v>20507.640000000003</v>
      </c>
      <c r="F2705" s="64">
        <v>4.8062499999999995</v>
      </c>
    </row>
    <row r="2706" spans="1:6" x14ac:dyDescent="0.25">
      <c r="A2706" s="47" t="s">
        <v>8390</v>
      </c>
      <c r="B2706" s="47" t="s">
        <v>4775</v>
      </c>
      <c r="C2706" s="47" t="s">
        <v>8391</v>
      </c>
      <c r="D2706" s="47" t="s">
        <v>4777</v>
      </c>
      <c r="E2706" s="64">
        <v>89377.700000000012</v>
      </c>
      <c r="F2706" s="64">
        <v>0.64</v>
      </c>
    </row>
    <row r="2707" spans="1:6" x14ac:dyDescent="0.25">
      <c r="A2707" s="47" t="s">
        <v>8392</v>
      </c>
      <c r="B2707" s="47" t="s">
        <v>4779</v>
      </c>
      <c r="C2707" s="47" t="s">
        <v>8393</v>
      </c>
      <c r="D2707" s="47" t="s">
        <v>152</v>
      </c>
      <c r="E2707" s="64">
        <v>78330.794999999998</v>
      </c>
      <c r="F2707" s="64">
        <v>7.5465</v>
      </c>
    </row>
    <row r="2708" spans="1:6" x14ac:dyDescent="0.25">
      <c r="A2708" s="47" t="s">
        <v>8394</v>
      </c>
      <c r="B2708" s="47" t="s">
        <v>4643</v>
      </c>
      <c r="C2708" s="47" t="s">
        <v>8395</v>
      </c>
      <c r="D2708" s="47" t="s">
        <v>4797</v>
      </c>
      <c r="E2708" s="64">
        <v>36533.71</v>
      </c>
      <c r="F2708" s="64">
        <v>525</v>
      </c>
    </row>
    <row r="2709" spans="1:6" x14ac:dyDescent="0.25">
      <c r="A2709" s="47" t="s">
        <v>8396</v>
      </c>
      <c r="B2709" s="47" t="s">
        <v>4815</v>
      </c>
      <c r="C2709" s="47" t="s">
        <v>8397</v>
      </c>
      <c r="D2709" s="47"/>
      <c r="E2709" s="64">
        <v>39959.482499999998</v>
      </c>
      <c r="F2709" s="64">
        <v>100000000</v>
      </c>
    </row>
    <row r="2710" spans="1:6" x14ac:dyDescent="0.25">
      <c r="A2710" s="47" t="s">
        <v>8398</v>
      </c>
      <c r="B2710" s="47" t="s">
        <v>4821</v>
      </c>
      <c r="C2710" s="47" t="s">
        <v>8399</v>
      </c>
      <c r="D2710" s="47" t="s">
        <v>4823</v>
      </c>
      <c r="E2710" s="64">
        <v>18968.47</v>
      </c>
      <c r="F2710" s="64">
        <v>15</v>
      </c>
    </row>
    <row r="2711" spans="1:6" x14ac:dyDescent="0.25">
      <c r="A2711" s="47" t="s">
        <v>8400</v>
      </c>
      <c r="B2711" s="47" t="s">
        <v>4875</v>
      </c>
      <c r="C2711" s="47" t="s">
        <v>8401</v>
      </c>
      <c r="D2711" s="47"/>
      <c r="E2711" s="64">
        <v>39959.482499999998</v>
      </c>
      <c r="F2711" s="64">
        <v>100000000</v>
      </c>
    </row>
    <row r="2712" spans="1:6" x14ac:dyDescent="0.25">
      <c r="A2712" s="47" t="s">
        <v>8402</v>
      </c>
      <c r="B2712" s="47" t="s">
        <v>4878</v>
      </c>
      <c r="C2712" s="47" t="s">
        <v>8403</v>
      </c>
      <c r="D2712" s="47"/>
      <c r="E2712" s="64">
        <v>39959.482499999998</v>
      </c>
      <c r="F2712" s="64">
        <v>100000000</v>
      </c>
    </row>
    <row r="2713" spans="1:6" x14ac:dyDescent="0.25">
      <c r="A2713" s="47" t="s">
        <v>8404</v>
      </c>
      <c r="B2713" s="47" t="s">
        <v>4932</v>
      </c>
      <c r="C2713" s="47" t="s">
        <v>8405</v>
      </c>
      <c r="D2713" s="47"/>
      <c r="E2713" s="64">
        <v>47526.44</v>
      </c>
      <c r="F2713" s="64">
        <v>22</v>
      </c>
    </row>
    <row r="2714" spans="1:6" x14ac:dyDescent="0.25">
      <c r="A2714" s="47" t="s">
        <v>8406</v>
      </c>
      <c r="B2714" s="47" t="s">
        <v>5001</v>
      </c>
      <c r="C2714" s="47" t="s">
        <v>8407</v>
      </c>
      <c r="D2714" s="47" t="s">
        <v>1732</v>
      </c>
      <c r="E2714" s="64">
        <v>51226.469999999994</v>
      </c>
      <c r="F2714" s="64">
        <v>2.5375000000000002E-2</v>
      </c>
    </row>
    <row r="2715" spans="1:6" x14ac:dyDescent="0.25">
      <c r="A2715" s="47" t="s">
        <v>8408</v>
      </c>
      <c r="B2715" s="47" t="s">
        <v>5004</v>
      </c>
      <c r="C2715" s="47" t="s">
        <v>8409</v>
      </c>
      <c r="D2715" s="47" t="s">
        <v>1732</v>
      </c>
      <c r="E2715" s="64">
        <v>51226.469999999994</v>
      </c>
      <c r="F2715" s="64">
        <v>2.5375000000000002E-2</v>
      </c>
    </row>
    <row r="2716" spans="1:6" x14ac:dyDescent="0.25">
      <c r="A2716" s="47" t="s">
        <v>8410</v>
      </c>
      <c r="B2716" s="47" t="s">
        <v>5025</v>
      </c>
      <c r="C2716" s="47" t="s">
        <v>8411</v>
      </c>
      <c r="D2716" s="47" t="s">
        <v>1732</v>
      </c>
      <c r="E2716" s="64">
        <v>51226.469999999994</v>
      </c>
      <c r="F2716" s="64">
        <v>2.5375000000000002E-2</v>
      </c>
    </row>
    <row r="2717" spans="1:6" x14ac:dyDescent="0.25">
      <c r="A2717" s="47" t="s">
        <v>8412</v>
      </c>
      <c r="B2717" s="47" t="s">
        <v>5092</v>
      </c>
      <c r="C2717" s="47" t="s">
        <v>8413</v>
      </c>
      <c r="D2717" s="47" t="s">
        <v>1732</v>
      </c>
      <c r="E2717" s="64">
        <v>51226.469999999994</v>
      </c>
      <c r="F2717" s="64">
        <v>2.5375000000000002E-2</v>
      </c>
    </row>
    <row r="2718" spans="1:6" x14ac:dyDescent="0.25">
      <c r="A2718" s="47" t="s">
        <v>8414</v>
      </c>
      <c r="B2718" s="47" t="s">
        <v>5095</v>
      </c>
      <c r="C2718" s="47" t="s">
        <v>8415</v>
      </c>
      <c r="D2718" s="47" t="s">
        <v>1732</v>
      </c>
      <c r="E2718" s="64">
        <v>51226.469999999994</v>
      </c>
      <c r="F2718" s="64">
        <v>2.5375000000000002E-2</v>
      </c>
    </row>
    <row r="2719" spans="1:6" x14ac:dyDescent="0.25">
      <c r="A2719" s="47" t="s">
        <v>8416</v>
      </c>
      <c r="B2719" s="47" t="s">
        <v>5124</v>
      </c>
      <c r="C2719" s="47" t="s">
        <v>8417</v>
      </c>
      <c r="D2719" s="47" t="s">
        <v>5126</v>
      </c>
      <c r="E2719" s="64">
        <v>29376.6</v>
      </c>
      <c r="F2719" s="64">
        <v>1265.4616666666666</v>
      </c>
    </row>
    <row r="2720" spans="1:6" x14ac:dyDescent="0.25">
      <c r="A2720" s="47" t="s">
        <v>8418</v>
      </c>
      <c r="B2720" s="47" t="s">
        <v>5138</v>
      </c>
      <c r="C2720" s="47" t="s">
        <v>8419</v>
      </c>
      <c r="D2720" s="47"/>
      <c r="E2720" s="64">
        <v>39959.482499999998</v>
      </c>
      <c r="F2720" s="64">
        <v>100000000</v>
      </c>
    </row>
    <row r="2721" spans="1:6" x14ac:dyDescent="0.25">
      <c r="A2721" s="47" t="s">
        <v>8420</v>
      </c>
      <c r="B2721" s="47" t="s">
        <v>5141</v>
      </c>
      <c r="C2721" s="47" t="s">
        <v>8421</v>
      </c>
      <c r="D2721" s="47"/>
      <c r="E2721" s="64">
        <v>39959.482499999998</v>
      </c>
      <c r="F2721" s="64">
        <v>100000000</v>
      </c>
    </row>
    <row r="2722" spans="1:6" x14ac:dyDescent="0.25">
      <c r="A2722" s="47" t="s">
        <v>8422</v>
      </c>
      <c r="B2722" s="47" t="s">
        <v>5144</v>
      </c>
      <c r="C2722" s="47" t="s">
        <v>8423</v>
      </c>
      <c r="D2722" s="47"/>
      <c r="E2722" s="64">
        <v>59042.635000000009</v>
      </c>
      <c r="F2722" s="64">
        <v>22</v>
      </c>
    </row>
    <row r="2723" spans="1:6" x14ac:dyDescent="0.25">
      <c r="A2723" s="47" t="s">
        <v>8424</v>
      </c>
      <c r="B2723" s="47" t="s">
        <v>5147</v>
      </c>
      <c r="C2723" s="47" t="s">
        <v>8425</v>
      </c>
      <c r="D2723" s="47"/>
      <c r="E2723" s="64">
        <v>39959.482499999998</v>
      </c>
      <c r="F2723" s="64">
        <v>100000000</v>
      </c>
    </row>
    <row r="2724" spans="1:6" x14ac:dyDescent="0.25">
      <c r="A2724" s="47" t="s">
        <v>8426</v>
      </c>
      <c r="B2724" s="47" t="s">
        <v>5153</v>
      </c>
      <c r="C2724" s="47" t="s">
        <v>8427</v>
      </c>
      <c r="D2724" s="47"/>
      <c r="E2724" s="64">
        <v>39959.482499999998</v>
      </c>
      <c r="F2724" s="64">
        <v>100000000</v>
      </c>
    </row>
    <row r="2725" spans="1:6" x14ac:dyDescent="0.25">
      <c r="A2725" s="47" t="s">
        <v>8428</v>
      </c>
      <c r="B2725" s="47" t="s">
        <v>5156</v>
      </c>
      <c r="C2725" s="47" t="s">
        <v>8429</v>
      </c>
      <c r="D2725" s="47"/>
      <c r="E2725" s="64">
        <v>39959.482499999998</v>
      </c>
      <c r="F2725" s="64">
        <v>100000000</v>
      </c>
    </row>
    <row r="2726" spans="1:6" x14ac:dyDescent="0.25">
      <c r="A2726" s="47" t="s">
        <v>8430</v>
      </c>
      <c r="B2726" s="47" t="s">
        <v>5159</v>
      </c>
      <c r="C2726" s="47" t="s">
        <v>8431</v>
      </c>
      <c r="D2726" s="47"/>
      <c r="E2726" s="64">
        <v>39959.482499999998</v>
      </c>
      <c r="F2726" s="64">
        <v>100000000</v>
      </c>
    </row>
    <row r="2727" spans="1:6" x14ac:dyDescent="0.25">
      <c r="A2727" s="47" t="s">
        <v>8432</v>
      </c>
      <c r="B2727" s="47" t="s">
        <v>5166</v>
      </c>
      <c r="C2727" s="47" t="s">
        <v>8433</v>
      </c>
      <c r="D2727" s="47"/>
      <c r="E2727" s="64">
        <v>39959.482499999998</v>
      </c>
      <c r="F2727" s="64">
        <v>100000000</v>
      </c>
    </row>
    <row r="2728" spans="1:6" x14ac:dyDescent="0.25">
      <c r="A2728" s="47" t="s">
        <v>8434</v>
      </c>
      <c r="B2728" s="47" t="s">
        <v>5178</v>
      </c>
      <c r="C2728" s="47" t="s">
        <v>8435</v>
      </c>
      <c r="D2728" s="47"/>
      <c r="E2728" s="64">
        <v>39959.482499999998</v>
      </c>
      <c r="F2728" s="64">
        <v>100000000</v>
      </c>
    </row>
    <row r="2729" spans="1:6" x14ac:dyDescent="0.25">
      <c r="A2729" s="47" t="s">
        <v>8436</v>
      </c>
      <c r="B2729" s="47" t="s">
        <v>5189</v>
      </c>
      <c r="C2729" s="47" t="s">
        <v>8437</v>
      </c>
      <c r="D2729" s="47"/>
      <c r="E2729" s="64">
        <v>50182.47</v>
      </c>
      <c r="F2729" s="64">
        <v>22</v>
      </c>
    </row>
    <row r="2730" spans="1:6" x14ac:dyDescent="0.25">
      <c r="A2730" s="47" t="s">
        <v>8438</v>
      </c>
      <c r="B2730" s="47" t="s">
        <v>5200</v>
      </c>
      <c r="C2730" s="47" t="s">
        <v>8439</v>
      </c>
      <c r="D2730" s="47" t="s">
        <v>663</v>
      </c>
      <c r="E2730" s="64">
        <v>53985.54</v>
      </c>
      <c r="F2730" s="64">
        <v>196</v>
      </c>
    </row>
    <row r="2731" spans="1:6" x14ac:dyDescent="0.25">
      <c r="A2731" s="47" t="s">
        <v>8440</v>
      </c>
      <c r="B2731" s="47" t="s">
        <v>2658</v>
      </c>
      <c r="C2731" s="47" t="s">
        <v>8441</v>
      </c>
      <c r="D2731" s="47"/>
      <c r="E2731" s="64">
        <v>39959.482499999998</v>
      </c>
      <c r="F2731" s="64">
        <v>100000000</v>
      </c>
    </row>
    <row r="2732" spans="1:6" x14ac:dyDescent="0.25">
      <c r="A2732" s="47" t="s">
        <v>8442</v>
      </c>
      <c r="B2732" s="47" t="s">
        <v>5328</v>
      </c>
      <c r="C2732" s="47" t="s">
        <v>8443</v>
      </c>
      <c r="D2732" s="47" t="s">
        <v>4886</v>
      </c>
      <c r="E2732" s="64">
        <v>25559.58</v>
      </c>
      <c r="F2732" s="64">
        <v>0.59</v>
      </c>
    </row>
    <row r="2733" spans="1:6" x14ac:dyDescent="0.25">
      <c r="A2733" s="47" t="s">
        <v>8444</v>
      </c>
      <c r="B2733" s="47" t="s">
        <v>5393</v>
      </c>
      <c r="C2733" s="47" t="s">
        <v>8445</v>
      </c>
      <c r="D2733" s="47"/>
      <c r="E2733" s="64">
        <v>39959.482499999998</v>
      </c>
      <c r="F2733" s="64">
        <v>100000000</v>
      </c>
    </row>
    <row r="2734" spans="1:6" x14ac:dyDescent="0.25">
      <c r="A2734" s="47" t="s">
        <v>8446</v>
      </c>
      <c r="B2734" s="47" t="s">
        <v>5396</v>
      </c>
      <c r="C2734" s="47" t="s">
        <v>8447</v>
      </c>
      <c r="D2734" s="47"/>
      <c r="E2734" s="64">
        <v>39959.482499999998</v>
      </c>
      <c r="F2734" s="64">
        <v>100000000</v>
      </c>
    </row>
    <row r="2735" spans="1:6" x14ac:dyDescent="0.25">
      <c r="A2735" s="47" t="s">
        <v>8448</v>
      </c>
      <c r="B2735" s="47" t="s">
        <v>5399</v>
      </c>
      <c r="C2735" s="47" t="s">
        <v>8449</v>
      </c>
      <c r="D2735" s="47"/>
      <c r="E2735" s="64">
        <v>39959.482499999998</v>
      </c>
      <c r="F2735" s="64">
        <v>100000000</v>
      </c>
    </row>
    <row r="2736" spans="1:6" x14ac:dyDescent="0.25">
      <c r="A2736" s="47" t="s">
        <v>8450</v>
      </c>
      <c r="B2736" s="47" t="s">
        <v>5416</v>
      </c>
      <c r="C2736" s="47" t="s">
        <v>8451</v>
      </c>
      <c r="D2736" s="47"/>
      <c r="E2736" s="64">
        <v>39959.482499999998</v>
      </c>
      <c r="F2736" s="64">
        <v>100000000</v>
      </c>
    </row>
    <row r="2737" spans="1:6" x14ac:dyDescent="0.25">
      <c r="A2737" s="47" t="s">
        <v>8452</v>
      </c>
      <c r="B2737" s="47" t="s">
        <v>5449</v>
      </c>
      <c r="C2737" s="47" t="s">
        <v>8453</v>
      </c>
      <c r="D2737" s="47"/>
      <c r="E2737" s="64">
        <v>39959.482499999998</v>
      </c>
      <c r="F2737" s="64">
        <v>100000000</v>
      </c>
    </row>
    <row r="2738" spans="1:6" x14ac:dyDescent="0.25">
      <c r="A2738" s="47" t="s">
        <v>8454</v>
      </c>
      <c r="B2738" s="47" t="s">
        <v>5452</v>
      </c>
      <c r="C2738" s="47" t="s">
        <v>8455</v>
      </c>
      <c r="D2738" s="47"/>
      <c r="E2738" s="64">
        <v>39959.482499999998</v>
      </c>
      <c r="F2738" s="64">
        <v>100000000</v>
      </c>
    </row>
    <row r="2739" spans="1:6" x14ac:dyDescent="0.25">
      <c r="A2739" s="47" t="s">
        <v>8456</v>
      </c>
      <c r="B2739" s="47" t="s">
        <v>5467</v>
      </c>
      <c r="C2739" s="47" t="s">
        <v>8457</v>
      </c>
      <c r="D2739" s="47" t="s">
        <v>5469</v>
      </c>
      <c r="E2739" s="64">
        <v>95584.694999999992</v>
      </c>
      <c r="F2739" s="64">
        <v>1.1000000000000001</v>
      </c>
    </row>
    <row r="2740" spans="1:6" x14ac:dyDescent="0.25">
      <c r="A2740" s="47" t="s">
        <v>8458</v>
      </c>
      <c r="B2740" s="47" t="s">
        <v>5516</v>
      </c>
      <c r="C2740" s="47" t="s">
        <v>8459</v>
      </c>
      <c r="D2740" s="47"/>
      <c r="E2740" s="64">
        <v>39959.482499999998</v>
      </c>
      <c r="F2740" s="64">
        <v>100000000</v>
      </c>
    </row>
    <row r="2741" spans="1:6" x14ac:dyDescent="0.25">
      <c r="A2741" s="47" t="s">
        <v>8460</v>
      </c>
      <c r="B2741" s="47" t="s">
        <v>5577</v>
      </c>
      <c r="C2741" s="47" t="s">
        <v>8461</v>
      </c>
      <c r="D2741" s="47" t="s">
        <v>5579</v>
      </c>
      <c r="E2741" s="64">
        <v>93495.299999999988</v>
      </c>
      <c r="F2741" s="64">
        <v>368.48649999999998</v>
      </c>
    </row>
    <row r="2742" spans="1:6" x14ac:dyDescent="0.25">
      <c r="A2742" s="47" t="s">
        <v>8462</v>
      </c>
      <c r="B2742" s="47" t="s">
        <v>5602</v>
      </c>
      <c r="C2742" s="47" t="s">
        <v>8463</v>
      </c>
      <c r="D2742" s="47" t="s">
        <v>5469</v>
      </c>
      <c r="E2742" s="64">
        <v>95584.694999999992</v>
      </c>
      <c r="F2742" s="64">
        <v>5.2</v>
      </c>
    </row>
    <row r="2743" spans="1:6" x14ac:dyDescent="0.25">
      <c r="A2743" s="47" t="s">
        <v>8464</v>
      </c>
      <c r="B2743" s="47" t="s">
        <v>5643</v>
      </c>
      <c r="C2743" s="47" t="s">
        <v>8465</v>
      </c>
      <c r="D2743" s="47" t="s">
        <v>4886</v>
      </c>
      <c r="E2743" s="64">
        <v>25559.58</v>
      </c>
      <c r="F2743" s="64">
        <v>0.59</v>
      </c>
    </row>
    <row r="2744" spans="1:6" x14ac:dyDescent="0.25">
      <c r="A2744" s="47" t="s">
        <v>8466</v>
      </c>
      <c r="B2744" s="47" t="s">
        <v>5646</v>
      </c>
      <c r="C2744" s="47" t="s">
        <v>8467</v>
      </c>
      <c r="D2744" s="47" t="s">
        <v>4886</v>
      </c>
      <c r="E2744" s="64">
        <v>25559.58</v>
      </c>
      <c r="F2744" s="64">
        <v>0.59</v>
      </c>
    </row>
    <row r="2745" spans="1:6" x14ac:dyDescent="0.25">
      <c r="A2745" s="47" t="s">
        <v>8468</v>
      </c>
      <c r="B2745" s="47" t="s">
        <v>5715</v>
      </c>
      <c r="C2745" s="47" t="s">
        <v>8469</v>
      </c>
      <c r="D2745" s="47" t="s">
        <v>1732</v>
      </c>
      <c r="E2745" s="64">
        <v>51226.469999999994</v>
      </c>
      <c r="F2745" s="64">
        <v>2.5375000000000002E-2</v>
      </c>
    </row>
    <row r="2746" spans="1:6" x14ac:dyDescent="0.25">
      <c r="A2746" s="47" t="s">
        <v>8470</v>
      </c>
      <c r="B2746" s="47" t="s">
        <v>5718</v>
      </c>
      <c r="C2746" s="47" t="s">
        <v>8471</v>
      </c>
      <c r="D2746" s="47" t="s">
        <v>1732</v>
      </c>
      <c r="E2746" s="64">
        <v>51226.469999999994</v>
      </c>
      <c r="F2746" s="64">
        <v>2.5375000000000002E-2</v>
      </c>
    </row>
    <row r="2747" spans="1:6" x14ac:dyDescent="0.25">
      <c r="A2747" s="47" t="s">
        <v>8472</v>
      </c>
      <c r="B2747" s="47" t="s">
        <v>5779</v>
      </c>
      <c r="C2747" s="47" t="s">
        <v>8473</v>
      </c>
      <c r="D2747" s="47"/>
      <c r="E2747" s="64">
        <v>39959.482499999998</v>
      </c>
      <c r="F2747" s="64">
        <v>100000000</v>
      </c>
    </row>
    <row r="2748" spans="1:6" x14ac:dyDescent="0.25">
      <c r="A2748" s="47" t="s">
        <v>8474</v>
      </c>
      <c r="B2748" s="47" t="s">
        <v>5794</v>
      </c>
      <c r="C2748" s="47" t="s">
        <v>8475</v>
      </c>
      <c r="D2748" s="47" t="s">
        <v>4886</v>
      </c>
      <c r="E2748" s="64">
        <v>25559.58</v>
      </c>
      <c r="F2748" s="64">
        <v>0.59</v>
      </c>
    </row>
    <row r="2749" spans="1:6" x14ac:dyDescent="0.25">
      <c r="A2749" s="47" t="s">
        <v>8476</v>
      </c>
      <c r="B2749" s="47" t="s">
        <v>5797</v>
      </c>
      <c r="C2749" s="47" t="s">
        <v>8477</v>
      </c>
      <c r="D2749" s="47" t="s">
        <v>4886</v>
      </c>
      <c r="E2749" s="64">
        <v>25559.58</v>
      </c>
      <c r="F2749" s="64">
        <v>0.59</v>
      </c>
    </row>
    <row r="2750" spans="1:6" x14ac:dyDescent="0.25">
      <c r="A2750" s="47" t="s">
        <v>8478</v>
      </c>
      <c r="B2750" s="47" t="s">
        <v>5890</v>
      </c>
      <c r="C2750" s="47" t="s">
        <v>8479</v>
      </c>
      <c r="D2750" s="47"/>
      <c r="E2750" s="64">
        <v>39959.482499999998</v>
      </c>
      <c r="F2750" s="64">
        <v>100000000</v>
      </c>
    </row>
    <row r="2751" spans="1:6" x14ac:dyDescent="0.25">
      <c r="A2751" s="47" t="s">
        <v>8480</v>
      </c>
      <c r="B2751" s="47" t="s">
        <v>5943</v>
      </c>
      <c r="C2751" s="47" t="s">
        <v>8481</v>
      </c>
      <c r="D2751" s="47" t="s">
        <v>4886</v>
      </c>
      <c r="E2751" s="64">
        <v>25559.58</v>
      </c>
      <c r="F2751" s="64">
        <v>0.59</v>
      </c>
    </row>
    <row r="2752" spans="1:6" x14ac:dyDescent="0.25">
      <c r="A2752" s="47" t="s">
        <v>8482</v>
      </c>
      <c r="B2752" s="47" t="s">
        <v>5946</v>
      </c>
      <c r="C2752" s="47" t="s">
        <v>8483</v>
      </c>
      <c r="D2752" s="47" t="s">
        <v>4886</v>
      </c>
      <c r="E2752" s="64">
        <v>25559.58</v>
      </c>
      <c r="F2752" s="64">
        <v>0.59</v>
      </c>
    </row>
    <row r="2753" spans="1:6" x14ac:dyDescent="0.25">
      <c r="A2753" s="47" t="s">
        <v>8484</v>
      </c>
      <c r="B2753" s="47" t="s">
        <v>6058</v>
      </c>
      <c r="C2753" s="47" t="s">
        <v>8485</v>
      </c>
      <c r="D2753" s="47" t="s">
        <v>4886</v>
      </c>
      <c r="E2753" s="64">
        <v>25559.58</v>
      </c>
      <c r="F2753" s="64">
        <v>0.59</v>
      </c>
    </row>
    <row r="2754" spans="1:6" x14ac:dyDescent="0.25">
      <c r="A2754" s="47" t="s">
        <v>8486</v>
      </c>
      <c r="B2754" s="47" t="s">
        <v>6070</v>
      </c>
      <c r="C2754" s="47" t="s">
        <v>8487</v>
      </c>
      <c r="D2754" s="47"/>
      <c r="E2754" s="64">
        <v>39959.482499999998</v>
      </c>
      <c r="F2754" s="64">
        <v>100000000</v>
      </c>
    </row>
    <row r="2755" spans="1:6" x14ac:dyDescent="0.25">
      <c r="A2755" s="47" t="s">
        <v>8488</v>
      </c>
      <c r="B2755" s="47" t="s">
        <v>6080</v>
      </c>
      <c r="C2755" s="47" t="s">
        <v>8489</v>
      </c>
      <c r="D2755" s="47" t="s">
        <v>6082</v>
      </c>
      <c r="E2755" s="64">
        <v>89221.91</v>
      </c>
      <c r="F2755" s="64">
        <v>2.33</v>
      </c>
    </row>
    <row r="2756" spans="1:6" x14ac:dyDescent="0.25">
      <c r="A2756" s="47" t="s">
        <v>8490</v>
      </c>
      <c r="B2756" s="47" t="s">
        <v>6084</v>
      </c>
      <c r="C2756" s="47" t="s">
        <v>8491</v>
      </c>
      <c r="D2756" s="47" t="s">
        <v>6082</v>
      </c>
      <c r="E2756" s="64">
        <v>89221.91</v>
      </c>
      <c r="F2756" s="64">
        <v>5.13</v>
      </c>
    </row>
    <row r="2757" spans="1:6" x14ac:dyDescent="0.25">
      <c r="A2757" s="47" t="s">
        <v>8492</v>
      </c>
      <c r="B2757" s="47" t="s">
        <v>6087</v>
      </c>
      <c r="C2757" s="47" t="s">
        <v>8493</v>
      </c>
      <c r="D2757" s="47" t="s">
        <v>6082</v>
      </c>
      <c r="E2757" s="64">
        <v>89221.91</v>
      </c>
      <c r="F2757" s="64">
        <v>9.17</v>
      </c>
    </row>
    <row r="2758" spans="1:6" x14ac:dyDescent="0.25">
      <c r="A2758" s="47" t="s">
        <v>8494</v>
      </c>
      <c r="B2758" s="47" t="s">
        <v>6091</v>
      </c>
      <c r="C2758" s="47" t="s">
        <v>8495</v>
      </c>
      <c r="D2758" s="47" t="s">
        <v>6082</v>
      </c>
      <c r="E2758" s="64">
        <v>89221.91</v>
      </c>
      <c r="F2758" s="64">
        <v>35</v>
      </c>
    </row>
    <row r="2759" spans="1:6" x14ac:dyDescent="0.25">
      <c r="A2759" s="47" t="s">
        <v>8496</v>
      </c>
      <c r="B2759" s="47" t="s">
        <v>6094</v>
      </c>
      <c r="C2759" s="47" t="s">
        <v>8497</v>
      </c>
      <c r="D2759" s="47" t="s">
        <v>6096</v>
      </c>
      <c r="E2759" s="64">
        <v>89221.91</v>
      </c>
      <c r="F2759" s="64">
        <v>782.86222222222204</v>
      </c>
    </row>
    <row r="2760" spans="1:6" x14ac:dyDescent="0.25">
      <c r="A2760" s="47" t="s">
        <v>8498</v>
      </c>
      <c r="B2760" s="47" t="s">
        <v>6098</v>
      </c>
      <c r="C2760" s="47" t="s">
        <v>8499</v>
      </c>
      <c r="D2760" s="47" t="s">
        <v>6096</v>
      </c>
      <c r="E2760" s="64">
        <v>89221.91</v>
      </c>
      <c r="F2760" s="64">
        <v>782.86222222222204</v>
      </c>
    </row>
    <row r="2761" spans="1:6" x14ac:dyDescent="0.25">
      <c r="A2761" s="47" t="s">
        <v>8500</v>
      </c>
      <c r="B2761" s="47" t="s">
        <v>6101</v>
      </c>
      <c r="C2761" s="47" t="s">
        <v>8501</v>
      </c>
      <c r="D2761" s="47" t="s">
        <v>6082</v>
      </c>
      <c r="E2761" s="64">
        <v>89221.91</v>
      </c>
      <c r="F2761" s="64">
        <v>6</v>
      </c>
    </row>
    <row r="2762" spans="1:6" x14ac:dyDescent="0.25">
      <c r="A2762" s="47" t="s">
        <v>8502</v>
      </c>
      <c r="B2762" s="47" t="s">
        <v>6159</v>
      </c>
      <c r="C2762" s="47" t="s">
        <v>8503</v>
      </c>
      <c r="D2762" s="47" t="s">
        <v>3728</v>
      </c>
      <c r="E2762" s="64">
        <v>31167.910000000003</v>
      </c>
      <c r="F2762" s="64">
        <v>9201.8125</v>
      </c>
    </row>
    <row r="2763" spans="1:6" x14ac:dyDescent="0.25">
      <c r="A2763" s="47" t="s">
        <v>8504</v>
      </c>
      <c r="B2763" s="47" t="s">
        <v>6165</v>
      </c>
      <c r="C2763" s="47" t="s">
        <v>8505</v>
      </c>
      <c r="D2763" s="47"/>
      <c r="E2763" s="64">
        <v>39959.482499999998</v>
      </c>
      <c r="F2763" s="64">
        <v>100000000</v>
      </c>
    </row>
    <row r="2764" spans="1:6" x14ac:dyDescent="0.25">
      <c r="A2764" s="47" t="s">
        <v>8506</v>
      </c>
      <c r="B2764" s="47" t="s">
        <v>6230</v>
      </c>
      <c r="C2764" s="47" t="s">
        <v>8507</v>
      </c>
      <c r="D2764" s="47"/>
      <c r="E2764" s="64">
        <v>34739.759999999995</v>
      </c>
      <c r="F2764" s="64">
        <v>22</v>
      </c>
    </row>
    <row r="2765" spans="1:6" x14ac:dyDescent="0.25">
      <c r="A2765" s="47" t="s">
        <v>8508</v>
      </c>
      <c r="B2765" s="47" t="s">
        <v>6233</v>
      </c>
      <c r="C2765" s="47" t="s">
        <v>8509</v>
      </c>
      <c r="D2765" s="47"/>
      <c r="E2765" s="64">
        <v>46040.200000000004</v>
      </c>
      <c r="F2765" s="64">
        <v>22</v>
      </c>
    </row>
    <row r="2766" spans="1:6" x14ac:dyDescent="0.25">
      <c r="A2766" s="47" t="s">
        <v>8510</v>
      </c>
      <c r="B2766" s="47" t="s">
        <v>6239</v>
      </c>
      <c r="C2766" s="47" t="s">
        <v>8511</v>
      </c>
      <c r="D2766" s="47"/>
      <c r="E2766" s="64">
        <v>39959.482499999998</v>
      </c>
      <c r="F2766" s="64">
        <v>100000000</v>
      </c>
    </row>
    <row r="2767" spans="1:6" x14ac:dyDescent="0.25">
      <c r="A2767" s="47" t="s">
        <v>8512</v>
      </c>
      <c r="B2767" s="47" t="s">
        <v>6261</v>
      </c>
      <c r="C2767" s="47" t="s">
        <v>8513</v>
      </c>
      <c r="D2767" s="47"/>
      <c r="E2767" s="64">
        <v>39959.482499999998</v>
      </c>
      <c r="F2767" s="64">
        <v>100000000</v>
      </c>
    </row>
    <row r="2768" spans="1:6" x14ac:dyDescent="0.25">
      <c r="A2768" s="47" t="s">
        <v>8514</v>
      </c>
      <c r="B2768" s="47" t="s">
        <v>6264</v>
      </c>
      <c r="C2768" s="47" t="s">
        <v>8515</v>
      </c>
      <c r="D2768" s="47"/>
      <c r="E2768" s="64">
        <v>39959.482499999998</v>
      </c>
      <c r="F2768" s="64">
        <v>100000000</v>
      </c>
    </row>
    <row r="2769" spans="1:6" x14ac:dyDescent="0.25">
      <c r="A2769" s="47" t="s">
        <v>8516</v>
      </c>
      <c r="B2769" s="47" t="s">
        <v>6276</v>
      </c>
      <c r="C2769" s="47" t="s">
        <v>8517</v>
      </c>
      <c r="D2769" s="47"/>
      <c r="E2769" s="64">
        <v>39959.482499999998</v>
      </c>
      <c r="F2769" s="64">
        <v>100000000</v>
      </c>
    </row>
    <row r="2770" spans="1:6" x14ac:dyDescent="0.25">
      <c r="A2770" s="47" t="s">
        <v>8518</v>
      </c>
      <c r="B2770" s="47" t="s">
        <v>6330</v>
      </c>
      <c r="C2770" s="47" t="s">
        <v>8519</v>
      </c>
      <c r="D2770" s="47"/>
      <c r="E2770" s="64">
        <v>39959.482499999998</v>
      </c>
      <c r="F2770" s="64">
        <v>100000000</v>
      </c>
    </row>
    <row r="2771" spans="1:6" x14ac:dyDescent="0.25">
      <c r="A2771" s="47" t="s">
        <v>8520</v>
      </c>
      <c r="B2771" s="47" t="s">
        <v>6340</v>
      </c>
      <c r="C2771" s="47" t="s">
        <v>8521</v>
      </c>
      <c r="D2771" s="47"/>
      <c r="E2771" s="64">
        <v>39959.482499999998</v>
      </c>
      <c r="F2771" s="64">
        <v>100000000</v>
      </c>
    </row>
    <row r="2772" spans="1:6" x14ac:dyDescent="0.25">
      <c r="A2772" s="47" t="s">
        <v>8522</v>
      </c>
      <c r="B2772" s="47" t="s">
        <v>6343</v>
      </c>
      <c r="C2772" s="47" t="s">
        <v>8523</v>
      </c>
      <c r="D2772" s="47"/>
      <c r="E2772" s="64">
        <v>39959.482499999998</v>
      </c>
      <c r="F2772" s="64">
        <v>100000000</v>
      </c>
    </row>
    <row r="2773" spans="1:6" x14ac:dyDescent="0.25">
      <c r="A2773" s="47" t="s">
        <v>8524</v>
      </c>
      <c r="B2773" s="47" t="s">
        <v>6371</v>
      </c>
      <c r="C2773" s="47" t="s">
        <v>8525</v>
      </c>
      <c r="D2773" s="47" t="s">
        <v>6373</v>
      </c>
      <c r="E2773" s="64">
        <v>148520.54499999998</v>
      </c>
      <c r="F2773" s="64">
        <v>362.72222222222223</v>
      </c>
    </row>
    <row r="2774" spans="1:6" x14ac:dyDescent="0.25">
      <c r="A2774" s="47" t="s">
        <v>8526</v>
      </c>
      <c r="B2774" s="47" t="s">
        <v>6375</v>
      </c>
      <c r="C2774" s="47" t="s">
        <v>8527</v>
      </c>
      <c r="D2774" s="47" t="s">
        <v>699</v>
      </c>
      <c r="E2774" s="64">
        <v>78330.794999999998</v>
      </c>
      <c r="F2774" s="64">
        <v>4.0000000000000001E-3</v>
      </c>
    </row>
    <row r="2775" spans="1:6" x14ac:dyDescent="0.25">
      <c r="A2775" s="47" t="s">
        <v>8528</v>
      </c>
      <c r="B2775" s="47" t="s">
        <v>6378</v>
      </c>
      <c r="C2775" s="47" t="s">
        <v>8529</v>
      </c>
      <c r="D2775" s="47" t="s">
        <v>6380</v>
      </c>
      <c r="E2775" s="64">
        <v>79591.570000000007</v>
      </c>
      <c r="F2775" s="64">
        <v>63</v>
      </c>
    </row>
    <row r="2776" spans="1:6" x14ac:dyDescent="0.25">
      <c r="A2776" s="47" t="s">
        <v>8530</v>
      </c>
      <c r="B2776" s="47" t="s">
        <v>6378</v>
      </c>
      <c r="C2776" s="47" t="s">
        <v>8531</v>
      </c>
      <c r="D2776" s="47" t="s">
        <v>6380</v>
      </c>
      <c r="E2776" s="64">
        <v>79591.570000000007</v>
      </c>
      <c r="F2776" s="64">
        <v>63</v>
      </c>
    </row>
    <row r="2777" spans="1:6" x14ac:dyDescent="0.25">
      <c r="A2777" s="47" t="s">
        <v>8532</v>
      </c>
      <c r="B2777" s="47" t="s">
        <v>6423</v>
      </c>
      <c r="C2777" s="47" t="s">
        <v>8533</v>
      </c>
      <c r="D2777" s="47"/>
      <c r="E2777" s="64">
        <v>39959.482499999998</v>
      </c>
      <c r="F2777" s="64">
        <v>100000000</v>
      </c>
    </row>
    <row r="2778" spans="1:6" x14ac:dyDescent="0.25">
      <c r="A2778" s="47" t="s">
        <v>8534</v>
      </c>
      <c r="B2778" s="47" t="s">
        <v>6429</v>
      </c>
      <c r="C2778" s="47" t="s">
        <v>8535</v>
      </c>
      <c r="D2778" s="47"/>
      <c r="E2778" s="64">
        <v>39959.482499999998</v>
      </c>
      <c r="F2778" s="64">
        <v>100000000</v>
      </c>
    </row>
    <row r="2779" spans="1:6" x14ac:dyDescent="0.25">
      <c r="A2779" s="47" t="s">
        <v>8536</v>
      </c>
      <c r="B2779" s="47" t="s">
        <v>6435</v>
      </c>
      <c r="C2779" s="47" t="s">
        <v>8537</v>
      </c>
      <c r="D2779" s="47" t="s">
        <v>6437</v>
      </c>
      <c r="E2779" s="64">
        <v>28403.82</v>
      </c>
      <c r="F2779" s="64">
        <v>63</v>
      </c>
    </row>
    <row r="2780" spans="1:6" x14ac:dyDescent="0.25">
      <c r="A2780" s="47" t="s">
        <v>8538</v>
      </c>
      <c r="B2780" s="47" t="s">
        <v>6481</v>
      </c>
      <c r="C2780" s="47" t="s">
        <v>8539</v>
      </c>
      <c r="D2780" s="47" t="s">
        <v>6483</v>
      </c>
      <c r="E2780" s="64">
        <v>13619.139999999998</v>
      </c>
      <c r="F2780" s="64">
        <v>8.8999999999999996E-2</v>
      </c>
    </row>
    <row r="2781" spans="1:6" x14ac:dyDescent="0.25">
      <c r="A2781" s="47" t="s">
        <v>8540</v>
      </c>
      <c r="B2781" s="47" t="s">
        <v>6491</v>
      </c>
      <c r="C2781" s="47" t="s">
        <v>8541</v>
      </c>
      <c r="D2781" s="47"/>
      <c r="E2781" s="64">
        <v>39959.482499999998</v>
      </c>
      <c r="F2781" s="64">
        <v>100000000</v>
      </c>
    </row>
    <row r="2782" spans="1:6" x14ac:dyDescent="0.25">
      <c r="A2782" s="47" t="s">
        <v>8542</v>
      </c>
      <c r="B2782" s="47" t="s">
        <v>6494</v>
      </c>
      <c r="C2782" s="47" t="s">
        <v>8543</v>
      </c>
      <c r="D2782" s="47"/>
      <c r="E2782" s="64">
        <v>39959.482499999998</v>
      </c>
      <c r="F2782" s="64">
        <v>100000000</v>
      </c>
    </row>
    <row r="2783" spans="1:6" x14ac:dyDescent="0.25">
      <c r="A2783" s="47" t="s">
        <v>8544</v>
      </c>
      <c r="B2783" s="47" t="s">
        <v>6523</v>
      </c>
      <c r="C2783" s="47" t="s">
        <v>8545</v>
      </c>
      <c r="D2783" s="47"/>
      <c r="E2783" s="64">
        <v>39959.482499999998</v>
      </c>
      <c r="F2783" s="64">
        <v>100000000</v>
      </c>
    </row>
    <row r="2784" spans="1:6" x14ac:dyDescent="0.25">
      <c r="A2784" s="47" t="s">
        <v>8546</v>
      </c>
      <c r="B2784" s="47" t="s">
        <v>6526</v>
      </c>
      <c r="C2784" s="47" t="s">
        <v>8547</v>
      </c>
      <c r="D2784" s="47"/>
      <c r="E2784" s="64">
        <v>39959.482499999998</v>
      </c>
      <c r="F2784" s="64">
        <v>100000000</v>
      </c>
    </row>
    <row r="2785" spans="1:6" x14ac:dyDescent="0.25">
      <c r="A2785" s="47" t="s">
        <v>8548</v>
      </c>
      <c r="B2785" s="47" t="s">
        <v>6536</v>
      </c>
      <c r="C2785" s="47" t="s">
        <v>8549</v>
      </c>
      <c r="D2785" s="47"/>
      <c r="E2785" s="64">
        <v>39959.482499999998</v>
      </c>
      <c r="F2785" s="64">
        <v>100000000</v>
      </c>
    </row>
    <row r="2786" spans="1:6" x14ac:dyDescent="0.25">
      <c r="A2786" s="47" t="s">
        <v>8550</v>
      </c>
      <c r="B2786" s="47" t="s">
        <v>6624</v>
      </c>
      <c r="C2786" s="47" t="s">
        <v>8551</v>
      </c>
      <c r="D2786" s="47"/>
      <c r="E2786" s="64">
        <v>39959.482499999998</v>
      </c>
      <c r="F2786" s="64">
        <v>100000000</v>
      </c>
    </row>
    <row r="2787" spans="1:6" x14ac:dyDescent="0.25">
      <c r="A2787" s="47" t="s">
        <v>8552</v>
      </c>
      <c r="B2787" s="47" t="s">
        <v>6627</v>
      </c>
      <c r="C2787" s="47" t="s">
        <v>8553</v>
      </c>
      <c r="D2787" s="47"/>
      <c r="E2787" s="64">
        <v>39959.482499999998</v>
      </c>
      <c r="F2787" s="64">
        <v>100000000</v>
      </c>
    </row>
    <row r="2788" spans="1:6" x14ac:dyDescent="0.25">
      <c r="A2788" s="47" t="s">
        <v>8554</v>
      </c>
      <c r="B2788" s="47" t="s">
        <v>6630</v>
      </c>
      <c r="C2788" s="47" t="s">
        <v>8555</v>
      </c>
      <c r="D2788" s="47" t="s">
        <v>6632</v>
      </c>
      <c r="E2788" s="64">
        <v>45826.819999999992</v>
      </c>
      <c r="F2788" s="64">
        <v>4.5</v>
      </c>
    </row>
    <row r="2789" spans="1:6" x14ac:dyDescent="0.25">
      <c r="A2789" s="47" t="s">
        <v>8556</v>
      </c>
      <c r="B2789" s="47" t="s">
        <v>6642</v>
      </c>
      <c r="C2789" s="47" t="s">
        <v>8557</v>
      </c>
      <c r="D2789" s="47" t="s">
        <v>6338</v>
      </c>
      <c r="E2789" s="64">
        <v>51731.210000000006</v>
      </c>
      <c r="F2789" s="64">
        <v>213.43394333333333</v>
      </c>
    </row>
    <row r="2790" spans="1:6" x14ac:dyDescent="0.25">
      <c r="A2790" s="47" t="s">
        <v>8558</v>
      </c>
      <c r="B2790" s="47" t="s">
        <v>6674</v>
      </c>
      <c r="C2790" s="47" t="s">
        <v>8559</v>
      </c>
      <c r="D2790" s="47" t="s">
        <v>2245</v>
      </c>
      <c r="E2790" s="64">
        <v>43702.130000000005</v>
      </c>
      <c r="F2790" s="64">
        <v>1.4</v>
      </c>
    </row>
    <row r="2791" spans="1:6" x14ac:dyDescent="0.25">
      <c r="A2791" s="47" t="s">
        <v>8560</v>
      </c>
      <c r="B2791" s="47" t="s">
        <v>6378</v>
      </c>
      <c r="C2791" s="47" t="s">
        <v>8561</v>
      </c>
      <c r="D2791" s="47" t="s">
        <v>6380</v>
      </c>
      <c r="E2791" s="64">
        <v>79591.570000000007</v>
      </c>
      <c r="F2791" s="64">
        <v>63</v>
      </c>
    </row>
    <row r="2792" spans="1:6" x14ac:dyDescent="0.25">
      <c r="A2792" s="47" t="s">
        <v>8562</v>
      </c>
      <c r="B2792" s="47" t="s">
        <v>6729</v>
      </c>
      <c r="C2792" s="47" t="s">
        <v>8563</v>
      </c>
      <c r="D2792" s="47"/>
      <c r="E2792" s="64">
        <v>39959.482499999998</v>
      </c>
      <c r="F2792" s="64">
        <v>100000000</v>
      </c>
    </row>
    <row r="2793" spans="1:6" x14ac:dyDescent="0.25">
      <c r="A2793" s="47" t="s">
        <v>8564</v>
      </c>
      <c r="B2793" s="47" t="s">
        <v>6749</v>
      </c>
      <c r="C2793" s="47" t="s">
        <v>8565</v>
      </c>
      <c r="D2793" s="47"/>
      <c r="E2793" s="64">
        <v>39959.482499999998</v>
      </c>
      <c r="F2793" s="64">
        <v>100000000</v>
      </c>
    </row>
    <row r="2794" spans="1:6" x14ac:dyDescent="0.25">
      <c r="A2794" s="47" t="s">
        <v>8566</v>
      </c>
      <c r="B2794" s="47" t="s">
        <v>6773</v>
      </c>
      <c r="C2794" s="47" t="s">
        <v>8567</v>
      </c>
      <c r="D2794" s="47"/>
      <c r="E2794" s="64">
        <v>39959.482499999998</v>
      </c>
      <c r="F2794" s="64">
        <v>100000000</v>
      </c>
    </row>
    <row r="2795" spans="1:6" x14ac:dyDescent="0.25">
      <c r="A2795" s="47" t="s">
        <v>8568</v>
      </c>
      <c r="B2795" s="47" t="s">
        <v>6786</v>
      </c>
      <c r="C2795" s="47" t="s">
        <v>8569</v>
      </c>
      <c r="D2795" s="47" t="s">
        <v>6788</v>
      </c>
      <c r="E2795" s="64">
        <v>27236.700000000004</v>
      </c>
      <c r="F2795" s="64">
        <v>15</v>
      </c>
    </row>
    <row r="2796" spans="1:6" x14ac:dyDescent="0.25">
      <c r="A2796" s="47" t="s">
        <v>8570</v>
      </c>
      <c r="B2796" s="47" t="s">
        <v>6797</v>
      </c>
      <c r="C2796" s="47" t="s">
        <v>8571</v>
      </c>
      <c r="D2796" s="47"/>
      <c r="E2796" s="64">
        <v>39959.482499999998</v>
      </c>
      <c r="F2796" s="64">
        <v>100000000</v>
      </c>
    </row>
    <row r="2797" spans="1:6" x14ac:dyDescent="0.25">
      <c r="A2797" s="47" t="s">
        <v>8572</v>
      </c>
      <c r="B2797" s="47" t="s">
        <v>6833</v>
      </c>
      <c r="C2797" s="47" t="s">
        <v>8573</v>
      </c>
      <c r="D2797" s="47" t="s">
        <v>6835</v>
      </c>
      <c r="E2797" s="64">
        <v>53697.54</v>
      </c>
      <c r="F2797" s="64">
        <v>26.7</v>
      </c>
    </row>
    <row r="2798" spans="1:6" x14ac:dyDescent="0.25">
      <c r="A2798" s="47" t="s">
        <v>8574</v>
      </c>
      <c r="B2798" s="47" t="s">
        <v>6850</v>
      </c>
      <c r="C2798" s="47" t="s">
        <v>8575</v>
      </c>
      <c r="D2798" s="47" t="s">
        <v>6852</v>
      </c>
      <c r="E2798" s="64">
        <v>46709.9</v>
      </c>
      <c r="F2798" s="64">
        <v>19</v>
      </c>
    </row>
    <row r="2799" spans="1:6" x14ac:dyDescent="0.25">
      <c r="A2799" s="47" t="s">
        <v>8576</v>
      </c>
      <c r="B2799" s="47" t="s">
        <v>6863</v>
      </c>
      <c r="C2799" s="47" t="s">
        <v>8577</v>
      </c>
      <c r="D2799" s="47"/>
      <c r="E2799" s="64">
        <v>39959.482499999998</v>
      </c>
      <c r="F2799" s="64">
        <v>100000000</v>
      </c>
    </row>
    <row r="2800" spans="1:6" x14ac:dyDescent="0.25">
      <c r="A2800" s="47" t="s">
        <v>8578</v>
      </c>
      <c r="B2800" s="47" t="s">
        <v>6869</v>
      </c>
      <c r="C2800" s="47" t="s">
        <v>8579</v>
      </c>
      <c r="D2800" s="47"/>
      <c r="E2800" s="64">
        <v>39959.482499999998</v>
      </c>
      <c r="F2800" s="64">
        <v>100000000</v>
      </c>
    </row>
    <row r="2801" spans="1:6" x14ac:dyDescent="0.25">
      <c r="A2801" s="47" t="s">
        <v>8580</v>
      </c>
      <c r="B2801" s="47" t="s">
        <v>6888</v>
      </c>
      <c r="C2801" s="47" t="s">
        <v>8581</v>
      </c>
      <c r="D2801" s="47"/>
      <c r="E2801" s="64">
        <v>39959.482499999998</v>
      </c>
      <c r="F2801" s="64">
        <v>100000000</v>
      </c>
    </row>
    <row r="2802" spans="1:6" x14ac:dyDescent="0.25">
      <c r="A2802" s="47" t="s">
        <v>8582</v>
      </c>
      <c r="B2802" s="47" t="s">
        <v>6891</v>
      </c>
      <c r="C2802" s="47" t="s">
        <v>8583</v>
      </c>
      <c r="D2802" s="47"/>
      <c r="E2802" s="64">
        <v>47364.853333333333</v>
      </c>
      <c r="F2802" s="64">
        <v>22</v>
      </c>
    </row>
    <row r="2803" spans="1:6" x14ac:dyDescent="0.25">
      <c r="A2803" s="47" t="s">
        <v>8584</v>
      </c>
      <c r="B2803" s="47" t="s">
        <v>6894</v>
      </c>
      <c r="C2803" s="47" t="s">
        <v>8585</v>
      </c>
      <c r="D2803" s="47"/>
      <c r="E2803" s="64">
        <v>47364.853333333333</v>
      </c>
      <c r="F2803" s="64">
        <v>22</v>
      </c>
    </row>
    <row r="2804" spans="1:6" x14ac:dyDescent="0.25">
      <c r="A2804" s="47" t="s">
        <v>8586</v>
      </c>
      <c r="B2804" s="47" t="s">
        <v>6897</v>
      </c>
      <c r="C2804" s="47" t="s">
        <v>8587</v>
      </c>
      <c r="D2804" s="47"/>
      <c r="E2804" s="64">
        <v>39959.482499999998</v>
      </c>
      <c r="F2804" s="64">
        <v>100000000</v>
      </c>
    </row>
    <row r="2805" spans="1:6" x14ac:dyDescent="0.25">
      <c r="A2805" s="47" t="s">
        <v>8588</v>
      </c>
      <c r="B2805" s="47" t="s">
        <v>6900</v>
      </c>
      <c r="C2805" s="47" t="s">
        <v>8589</v>
      </c>
      <c r="D2805" s="47"/>
      <c r="E2805" s="64">
        <v>39959.482499999998</v>
      </c>
      <c r="F2805" s="64">
        <v>100000000</v>
      </c>
    </row>
    <row r="2806" spans="1:6" x14ac:dyDescent="0.25">
      <c r="A2806" s="47" t="s">
        <v>8590</v>
      </c>
      <c r="B2806" s="47" t="s">
        <v>6903</v>
      </c>
      <c r="C2806" s="47" t="s">
        <v>8591</v>
      </c>
      <c r="D2806" s="47" t="s">
        <v>6338</v>
      </c>
      <c r="E2806" s="64">
        <v>42095.829999999994</v>
      </c>
      <c r="F2806" s="64">
        <v>113.1567</v>
      </c>
    </row>
    <row r="2807" spans="1:6" x14ac:dyDescent="0.25">
      <c r="A2807" s="47" t="s">
        <v>8592</v>
      </c>
      <c r="B2807" s="47" t="s">
        <v>6909</v>
      </c>
      <c r="C2807" s="47" t="s">
        <v>8593</v>
      </c>
      <c r="D2807" s="47"/>
      <c r="E2807" s="64">
        <v>47934.04</v>
      </c>
      <c r="F2807" s="64">
        <v>22</v>
      </c>
    </row>
    <row r="2808" spans="1:6" x14ac:dyDescent="0.25">
      <c r="A2808" s="47" t="s">
        <v>8594</v>
      </c>
      <c r="B2808" s="47" t="s">
        <v>6919</v>
      </c>
      <c r="C2808" s="47" t="s">
        <v>8595</v>
      </c>
      <c r="D2808" s="47"/>
      <c r="E2808" s="64">
        <v>42523.29</v>
      </c>
      <c r="F2808" s="64">
        <v>100000000</v>
      </c>
    </row>
    <row r="2809" spans="1:6" x14ac:dyDescent="0.25">
      <c r="A2809" s="47" t="s">
        <v>8596</v>
      </c>
      <c r="B2809" s="47" t="s">
        <v>6928</v>
      </c>
      <c r="C2809" s="47" t="s">
        <v>8597</v>
      </c>
      <c r="D2809" s="47" t="s">
        <v>6930</v>
      </c>
      <c r="E2809" s="64">
        <v>31157.319999999996</v>
      </c>
      <c r="F2809" s="64">
        <v>76.088466666666676</v>
      </c>
    </row>
    <row r="2810" spans="1:6" x14ac:dyDescent="0.25">
      <c r="A2810" s="47" t="s">
        <v>8598</v>
      </c>
      <c r="B2810" s="47" t="s">
        <v>6932</v>
      </c>
      <c r="C2810" s="47" t="s">
        <v>8599</v>
      </c>
      <c r="D2810" s="47" t="s">
        <v>1618</v>
      </c>
      <c r="E2810" s="64">
        <v>38711.209999999992</v>
      </c>
      <c r="F2810" s="64">
        <v>3.3</v>
      </c>
    </row>
    <row r="2811" spans="1:6" x14ac:dyDescent="0.25">
      <c r="A2811" s="47" t="s">
        <v>8600</v>
      </c>
      <c r="B2811" s="47" t="s">
        <v>6944</v>
      </c>
      <c r="C2811" s="47" t="s">
        <v>8601</v>
      </c>
      <c r="D2811" s="47" t="s">
        <v>6483</v>
      </c>
      <c r="E2811" s="64">
        <v>13619.139999999998</v>
      </c>
      <c r="F2811" s="64">
        <v>8.8999999999999996E-2</v>
      </c>
    </row>
    <row r="2812" spans="1:6" x14ac:dyDescent="0.25">
      <c r="A2812" s="47" t="s">
        <v>8602</v>
      </c>
      <c r="B2812" s="47" t="s">
        <v>6950</v>
      </c>
      <c r="C2812" s="47" t="s">
        <v>8603</v>
      </c>
      <c r="D2812" s="47"/>
      <c r="E2812" s="64">
        <v>39959.482499999998</v>
      </c>
      <c r="F2812" s="64">
        <v>100000000</v>
      </c>
    </row>
    <row r="2813" spans="1:6" x14ac:dyDescent="0.25">
      <c r="A2813" s="47" t="s">
        <v>8604</v>
      </c>
      <c r="B2813" s="47" t="s">
        <v>6968</v>
      </c>
      <c r="C2813" s="47" t="s">
        <v>8605</v>
      </c>
      <c r="D2813" s="47" t="s">
        <v>6958</v>
      </c>
      <c r="E2813" s="64">
        <v>54648.799999999996</v>
      </c>
      <c r="F2813" s="64">
        <v>0.33</v>
      </c>
    </row>
    <row r="2814" spans="1:6" x14ac:dyDescent="0.25">
      <c r="A2814" s="47" t="s">
        <v>8606</v>
      </c>
      <c r="B2814" s="47" t="s">
        <v>6988</v>
      </c>
      <c r="C2814" s="47" t="s">
        <v>8607</v>
      </c>
      <c r="D2814" s="47" t="s">
        <v>6958</v>
      </c>
      <c r="E2814" s="64">
        <v>54648.799999999996</v>
      </c>
      <c r="F2814" s="64">
        <v>0.33</v>
      </c>
    </row>
    <row r="2815" spans="1:6" x14ac:dyDescent="0.25">
      <c r="A2815" s="47" t="s">
        <v>8608</v>
      </c>
      <c r="B2815" s="47" t="s">
        <v>7001</v>
      </c>
      <c r="C2815" s="47" t="s">
        <v>8609</v>
      </c>
      <c r="D2815" s="47" t="s">
        <v>7003</v>
      </c>
      <c r="E2815" s="64">
        <v>69705.994999999995</v>
      </c>
      <c r="F2815" s="64">
        <v>10</v>
      </c>
    </row>
    <row r="2816" spans="1:6" x14ac:dyDescent="0.25">
      <c r="A2816" s="47" t="s">
        <v>8610</v>
      </c>
      <c r="B2816" s="47" t="s">
        <v>7005</v>
      </c>
      <c r="C2816" s="47" t="s">
        <v>8611</v>
      </c>
      <c r="D2816" s="47" t="s">
        <v>7007</v>
      </c>
      <c r="E2816" s="64">
        <v>32625.074999999997</v>
      </c>
      <c r="F2816" s="64">
        <v>1.21E-2</v>
      </c>
    </row>
    <row r="2817" spans="1:6" x14ac:dyDescent="0.25">
      <c r="A2817" s="47" t="s">
        <v>8612</v>
      </c>
      <c r="B2817" s="47" t="s">
        <v>7040</v>
      </c>
      <c r="C2817" s="47" t="s">
        <v>8613</v>
      </c>
      <c r="D2817" s="47"/>
      <c r="E2817" s="64">
        <v>40305.749999999993</v>
      </c>
      <c r="F2817" s="64">
        <v>100000000</v>
      </c>
    </row>
    <row r="2818" spans="1:6" x14ac:dyDescent="0.25">
      <c r="A2818" s="47" t="s">
        <v>8614</v>
      </c>
      <c r="B2818" s="47" t="s">
        <v>7043</v>
      </c>
      <c r="C2818" s="47" t="s">
        <v>8615</v>
      </c>
      <c r="D2818" s="47"/>
      <c r="E2818" s="64">
        <v>39959.482499999998</v>
      </c>
      <c r="F2818" s="64">
        <v>100000000</v>
      </c>
    </row>
    <row r="2819" spans="1:6" x14ac:dyDescent="0.25">
      <c r="A2819" s="47" t="s">
        <v>8616</v>
      </c>
      <c r="B2819" s="47" t="s">
        <v>7079</v>
      </c>
      <c r="C2819" s="47" t="s">
        <v>8617</v>
      </c>
      <c r="D2819" s="47"/>
      <c r="E2819" s="64">
        <v>27199.369999999995</v>
      </c>
      <c r="F2819" s="64">
        <v>100000000</v>
      </c>
    </row>
    <row r="2820" spans="1:6" x14ac:dyDescent="0.25">
      <c r="A2820" s="47" t="s">
        <v>8618</v>
      </c>
      <c r="B2820" s="47" t="s">
        <v>7082</v>
      </c>
      <c r="C2820" s="47" t="s">
        <v>8619</v>
      </c>
      <c r="D2820" s="47"/>
      <c r="E2820" s="64">
        <v>39959.482499999998</v>
      </c>
      <c r="F2820" s="64">
        <v>22</v>
      </c>
    </row>
    <row r="2821" spans="1:6" x14ac:dyDescent="0.25">
      <c r="A2821" s="47" t="s">
        <v>8620</v>
      </c>
      <c r="B2821" s="47" t="s">
        <v>7089</v>
      </c>
      <c r="C2821" s="47" t="s">
        <v>8621</v>
      </c>
      <c r="D2821" s="47"/>
      <c r="E2821" s="64">
        <v>39959.482499999998</v>
      </c>
      <c r="F2821" s="64">
        <v>100000000</v>
      </c>
    </row>
    <row r="2822" spans="1:6" x14ac:dyDescent="0.25">
      <c r="A2822" s="47" t="s">
        <v>8622</v>
      </c>
      <c r="B2822" s="47" t="s">
        <v>7092</v>
      </c>
      <c r="C2822" s="47" t="s">
        <v>8623</v>
      </c>
      <c r="D2822" s="47" t="s">
        <v>7094</v>
      </c>
      <c r="E2822" s="64">
        <v>41669.49</v>
      </c>
      <c r="F2822" s="64">
        <v>11</v>
      </c>
    </row>
    <row r="2823" spans="1:6" x14ac:dyDescent="0.25">
      <c r="A2823" s="47" t="s">
        <v>8624</v>
      </c>
      <c r="B2823" s="47" t="s">
        <v>7107</v>
      </c>
      <c r="C2823" s="47" t="s">
        <v>8625</v>
      </c>
      <c r="D2823" s="47" t="s">
        <v>6534</v>
      </c>
      <c r="E2823" s="64">
        <v>98761.00999999998</v>
      </c>
      <c r="F2823" s="64">
        <v>1515.25</v>
      </c>
    </row>
    <row r="2824" spans="1:6" x14ac:dyDescent="0.25">
      <c r="A2824" s="47" t="s">
        <v>8626</v>
      </c>
      <c r="B2824" s="47" t="s">
        <v>7110</v>
      </c>
      <c r="C2824" s="47" t="s">
        <v>8627</v>
      </c>
      <c r="D2824" s="47"/>
      <c r="E2824" s="64">
        <v>54884.380000000005</v>
      </c>
      <c r="F2824" s="64">
        <v>22</v>
      </c>
    </row>
    <row r="2825" spans="1:6" x14ac:dyDescent="0.25">
      <c r="A2825" s="47" t="s">
        <v>8628</v>
      </c>
      <c r="B2825" s="47" t="s">
        <v>7134</v>
      </c>
      <c r="C2825" s="47" t="s">
        <v>8629</v>
      </c>
      <c r="D2825" s="47" t="s">
        <v>7136</v>
      </c>
      <c r="E2825" s="64">
        <v>34722.770000000004</v>
      </c>
      <c r="F2825" s="64">
        <v>45</v>
      </c>
    </row>
    <row r="2826" spans="1:6" x14ac:dyDescent="0.25">
      <c r="A2826" s="47" t="s">
        <v>8630</v>
      </c>
      <c r="B2826" s="47" t="s">
        <v>7173</v>
      </c>
      <c r="C2826" s="47" t="s">
        <v>8631</v>
      </c>
      <c r="D2826" s="47" t="s">
        <v>7175</v>
      </c>
      <c r="E2826" s="64">
        <v>27315.625</v>
      </c>
      <c r="F2826" s="64">
        <v>2.4E-2</v>
      </c>
    </row>
    <row r="2827" spans="1:6" x14ac:dyDescent="0.25">
      <c r="A2827" s="47" t="s">
        <v>8632</v>
      </c>
      <c r="B2827" s="47" t="s">
        <v>7192</v>
      </c>
      <c r="C2827" s="47" t="s">
        <v>8633</v>
      </c>
      <c r="D2827" s="47"/>
      <c r="E2827" s="64">
        <v>29779.22</v>
      </c>
      <c r="F2827" s="64">
        <v>100000000</v>
      </c>
    </row>
    <row r="2828" spans="1:6" x14ac:dyDescent="0.25">
      <c r="A2828" s="47" t="s">
        <v>8634</v>
      </c>
      <c r="B2828" s="47" t="s">
        <v>7201</v>
      </c>
      <c r="C2828" s="47" t="s">
        <v>8635</v>
      </c>
      <c r="D2828" s="47"/>
      <c r="E2828" s="64">
        <v>39959.482499999998</v>
      </c>
      <c r="F2828" s="64">
        <v>22</v>
      </c>
    </row>
    <row r="2829" spans="1:6" x14ac:dyDescent="0.25">
      <c r="A2829" s="47" t="s">
        <v>8636</v>
      </c>
      <c r="B2829" s="47" t="s">
        <v>7218</v>
      </c>
      <c r="C2829" s="47" t="s">
        <v>8637</v>
      </c>
      <c r="D2829" s="47" t="s">
        <v>7220</v>
      </c>
      <c r="E2829" s="64">
        <v>28915.189999999995</v>
      </c>
      <c r="F2829" s="64">
        <v>0.3</v>
      </c>
    </row>
    <row r="2830" spans="1:6" x14ac:dyDescent="0.25">
      <c r="A2830" s="47" t="s">
        <v>8638</v>
      </c>
      <c r="B2830" s="47" t="s">
        <v>7222</v>
      </c>
      <c r="C2830" s="47" t="s">
        <v>8639</v>
      </c>
      <c r="D2830" s="47" t="s">
        <v>3891</v>
      </c>
      <c r="E2830" s="64">
        <v>19247.130000000005</v>
      </c>
      <c r="F2830" s="64">
        <v>109.46666666666665</v>
      </c>
    </row>
    <row r="2831" spans="1:6" x14ac:dyDescent="0.25">
      <c r="A2831" s="47" t="s">
        <v>8640</v>
      </c>
      <c r="B2831" s="47" t="s">
        <v>7229</v>
      </c>
      <c r="C2831" s="47" t="s">
        <v>8641</v>
      </c>
      <c r="D2831" s="47"/>
      <c r="E2831" s="64">
        <v>39959.482499999998</v>
      </c>
      <c r="F2831" s="64">
        <v>100000000</v>
      </c>
    </row>
    <row r="2832" spans="1:6" x14ac:dyDescent="0.25">
      <c r="A2832" s="47" t="s">
        <v>8642</v>
      </c>
      <c r="B2832" s="47" t="s">
        <v>7235</v>
      </c>
      <c r="C2832" s="47" t="s">
        <v>8643</v>
      </c>
      <c r="D2832" s="47" t="s">
        <v>2993</v>
      </c>
      <c r="E2832" s="64">
        <v>66827.789999999994</v>
      </c>
      <c r="F2832" s="64">
        <v>0.33878333333333338</v>
      </c>
    </row>
    <row r="2833" spans="1:6" x14ac:dyDescent="0.25">
      <c r="A2833" s="47" t="s">
        <v>8644</v>
      </c>
      <c r="B2833" s="47" t="s">
        <v>7248</v>
      </c>
      <c r="C2833" s="47" t="s">
        <v>8645</v>
      </c>
      <c r="D2833" s="47"/>
      <c r="E2833" s="64">
        <v>27199.369999999995</v>
      </c>
      <c r="F2833" s="64">
        <v>100000000</v>
      </c>
    </row>
    <row r="2834" spans="1:6" x14ac:dyDescent="0.25">
      <c r="A2834" s="47" t="s">
        <v>8646</v>
      </c>
      <c r="B2834" s="47" t="s">
        <v>7251</v>
      </c>
      <c r="C2834" s="47" t="s">
        <v>8647</v>
      </c>
      <c r="D2834" s="47"/>
      <c r="E2834" s="64">
        <v>39959.482499999998</v>
      </c>
      <c r="F2834" s="64">
        <v>22</v>
      </c>
    </row>
    <row r="2835" spans="1:6" x14ac:dyDescent="0.25">
      <c r="A2835" s="47" t="s">
        <v>8648</v>
      </c>
      <c r="B2835" s="47" t="s">
        <v>7260</v>
      </c>
      <c r="C2835" s="47" t="s">
        <v>8649</v>
      </c>
      <c r="D2835" s="47" t="s">
        <v>7787</v>
      </c>
      <c r="E2835" s="64">
        <v>44174.560000000005</v>
      </c>
      <c r="F2835" s="64">
        <v>16.82075</v>
      </c>
    </row>
    <row r="2836" spans="1:6" x14ac:dyDescent="0.25">
      <c r="A2836" s="47" t="s">
        <v>8650</v>
      </c>
      <c r="B2836" s="47" t="s">
        <v>7267</v>
      </c>
      <c r="C2836" s="47" t="s">
        <v>8651</v>
      </c>
      <c r="D2836" s="47" t="s">
        <v>7269</v>
      </c>
      <c r="E2836" s="64">
        <v>61162.450000000012</v>
      </c>
      <c r="F2836" s="64">
        <v>3.7014999999999998</v>
      </c>
    </row>
    <row r="2837" spans="1:6" x14ac:dyDescent="0.25">
      <c r="A2837" s="47" t="s">
        <v>8652</v>
      </c>
      <c r="B2837" s="47" t="s">
        <v>7278</v>
      </c>
      <c r="C2837" s="47" t="s">
        <v>8653</v>
      </c>
      <c r="D2837" s="47"/>
      <c r="E2837" s="64">
        <v>39959.482499999998</v>
      </c>
      <c r="F2837" s="64">
        <v>100000000</v>
      </c>
    </row>
    <row r="2838" spans="1:6" x14ac:dyDescent="0.25">
      <c r="A2838" s="47" t="s">
        <v>8654</v>
      </c>
      <c r="B2838" s="47" t="s">
        <v>7281</v>
      </c>
      <c r="C2838" s="47" t="s">
        <v>8655</v>
      </c>
      <c r="D2838" s="47"/>
      <c r="E2838" s="64">
        <v>39959.482499999998</v>
      </c>
      <c r="F2838" s="64">
        <v>100000000</v>
      </c>
    </row>
    <row r="2839" spans="1:6" x14ac:dyDescent="0.25">
      <c r="A2839" s="47" t="s">
        <v>8656</v>
      </c>
      <c r="B2839" s="47" t="s">
        <v>7301</v>
      </c>
      <c r="C2839" s="47" t="s">
        <v>8657</v>
      </c>
      <c r="D2839" s="47"/>
      <c r="E2839" s="64">
        <v>39959.482499999998</v>
      </c>
      <c r="F2839" s="64">
        <v>100000000</v>
      </c>
    </row>
    <row r="2840" spans="1:6" x14ac:dyDescent="0.25">
      <c r="A2840" s="47" t="s">
        <v>8658</v>
      </c>
      <c r="B2840" s="47" t="s">
        <v>7321</v>
      </c>
      <c r="C2840" s="47" t="s">
        <v>8659</v>
      </c>
      <c r="D2840" s="47"/>
      <c r="E2840" s="64">
        <v>39959.482499999998</v>
      </c>
      <c r="F2840" s="64">
        <v>100000000</v>
      </c>
    </row>
    <row r="2841" spans="1:6" x14ac:dyDescent="0.25">
      <c r="A2841" s="47" t="s">
        <v>8660</v>
      </c>
      <c r="B2841" s="47" t="s">
        <v>7324</v>
      </c>
      <c r="C2841" s="47" t="s">
        <v>8661</v>
      </c>
      <c r="D2841" s="47" t="s">
        <v>7326</v>
      </c>
      <c r="E2841" s="64">
        <v>52407.009999999995</v>
      </c>
      <c r="F2841" s="64">
        <v>1</v>
      </c>
    </row>
    <row r="2842" spans="1:6" x14ac:dyDescent="0.25">
      <c r="A2842" s="47" t="s">
        <v>8662</v>
      </c>
      <c r="B2842" s="47" t="s">
        <v>7350</v>
      </c>
      <c r="C2842" s="47" t="s">
        <v>8663</v>
      </c>
      <c r="D2842" s="47"/>
      <c r="E2842" s="64">
        <v>39959.482499999998</v>
      </c>
      <c r="F2842" s="64">
        <v>100000000</v>
      </c>
    </row>
    <row r="2843" spans="1:6" x14ac:dyDescent="0.25">
      <c r="A2843" s="47" t="s">
        <v>8664</v>
      </c>
      <c r="B2843" s="47" t="s">
        <v>7380</v>
      </c>
      <c r="C2843" s="47" t="s">
        <v>8665</v>
      </c>
      <c r="D2843" s="47" t="s">
        <v>4139</v>
      </c>
      <c r="E2843" s="64">
        <v>36493.699999999997</v>
      </c>
      <c r="F2843" s="64">
        <v>1.44</v>
      </c>
    </row>
    <row r="2844" spans="1:6" x14ac:dyDescent="0.25">
      <c r="A2844" s="47" t="s">
        <v>8666</v>
      </c>
      <c r="B2844" s="47" t="s">
        <v>7389</v>
      </c>
      <c r="C2844" s="47" t="s">
        <v>8667</v>
      </c>
      <c r="D2844" s="47"/>
      <c r="E2844" s="64">
        <v>39959.482499999998</v>
      </c>
      <c r="F2844" s="64">
        <v>100000000</v>
      </c>
    </row>
    <row r="2845" spans="1:6" x14ac:dyDescent="0.25">
      <c r="A2845" s="47" t="s">
        <v>8668</v>
      </c>
      <c r="B2845" s="47" t="s">
        <v>7395</v>
      </c>
      <c r="C2845" s="47" t="s">
        <v>8669</v>
      </c>
      <c r="D2845" s="47"/>
      <c r="E2845" s="64">
        <v>39959.482499999998</v>
      </c>
      <c r="F2845" s="64">
        <v>22</v>
      </c>
    </row>
    <row r="2846" spans="1:6" x14ac:dyDescent="0.25">
      <c r="A2846" s="47" t="s">
        <v>8670</v>
      </c>
      <c r="B2846" s="47" t="s">
        <v>7408</v>
      </c>
      <c r="C2846" s="47" t="s">
        <v>8671</v>
      </c>
      <c r="D2846" s="47" t="s">
        <v>7410</v>
      </c>
      <c r="E2846" s="64">
        <v>44225.100000000006</v>
      </c>
      <c r="F2846" s="64">
        <v>0.02</v>
      </c>
    </row>
    <row r="2847" spans="1:6" x14ac:dyDescent="0.25">
      <c r="A2847" s="47" t="s">
        <v>8672</v>
      </c>
      <c r="B2847" s="47" t="s">
        <v>7434</v>
      </c>
      <c r="C2847" s="47" t="s">
        <v>8673</v>
      </c>
      <c r="D2847" s="47"/>
      <c r="E2847" s="64">
        <v>59427.579999999987</v>
      </c>
      <c r="F2847" s="64">
        <v>100000000</v>
      </c>
    </row>
    <row r="2848" spans="1:6" x14ac:dyDescent="0.25">
      <c r="A2848" s="47" t="s">
        <v>8674</v>
      </c>
      <c r="B2848" s="47" t="s">
        <v>7437</v>
      </c>
      <c r="C2848" s="47" t="s">
        <v>8675</v>
      </c>
      <c r="D2848" s="47"/>
      <c r="E2848" s="64">
        <v>59427.579999999987</v>
      </c>
      <c r="F2848" s="64">
        <v>100000000</v>
      </c>
    </row>
    <row r="2849" spans="1:6" x14ac:dyDescent="0.25">
      <c r="A2849" s="47" t="s">
        <v>8676</v>
      </c>
      <c r="B2849" s="47" t="s">
        <v>7440</v>
      </c>
      <c r="C2849" s="47" t="s">
        <v>8677</v>
      </c>
      <c r="D2849" s="47"/>
      <c r="E2849" s="64">
        <v>59427.579999999987</v>
      </c>
      <c r="F2849" s="64">
        <v>100000000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workbookViewId="0">
      <selection activeCell="H22" sqref="H22"/>
    </sheetView>
  </sheetViews>
  <sheetFormatPr defaultColWidth="11.42578125" defaultRowHeight="15" x14ac:dyDescent="0.25"/>
  <cols>
    <col min="1" max="1" width="27.140625" style="47" bestFit="1" customWidth="1"/>
    <col min="2" max="16384" width="11.42578125" style="47"/>
  </cols>
  <sheetData>
    <row r="1" spans="1:23" x14ac:dyDescent="0.25">
      <c r="B1" s="68" t="s">
        <v>8678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</row>
    <row r="2" spans="1:23" s="1" customFormat="1" x14ac:dyDescent="0.25">
      <c r="B2" s="48" t="s">
        <v>8679</v>
      </c>
      <c r="C2" s="1" t="s">
        <v>8680</v>
      </c>
      <c r="D2" s="1" t="s">
        <v>8681</v>
      </c>
      <c r="E2" s="1" t="s">
        <v>8682</v>
      </c>
      <c r="F2" s="1" t="s">
        <v>8683</v>
      </c>
      <c r="G2" s="1" t="s">
        <v>8684</v>
      </c>
      <c r="H2" s="1" t="s">
        <v>8685</v>
      </c>
      <c r="I2" s="1" t="s">
        <v>8686</v>
      </c>
      <c r="J2" s="1" t="s">
        <v>8687</v>
      </c>
      <c r="K2" s="1" t="s">
        <v>8688</v>
      </c>
      <c r="L2" s="1" t="s">
        <v>8689</v>
      </c>
      <c r="M2" s="1" t="s">
        <v>8690</v>
      </c>
      <c r="N2" s="1" t="s">
        <v>8691</v>
      </c>
      <c r="O2" s="1" t="s">
        <v>8692</v>
      </c>
      <c r="P2" s="1" t="s">
        <v>8693</v>
      </c>
      <c r="Q2" s="1" t="s">
        <v>8694</v>
      </c>
      <c r="R2" s="1" t="s">
        <v>8695</v>
      </c>
      <c r="S2" s="1" t="s">
        <v>8696</v>
      </c>
      <c r="T2" s="1" t="s">
        <v>8697</v>
      </c>
      <c r="U2" s="1" t="s">
        <v>8698</v>
      </c>
      <c r="V2" s="1" t="s">
        <v>8699</v>
      </c>
      <c r="W2" s="1" t="s">
        <v>8700</v>
      </c>
    </row>
    <row r="3" spans="1:23" x14ac:dyDescent="0.25">
      <c r="A3" s="47" t="s">
        <v>8701</v>
      </c>
      <c r="B3" s="49">
        <v>5070439.8089978257</v>
      </c>
      <c r="C3" s="47">
        <v>8357873.2953483546</v>
      </c>
      <c r="D3" s="47">
        <v>7057371.5731360577</v>
      </c>
      <c r="E3" s="47">
        <v>3817955.0700889388</v>
      </c>
      <c r="F3" s="47">
        <v>4389989.3223016346</v>
      </c>
      <c r="G3" s="47">
        <v>4681894.1494167289</v>
      </c>
      <c r="H3" s="47">
        <v>4647420.6317149932</v>
      </c>
      <c r="I3" s="47">
        <v>4193698.9925542097</v>
      </c>
      <c r="J3" s="47">
        <v>4553456.6167245088</v>
      </c>
      <c r="K3" s="47">
        <v>3992834.9267796753</v>
      </c>
      <c r="L3" s="47">
        <v>3432399.4073152845</v>
      </c>
      <c r="M3" s="47">
        <v>3113583.9750970528</v>
      </c>
      <c r="N3" s="47">
        <v>3389379.6990489042</v>
      </c>
      <c r="O3" s="47">
        <v>3272427.2069715741</v>
      </c>
      <c r="P3" s="47">
        <v>5294648.03198318</v>
      </c>
      <c r="Q3" s="47">
        <v>5288227.0166082298</v>
      </c>
      <c r="R3" s="47">
        <v>5507866.0791524369</v>
      </c>
      <c r="S3" s="47">
        <v>4919908.0828355979</v>
      </c>
      <c r="T3" s="47">
        <v>4502698.3432730287</v>
      </c>
      <c r="U3" s="47">
        <v>3793619.0972990245</v>
      </c>
      <c r="V3" s="47">
        <v>4451684.018239338</v>
      </c>
      <c r="W3" s="47">
        <v>5150906.8744110102</v>
      </c>
    </row>
    <row r="4" spans="1:23" x14ac:dyDescent="0.25">
      <c r="A4" s="50" t="s">
        <v>8702</v>
      </c>
      <c r="B4" s="49"/>
    </row>
    <row r="5" spans="1:23" s="12" customFormat="1" x14ac:dyDescent="0.25">
      <c r="A5" s="12" t="s">
        <v>8703</v>
      </c>
      <c r="B5" s="51">
        <f>(B3/(6.022*10^23))*(10^9)</f>
        <v>8.419860194284002E-9</v>
      </c>
      <c r="C5" s="12">
        <f t="shared" ref="C5:W5" si="0">(C3/(6.022*10^23))*(10^9)</f>
        <v>1.3878899527313776E-8</v>
      </c>
      <c r="D5" s="12">
        <f t="shared" si="0"/>
        <v>1.1719315133072167E-8</v>
      </c>
      <c r="E5" s="12">
        <f t="shared" si="0"/>
        <v>6.3400117404333101E-9</v>
      </c>
      <c r="F5" s="12">
        <f t="shared" si="0"/>
        <v>7.2899191668907925E-9</v>
      </c>
      <c r="G5" s="12">
        <f t="shared" si="0"/>
        <v>7.7746498661852034E-9</v>
      </c>
      <c r="H5" s="12">
        <f t="shared" si="0"/>
        <v>7.7174039052059011E-9</v>
      </c>
      <c r="I5" s="12">
        <f t="shared" si="0"/>
        <v>6.9639637870378775E-9</v>
      </c>
      <c r="J5" s="12">
        <f t="shared" si="0"/>
        <v>7.5613693402931068E-9</v>
      </c>
      <c r="K5" s="12">
        <f t="shared" si="0"/>
        <v>6.6304133623043429E-9</v>
      </c>
      <c r="L5" s="12">
        <f t="shared" si="0"/>
        <v>5.6997665348975165E-9</v>
      </c>
      <c r="M5" s="12">
        <f t="shared" si="0"/>
        <v>5.1703486800017486E-9</v>
      </c>
      <c r="N5" s="12">
        <f t="shared" si="0"/>
        <v>5.6283289588988783E-9</v>
      </c>
      <c r="O5" s="12">
        <f t="shared" si="0"/>
        <v>5.4341202374154333E-9</v>
      </c>
      <c r="P5" s="12">
        <f t="shared" si="0"/>
        <v>8.7921754101348054E-9</v>
      </c>
      <c r="Q5" s="12">
        <f t="shared" si="0"/>
        <v>8.7815128140289442E-9</v>
      </c>
      <c r="R5" s="12">
        <f t="shared" si="0"/>
        <v>9.1462405831159701E-9</v>
      </c>
      <c r="S5" s="12">
        <f t="shared" si="0"/>
        <v>8.1698905394148083E-9</v>
      </c>
      <c r="T5" s="12">
        <f t="shared" si="0"/>
        <v>7.4770812741166211E-9</v>
      </c>
      <c r="U5" s="12">
        <f t="shared" si="0"/>
        <v>6.2995999623032628E-9</v>
      </c>
      <c r="V5" s="12">
        <f t="shared" si="0"/>
        <v>7.3923680143462929E-9</v>
      </c>
      <c r="W5" s="12">
        <f t="shared" si="0"/>
        <v>8.5534820232663741E-9</v>
      </c>
    </row>
    <row r="6" spans="1:23" s="50" customFormat="1" x14ac:dyDescent="0.25">
      <c r="A6" s="50" t="s">
        <v>8704</v>
      </c>
      <c r="B6" s="52"/>
    </row>
    <row r="7" spans="1:23" x14ac:dyDescent="0.25">
      <c r="A7" s="47" t="s">
        <v>8705</v>
      </c>
      <c r="B7" s="49">
        <f>((B5/'Sheet 3'!B5)/$B$23)/1000</f>
        <v>10.469641257282191</v>
      </c>
      <c r="C7" s="49">
        <f>((C5/'Sheet 3'!C5)/$B$23)/1000</f>
        <v>12.055353685316573</v>
      </c>
      <c r="D7" s="49">
        <f>((D5/'Sheet 3'!D5)/$B$23)/1000</f>
        <v>11.414451182932575</v>
      </c>
      <c r="E7" s="49">
        <f>((E5/'Sheet 3'!E5)/$B$23)/1000</f>
        <v>10.292783129495547</v>
      </c>
      <c r="F7" s="49">
        <f>((F5/'Sheet 3'!F5)/$B$23)/1000</f>
        <v>10.700206965250016</v>
      </c>
      <c r="G7" s="49">
        <f>((G5/'Sheet 3'!G5)/$B$23)/1000</f>
        <v>11.072617166394583</v>
      </c>
      <c r="H7" s="49">
        <f>((H5/'Sheet 3'!H5)/$B$23)/1000</f>
        <v>10.91114076046326</v>
      </c>
      <c r="I7" s="49">
        <f>((I5/'Sheet 3'!I5)/$B$23)/1000</f>
        <v>10.383355147992084</v>
      </c>
      <c r="J7" s="49">
        <f>((J5/'Sheet 3'!J5)/$B$23)/1000</f>
        <v>10.464704198386356</v>
      </c>
      <c r="K7" s="49">
        <f>((K5/'Sheet 3'!K5)/$B$23)/1000</f>
        <v>10.300765931812093</v>
      </c>
      <c r="L7" s="49">
        <f>((L5/'Sheet 3'!L5)/$B$23)/1000</f>
        <v>10.207254534372675</v>
      </c>
      <c r="M7" s="49">
        <f>((M5/'Sheet 3'!M5)/$B$23)/1000</f>
        <v>10.131883526710009</v>
      </c>
      <c r="N7" s="49">
        <f>((N5/'Sheet 3'!N5)/$B$23)/1000</f>
        <v>13.14227159529397</v>
      </c>
      <c r="O7" s="49">
        <f>((O5/'Sheet 3'!O5)/$B$23)/1000</f>
        <v>12.688789970010721</v>
      </c>
      <c r="P7" s="49">
        <f>((P5/'Sheet 3'!P5)/$B$23)/1000</f>
        <v>11.763216021112621</v>
      </c>
      <c r="Q7" s="49">
        <f>((Q5/'Sheet 3'!Q5)/$B$23)/1000</f>
        <v>10.98182076346599</v>
      </c>
      <c r="R7" s="49">
        <f>((R5/'Sheet 3'!R5)/$B$23)/1000</f>
        <v>11.640247642629191</v>
      </c>
      <c r="S7" s="49">
        <f>((S5/'Sheet 3'!S5)/$B$23)/1000</f>
        <v>10.930649446916256</v>
      </c>
      <c r="T7" s="49">
        <f>((T5/'Sheet 3'!T5)/$B$23)/1000</f>
        <v>10.571364057319453</v>
      </c>
      <c r="U7" s="49">
        <f>((U5/'Sheet 3'!U5)/$B$23)/1000</f>
        <v>10.618208111251715</v>
      </c>
      <c r="V7" s="49">
        <f>((V5/'Sheet 3'!V5)/$B$23)/1000</f>
        <v>10.686067779165905</v>
      </c>
      <c r="W7" s="49">
        <f>((W5/'Sheet 3'!W5)/$B$23)/1000</f>
        <v>10.758601217584374</v>
      </c>
    </row>
    <row r="8" spans="1:23" x14ac:dyDescent="0.25">
      <c r="A8" s="47" t="s">
        <v>8706</v>
      </c>
      <c r="B8" s="49"/>
    </row>
    <row r="9" spans="1:23" s="12" customFormat="1" x14ac:dyDescent="0.25">
      <c r="A9" s="12" t="s">
        <v>8707</v>
      </c>
      <c r="B9" s="51"/>
    </row>
    <row r="10" spans="1:23" x14ac:dyDescent="0.25">
      <c r="B10" s="49"/>
    </row>
    <row r="11" spans="1:23" x14ac:dyDescent="0.25">
      <c r="B11" s="49"/>
    </row>
    <row r="12" spans="1:23" s="12" customFormat="1" x14ac:dyDescent="0.25">
      <c r="A12" s="12" t="s">
        <v>8708</v>
      </c>
      <c r="B12" s="53">
        <v>243.19403382045422</v>
      </c>
      <c r="C12" s="54">
        <v>366.96598780959016</v>
      </c>
      <c r="D12" s="54">
        <v>326.55114718729612</v>
      </c>
      <c r="E12" s="54">
        <v>196.36217037528704</v>
      </c>
      <c r="F12" s="54">
        <v>217.28882235494973</v>
      </c>
      <c r="G12" s="54">
        <v>225.428546878644</v>
      </c>
      <c r="H12" s="54">
        <v>225.4955934226353</v>
      </c>
      <c r="I12" s="54">
        <v>213.86996606230394</v>
      </c>
      <c r="J12" s="54">
        <v>230.38334443655319</v>
      </c>
      <c r="K12" s="54">
        <v>205.39620298386475</v>
      </c>
      <c r="L12" s="54">
        <v>178.18860028912843</v>
      </c>
      <c r="M12" s="54">
        <v>162.79103002853267</v>
      </c>
      <c r="N12" s="54">
        <v>139.60221306637973</v>
      </c>
      <c r="O12" s="54">
        <v>138.86695753886727</v>
      </c>
      <c r="P12" s="54">
        <v>238.29921908959747</v>
      </c>
      <c r="Q12" s="54">
        <v>255.07198066208829</v>
      </c>
      <c r="R12" s="54">
        <v>250.57583194055314</v>
      </c>
      <c r="S12" s="54">
        <v>237.72468887865969</v>
      </c>
      <c r="T12" s="54">
        <v>224.95988858022901</v>
      </c>
      <c r="U12" s="54">
        <v>189.0323703750523</v>
      </c>
      <c r="V12" s="54">
        <v>220.53729546963561</v>
      </c>
      <c r="W12" s="54">
        <v>252.86641598990863</v>
      </c>
    </row>
    <row r="13" spans="1:23" x14ac:dyDescent="0.25">
      <c r="A13" s="47" t="s">
        <v>8709</v>
      </c>
      <c r="B13" s="49"/>
    </row>
    <row r="14" spans="1:23" s="12" customFormat="1" x14ac:dyDescent="0.25">
      <c r="A14" s="12" t="s">
        <v>8710</v>
      </c>
      <c r="B14" s="53">
        <f>(B12)/'Sheet 3'!B4</f>
        <v>81.151699612702757</v>
      </c>
      <c r="C14" s="53">
        <f>(C12)/'Sheet 3'!C4</f>
        <v>85.539857298272764</v>
      </c>
      <c r="D14" s="53">
        <f>(D12)/'Sheet 3'!D4</f>
        <v>85.353591382466163</v>
      </c>
      <c r="E14" s="53">
        <f>(E12)/'Sheet 3'!E4</f>
        <v>85.549675587194272</v>
      </c>
      <c r="F14" s="53">
        <f>(F12)/'Sheet 3'!F4</f>
        <v>85.590316946631802</v>
      </c>
      <c r="G14" s="53">
        <f>(G12)/'Sheet 3'!G4</f>
        <v>86.158105280985083</v>
      </c>
      <c r="H14" s="53">
        <f>(H12)/'Sheet 3'!H4</f>
        <v>85.556846871739737</v>
      </c>
      <c r="I14" s="53">
        <f>(I12)/'Sheet 3'!I4</f>
        <v>85.575370543495495</v>
      </c>
      <c r="J14" s="53">
        <f>(J12)/'Sheet 3'!J4</f>
        <v>85.564844730381878</v>
      </c>
      <c r="K14" s="53">
        <f>(K12)/'Sheet 3'!K4</f>
        <v>85.632595596912637</v>
      </c>
      <c r="L14" s="53">
        <f>(L12)/'Sheet 3'!L4</f>
        <v>85.634659885202055</v>
      </c>
      <c r="M14" s="53">
        <f>(M12)/'Sheet 3'!M4</f>
        <v>85.608839667333839</v>
      </c>
      <c r="N14" s="53">
        <f>(N12)/'Sheet 3'!N4</f>
        <v>87.478444403742799</v>
      </c>
      <c r="O14" s="53">
        <f>(O12)/'Sheet 3'!O4</f>
        <v>87.017713815213654</v>
      </c>
      <c r="P14" s="53">
        <f>(P12)/'Sheet 3'!P4</f>
        <v>85.559872930640793</v>
      </c>
      <c r="Q14" s="53">
        <f>(Q12)/'Sheet 3'!Q4</f>
        <v>85.602322847185008</v>
      </c>
      <c r="R14" s="53">
        <f>(R12)/'Sheet 3'!R4</f>
        <v>85.580843595846332</v>
      </c>
      <c r="S14" s="53">
        <f>(S12)/'Sheet 3'!S4</f>
        <v>85.353591382465979</v>
      </c>
      <c r="T14" s="53">
        <f>(T12)/'Sheet 3'!T4</f>
        <v>85.353591382465936</v>
      </c>
      <c r="U14" s="53">
        <f>(U12)/'Sheet 3'!U4</f>
        <v>85.505140455484451</v>
      </c>
      <c r="V14" s="53">
        <f>(V12)/'Sheet 3'!V4</f>
        <v>85.552789158177077</v>
      </c>
      <c r="W14" s="53">
        <f>(W12)/'Sheet 3'!W4</f>
        <v>85.353591382465794</v>
      </c>
    </row>
    <row r="15" spans="1:23" x14ac:dyDescent="0.25">
      <c r="A15" s="47" t="s">
        <v>8711</v>
      </c>
      <c r="B15" s="49"/>
    </row>
    <row r="16" spans="1:23" s="12" customFormat="1" x14ac:dyDescent="0.25">
      <c r="A16" s="12" t="s">
        <v>8710</v>
      </c>
      <c r="B16" s="55">
        <f>B14/$B$23</f>
        <v>0.30239864216985674</v>
      </c>
      <c r="C16" s="55">
        <f t="shared" ref="C16:W16" si="1">C14/$B$23</f>
        <v>0.31875039982960485</v>
      </c>
      <c r="D16" s="55">
        <f t="shared" si="1"/>
        <v>0.31805631011501773</v>
      </c>
      <c r="E16" s="55">
        <f t="shared" si="1"/>
        <v>0.31878698609030509</v>
      </c>
      <c r="F16" s="55">
        <f t="shared" si="1"/>
        <v>0.31893842952240198</v>
      </c>
      <c r="G16" s="55">
        <f t="shared" si="1"/>
        <v>0.32105420062969547</v>
      </c>
      <c r="H16" s="55">
        <f t="shared" si="1"/>
        <v>0.31881370871866049</v>
      </c>
      <c r="I16" s="55">
        <f t="shared" si="1"/>
        <v>0.31888273417608992</v>
      </c>
      <c r="J16" s="55">
        <f t="shared" si="1"/>
        <v>0.31884351144127993</v>
      </c>
      <c r="K16" s="55">
        <f t="shared" si="1"/>
        <v>0.31909597405318463</v>
      </c>
      <c r="L16" s="55">
        <f t="shared" si="1"/>
        <v>0.31910366628857523</v>
      </c>
      <c r="M16" s="55">
        <f t="shared" si="1"/>
        <v>0.31900745143588399</v>
      </c>
      <c r="N16" s="55">
        <f t="shared" si="1"/>
        <v>0.32597423015256666</v>
      </c>
      <c r="O16" s="55">
        <f t="shared" si="1"/>
        <v>0.32425739236553008</v>
      </c>
      <c r="P16" s="55">
        <f t="shared" si="1"/>
        <v>0.31882498483619315</v>
      </c>
      <c r="Q16" s="55">
        <f t="shared" si="1"/>
        <v>0.31898316756291922</v>
      </c>
      <c r="R16" s="55">
        <f t="shared" si="1"/>
        <v>0.31890312861770131</v>
      </c>
      <c r="S16" s="55">
        <f t="shared" si="1"/>
        <v>0.31805631011501706</v>
      </c>
      <c r="T16" s="55">
        <f t="shared" si="1"/>
        <v>0.31805631011501689</v>
      </c>
      <c r="U16" s="55">
        <f t="shared" si="1"/>
        <v>0.31862103314757956</v>
      </c>
      <c r="V16" s="55">
        <f t="shared" si="1"/>
        <v>0.31879858830741198</v>
      </c>
      <c r="W16" s="55">
        <f t="shared" si="1"/>
        <v>0.31805631011501634</v>
      </c>
    </row>
    <row r="17" spans="1:2" s="50" customFormat="1" x14ac:dyDescent="0.25">
      <c r="A17" s="50" t="s">
        <v>8712</v>
      </c>
      <c r="B17" s="52"/>
    </row>
    <row r="18" spans="1:2" x14ac:dyDescent="0.25">
      <c r="A18" s="47" t="s">
        <v>8713</v>
      </c>
      <c r="B18" s="56">
        <f>AVERAGE(B16:W16)</f>
        <v>0.31864833953661398</v>
      </c>
    </row>
    <row r="19" spans="1:2" x14ac:dyDescent="0.25">
      <c r="A19" s="47" t="s">
        <v>8714</v>
      </c>
      <c r="B19" s="47">
        <f>_xlfn.STDEV.S(B16:W16)</f>
        <v>4.1252726161544861E-3</v>
      </c>
    </row>
    <row r="22" spans="1:2" x14ac:dyDescent="0.25">
      <c r="A22" s="47" t="s">
        <v>8715</v>
      </c>
    </row>
    <row r="23" spans="1:2" x14ac:dyDescent="0.25">
      <c r="A23" s="47" t="s">
        <v>8716</v>
      </c>
      <c r="B23" s="47">
        <v>268.36</v>
      </c>
    </row>
  </sheetData>
  <mergeCells count="1">
    <mergeCell ref="B1:W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"/>
  <sheetViews>
    <sheetView workbookViewId="0">
      <selection activeCell="B20" sqref="B20"/>
    </sheetView>
  </sheetViews>
  <sheetFormatPr defaultColWidth="11.42578125" defaultRowHeight="15" x14ac:dyDescent="0.25"/>
  <cols>
    <col min="1" max="1" width="31.7109375" style="47" customWidth="1"/>
    <col min="2" max="16384" width="11.42578125" style="47"/>
  </cols>
  <sheetData>
    <row r="1" spans="1:23" x14ac:dyDescent="0.25">
      <c r="B1" s="69" t="s">
        <v>8717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</row>
    <row r="2" spans="1:23" x14ac:dyDescent="0.25">
      <c r="B2" s="57" t="s">
        <v>8679</v>
      </c>
      <c r="C2" s="57" t="s">
        <v>8680</v>
      </c>
      <c r="D2" s="57" t="s">
        <v>8681</v>
      </c>
      <c r="E2" s="57" t="s">
        <v>8682</v>
      </c>
      <c r="F2" s="57" t="s">
        <v>8683</v>
      </c>
      <c r="G2" s="57" t="s">
        <v>8684</v>
      </c>
      <c r="H2" s="57" t="s">
        <v>8685</v>
      </c>
      <c r="I2" s="57" t="s">
        <v>8686</v>
      </c>
      <c r="J2" s="57" t="s">
        <v>8687</v>
      </c>
      <c r="K2" s="57" t="s">
        <v>8688</v>
      </c>
      <c r="L2" s="57" t="s">
        <v>8689</v>
      </c>
      <c r="M2" s="57" t="s">
        <v>8690</v>
      </c>
      <c r="N2" s="57" t="s">
        <v>8691</v>
      </c>
      <c r="O2" s="57" t="s">
        <v>8692</v>
      </c>
      <c r="P2" s="57" t="s">
        <v>8693</v>
      </c>
      <c r="Q2" s="57" t="s">
        <v>8694</v>
      </c>
      <c r="R2" s="57" t="s">
        <v>8695</v>
      </c>
      <c r="S2" s="57" t="s">
        <v>8696</v>
      </c>
      <c r="T2" s="57" t="s">
        <v>8697</v>
      </c>
      <c r="U2" s="57" t="s">
        <v>8698</v>
      </c>
      <c r="V2" s="57" t="s">
        <v>8699</v>
      </c>
      <c r="W2" s="57" t="s">
        <v>8700</v>
      </c>
    </row>
    <row r="3" spans="1:23" x14ac:dyDescent="0.25">
      <c r="A3" s="47" t="s">
        <v>8718</v>
      </c>
      <c r="B3" s="64">
        <v>0.67</v>
      </c>
      <c r="C3" s="64">
        <v>1.78</v>
      </c>
      <c r="D3" s="64">
        <v>1.27</v>
      </c>
      <c r="E3" s="64">
        <v>0.3</v>
      </c>
      <c r="F3" s="64">
        <v>0.42</v>
      </c>
      <c r="G3" s="64">
        <v>0.46</v>
      </c>
      <c r="H3" s="64">
        <v>0.47</v>
      </c>
      <c r="I3" s="64">
        <v>0.4</v>
      </c>
      <c r="J3" s="64">
        <v>0.5</v>
      </c>
      <c r="K3" s="64">
        <v>0.35</v>
      </c>
      <c r="L3" s="64">
        <v>0.2</v>
      </c>
      <c r="M3" s="64">
        <v>0.12</v>
      </c>
      <c r="N3" s="64">
        <v>0</v>
      </c>
      <c r="O3" s="64">
        <v>0</v>
      </c>
      <c r="P3" s="64">
        <v>0.55000000000000004</v>
      </c>
      <c r="Q3" s="64">
        <v>0.66</v>
      </c>
      <c r="R3" s="64">
        <v>0.63</v>
      </c>
      <c r="S3" s="64">
        <v>0.55000000000000004</v>
      </c>
      <c r="T3" s="64">
        <v>0.47</v>
      </c>
      <c r="U3" s="64">
        <v>0.26</v>
      </c>
      <c r="V3" s="64">
        <v>0.44</v>
      </c>
      <c r="W3" s="64">
        <v>0.65</v>
      </c>
    </row>
    <row r="4" spans="1:23" x14ac:dyDescent="0.25">
      <c r="A4" s="47" t="s">
        <v>8719</v>
      </c>
      <c r="B4" s="47">
        <v>2.9967830000000002</v>
      </c>
      <c r="C4" s="47">
        <v>4.29</v>
      </c>
      <c r="D4" s="47">
        <v>3.825863</v>
      </c>
      <c r="E4" s="5">
        <v>2.2953000000000001</v>
      </c>
      <c r="F4" s="5">
        <v>2.5387080000000002</v>
      </c>
      <c r="G4" s="47">
        <v>2.6164520000000002</v>
      </c>
      <c r="H4" s="47">
        <v>2.6356229999999998</v>
      </c>
      <c r="I4" s="47">
        <v>2.4992000000000001</v>
      </c>
      <c r="J4" s="47">
        <v>2.6924999999999999</v>
      </c>
      <c r="K4" s="47">
        <v>2.3985750000000001</v>
      </c>
      <c r="L4" s="47">
        <v>2.0808</v>
      </c>
      <c r="M4" s="47">
        <v>1.9015680000000001</v>
      </c>
      <c r="N4" s="47">
        <v>1.595847</v>
      </c>
      <c r="O4" s="47">
        <v>1.595847</v>
      </c>
      <c r="P4" s="47">
        <v>2.7851750000000002</v>
      </c>
      <c r="Q4" s="47">
        <v>2.9797320000000003</v>
      </c>
      <c r="R4" s="47">
        <v>2.9279430000000004</v>
      </c>
      <c r="S4" s="47">
        <v>2.7851750000000002</v>
      </c>
      <c r="T4" s="47">
        <v>2.6356229999999998</v>
      </c>
      <c r="U4" s="47">
        <v>2.2107720000000004</v>
      </c>
      <c r="V4" s="47">
        <v>2.5777920000000001</v>
      </c>
      <c r="W4" s="47">
        <v>2.9625750000000002</v>
      </c>
    </row>
    <row r="5" spans="1:23" x14ac:dyDescent="0.25">
      <c r="A5" s="47" t="s">
        <v>8720</v>
      </c>
      <c r="B5" s="47">
        <f>B4/(10^15)</f>
        <v>2.996783E-15</v>
      </c>
      <c r="C5" s="47">
        <f t="shared" ref="C5:W5" si="0">C4/(10^15)</f>
        <v>4.2899999999999999E-15</v>
      </c>
      <c r="D5" s="47">
        <f t="shared" si="0"/>
        <v>3.8258629999999997E-15</v>
      </c>
      <c r="E5" s="47">
        <f t="shared" si="0"/>
        <v>2.2953E-15</v>
      </c>
      <c r="F5" s="47">
        <f t="shared" si="0"/>
        <v>2.5387080000000002E-15</v>
      </c>
      <c r="G5" s="47">
        <f t="shared" si="0"/>
        <v>2.6164520000000002E-15</v>
      </c>
      <c r="H5" s="47">
        <f t="shared" si="0"/>
        <v>2.6356229999999999E-15</v>
      </c>
      <c r="I5" s="47">
        <f t="shared" si="0"/>
        <v>2.4992000000000001E-15</v>
      </c>
      <c r="J5" s="47">
        <f t="shared" si="0"/>
        <v>2.6924999999999999E-15</v>
      </c>
      <c r="K5" s="47">
        <f t="shared" si="0"/>
        <v>2.3985750000000001E-15</v>
      </c>
      <c r="L5" s="47">
        <f t="shared" si="0"/>
        <v>2.0807999999999998E-15</v>
      </c>
      <c r="M5" s="47">
        <f t="shared" si="0"/>
        <v>1.9015680000000002E-15</v>
      </c>
      <c r="N5" s="47">
        <f t="shared" si="0"/>
        <v>1.595847E-15</v>
      </c>
      <c r="O5" s="47">
        <f t="shared" si="0"/>
        <v>1.595847E-15</v>
      </c>
      <c r="P5" s="47">
        <f t="shared" si="0"/>
        <v>2.7851750000000001E-15</v>
      </c>
      <c r="Q5" s="47">
        <f t="shared" si="0"/>
        <v>2.9797320000000004E-15</v>
      </c>
      <c r="R5" s="47">
        <f t="shared" si="0"/>
        <v>2.9279430000000003E-15</v>
      </c>
      <c r="S5" s="47">
        <f t="shared" si="0"/>
        <v>2.7851750000000001E-15</v>
      </c>
      <c r="T5" s="47">
        <f t="shared" si="0"/>
        <v>2.6356229999999999E-15</v>
      </c>
      <c r="U5" s="47">
        <f t="shared" si="0"/>
        <v>2.2107720000000003E-15</v>
      </c>
      <c r="V5" s="47">
        <f t="shared" si="0"/>
        <v>2.5777920000000001E-15</v>
      </c>
      <c r="W5" s="47">
        <f t="shared" si="0"/>
        <v>2.9625750000000002E-15</v>
      </c>
    </row>
  </sheetData>
  <mergeCells count="1">
    <mergeCell ref="B1:W1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opLeftCell="A3" workbookViewId="0"/>
  </sheetViews>
  <sheetFormatPr defaultColWidth="11.42578125" defaultRowHeight="15" x14ac:dyDescent="0.25"/>
  <cols>
    <col min="2" max="2" width="11.7109375" bestFit="1" customWidth="1"/>
    <col min="3" max="3" width="18.85546875" bestFit="1" customWidth="1"/>
    <col min="4" max="4" width="13.140625" bestFit="1" customWidth="1"/>
    <col min="5" max="5" width="12.7109375" bestFit="1" customWidth="1"/>
    <col min="6" max="6" width="20.7109375" bestFit="1" customWidth="1"/>
    <col min="7" max="7" width="10.7109375" bestFit="1" customWidth="1"/>
    <col min="8" max="8" width="18.85546875" bestFit="1" customWidth="1"/>
    <col min="9" max="9" width="14" bestFit="1" customWidth="1"/>
    <col min="10" max="10" width="54.85546875" bestFit="1" customWidth="1"/>
  </cols>
  <sheetData>
    <row r="1" spans="1:10" x14ac:dyDescent="0.25">
      <c r="A1" s="1" t="s">
        <v>8721</v>
      </c>
      <c r="B1" s="47"/>
      <c r="C1" s="47"/>
      <c r="D1" s="47"/>
      <c r="E1" s="47"/>
      <c r="F1" s="47"/>
      <c r="G1" s="47"/>
      <c r="H1" s="47"/>
      <c r="I1" s="47"/>
      <c r="J1" s="47"/>
    </row>
    <row r="4" spans="1:10" x14ac:dyDescent="0.25">
      <c r="A4" s="47"/>
      <c r="B4" s="65" t="s">
        <v>8722</v>
      </c>
      <c r="C4" s="65" t="s">
        <v>8723</v>
      </c>
      <c r="D4" s="65" t="s">
        <v>8724</v>
      </c>
      <c r="E4" s="65" t="s">
        <v>8725</v>
      </c>
      <c r="F4" s="65" t="s">
        <v>8726</v>
      </c>
      <c r="G4" s="65" t="s">
        <v>8727</v>
      </c>
      <c r="H4" s="65" t="s">
        <v>8728</v>
      </c>
      <c r="I4" s="65" t="s">
        <v>8729</v>
      </c>
      <c r="J4" s="72" t="s">
        <v>8730</v>
      </c>
    </row>
    <row r="5" spans="1:10" x14ac:dyDescent="0.25">
      <c r="A5" s="47"/>
      <c r="B5" s="9" t="s">
        <v>8731</v>
      </c>
      <c r="C5" s="9" t="s">
        <v>8732</v>
      </c>
      <c r="D5" s="9" t="s">
        <v>8733</v>
      </c>
      <c r="E5" s="9" t="s">
        <v>8734</v>
      </c>
      <c r="F5" s="9" t="s">
        <v>8732</v>
      </c>
      <c r="G5" s="9" t="s">
        <v>8735</v>
      </c>
      <c r="H5" s="9" t="s">
        <v>8732</v>
      </c>
      <c r="I5" s="9" t="s">
        <v>8732</v>
      </c>
      <c r="J5" s="73"/>
    </row>
    <row r="6" spans="1:10" x14ac:dyDescent="0.25">
      <c r="A6" s="47"/>
      <c r="B6" s="13">
        <v>0.24</v>
      </c>
      <c r="C6" s="13">
        <f t="shared" ref="C6:C13" si="0">(B6/D6)/0.1802</f>
        <v>3.0269397638986981</v>
      </c>
      <c r="D6" s="13">
        <v>0.44</v>
      </c>
      <c r="E6" s="13">
        <v>0</v>
      </c>
      <c r="F6" s="13">
        <f t="shared" ref="F6:F13" si="1">E6*B6</f>
        <v>0</v>
      </c>
      <c r="G6" s="13">
        <v>27.56</v>
      </c>
      <c r="H6" s="13">
        <f t="shared" ref="H6:H11" si="2">G6*B6</f>
        <v>6.6143999999999998</v>
      </c>
      <c r="I6" s="13"/>
      <c r="J6" s="74" t="s">
        <v>8736</v>
      </c>
    </row>
    <row r="7" spans="1:10" x14ac:dyDescent="0.25">
      <c r="A7" s="47"/>
      <c r="B7" s="14">
        <v>0.24</v>
      </c>
      <c r="C7" s="14">
        <f t="shared" si="0"/>
        <v>3.3296337402885681</v>
      </c>
      <c r="D7" s="14">
        <v>0.4</v>
      </c>
      <c r="E7" s="14">
        <v>0</v>
      </c>
      <c r="F7" s="14">
        <f t="shared" si="1"/>
        <v>0</v>
      </c>
      <c r="G7" s="14">
        <v>30.12</v>
      </c>
      <c r="H7" s="14">
        <f t="shared" si="2"/>
        <v>7.2287999999999997</v>
      </c>
      <c r="I7" s="14"/>
      <c r="J7" s="75"/>
    </row>
    <row r="8" spans="1:10" x14ac:dyDescent="0.25">
      <c r="A8" s="47"/>
      <c r="B8" s="14">
        <v>0.3</v>
      </c>
      <c r="C8" s="14">
        <f t="shared" si="0"/>
        <v>3.6191671090093127</v>
      </c>
      <c r="D8" s="14">
        <v>0.46</v>
      </c>
      <c r="E8" s="14">
        <v>0.53</v>
      </c>
      <c r="F8" s="14">
        <f t="shared" si="1"/>
        <v>0.159</v>
      </c>
      <c r="G8" s="14">
        <v>27.55</v>
      </c>
      <c r="H8" s="14">
        <f t="shared" si="2"/>
        <v>8.2650000000000006</v>
      </c>
      <c r="I8" s="14"/>
      <c r="J8" s="75"/>
    </row>
    <row r="9" spans="1:10" x14ac:dyDescent="0.25">
      <c r="A9" s="47"/>
      <c r="B9" s="14">
        <v>0.3</v>
      </c>
      <c r="C9" s="14">
        <f t="shared" si="0"/>
        <v>4.0605289515714249</v>
      </c>
      <c r="D9" s="14">
        <v>0.41</v>
      </c>
      <c r="E9" s="14">
        <v>0.9</v>
      </c>
      <c r="F9" s="14">
        <f t="shared" si="1"/>
        <v>0.27</v>
      </c>
      <c r="G9" s="14">
        <v>27.19</v>
      </c>
      <c r="H9" s="14">
        <f t="shared" si="2"/>
        <v>8.157</v>
      </c>
      <c r="I9" s="14"/>
      <c r="J9" s="75"/>
    </row>
    <row r="10" spans="1:10" x14ac:dyDescent="0.25">
      <c r="A10" s="47"/>
      <c r="B10" s="14">
        <v>0.4</v>
      </c>
      <c r="C10" s="14">
        <f t="shared" si="0"/>
        <v>5.0448996064978315</v>
      </c>
      <c r="D10" s="14">
        <v>0.44</v>
      </c>
      <c r="E10" s="14">
        <v>1.7</v>
      </c>
      <c r="F10" s="14">
        <f t="shared" si="1"/>
        <v>0.68</v>
      </c>
      <c r="G10" s="14">
        <v>26.24</v>
      </c>
      <c r="H10" s="14">
        <f t="shared" si="2"/>
        <v>10.496</v>
      </c>
      <c r="I10" s="14"/>
      <c r="J10" s="75"/>
    </row>
    <row r="11" spans="1:10" x14ac:dyDescent="0.25">
      <c r="A11" s="47"/>
      <c r="B11" s="14">
        <v>0.4</v>
      </c>
      <c r="C11" s="14">
        <f t="shared" si="0"/>
        <v>5.2851329210929654</v>
      </c>
      <c r="D11" s="14">
        <v>0.42</v>
      </c>
      <c r="E11" s="14">
        <v>1.56</v>
      </c>
      <c r="F11" s="14">
        <f t="shared" si="1"/>
        <v>0.62400000000000011</v>
      </c>
      <c r="G11" s="14">
        <v>23.86</v>
      </c>
      <c r="H11" s="14">
        <f t="shared" si="2"/>
        <v>9.5440000000000005</v>
      </c>
      <c r="I11" s="14"/>
      <c r="J11" s="75"/>
    </row>
    <row r="12" spans="1:10" x14ac:dyDescent="0.25">
      <c r="A12" s="47"/>
      <c r="B12" s="14">
        <v>0.51</v>
      </c>
      <c r="C12" s="14">
        <f t="shared" si="0"/>
        <v>6.5818341377797287</v>
      </c>
      <c r="D12" s="14">
        <v>0.43</v>
      </c>
      <c r="E12" s="14">
        <v>3.25</v>
      </c>
      <c r="F12" s="14">
        <f t="shared" si="1"/>
        <v>1.6575</v>
      </c>
      <c r="G12" s="14"/>
      <c r="H12" s="14"/>
      <c r="I12" s="14"/>
      <c r="J12" s="75"/>
    </row>
    <row r="13" spans="1:10" x14ac:dyDescent="0.25">
      <c r="A13" s="47"/>
      <c r="B13" s="15">
        <v>0.51</v>
      </c>
      <c r="C13" s="15">
        <f t="shared" si="0"/>
        <v>6.9028992176714219</v>
      </c>
      <c r="D13" s="15">
        <v>0.41</v>
      </c>
      <c r="E13" s="15">
        <v>3.35</v>
      </c>
      <c r="F13" s="15">
        <f t="shared" si="1"/>
        <v>1.7085000000000001</v>
      </c>
      <c r="G13" s="15">
        <v>21.19</v>
      </c>
      <c r="H13" s="15">
        <f>G13*B13</f>
        <v>10.806900000000001</v>
      </c>
      <c r="I13" s="15"/>
      <c r="J13" s="76"/>
    </row>
    <row r="14" spans="1:10" x14ac:dyDescent="0.25">
      <c r="A14" s="47"/>
      <c r="B14" s="16">
        <v>0.65</v>
      </c>
      <c r="C14" s="16">
        <v>7.6</v>
      </c>
      <c r="D14" s="16">
        <v>0.48</v>
      </c>
      <c r="E14" s="16"/>
      <c r="F14" s="16">
        <v>4.8</v>
      </c>
      <c r="G14" s="16"/>
      <c r="H14" s="17"/>
      <c r="I14" s="17"/>
      <c r="J14" s="11" t="s">
        <v>8737</v>
      </c>
    </row>
    <row r="15" spans="1:10" x14ac:dyDescent="0.25">
      <c r="A15" s="47"/>
      <c r="B15" s="13">
        <v>0.04</v>
      </c>
      <c r="C15" s="13">
        <v>0.9</v>
      </c>
      <c r="D15" s="13">
        <f>B15/(C15*0.1802)</f>
        <v>0.24663953631767174</v>
      </c>
      <c r="E15" s="13">
        <v>0</v>
      </c>
      <c r="F15" s="13">
        <v>0</v>
      </c>
      <c r="G15" s="18"/>
      <c r="H15" s="18"/>
      <c r="I15" s="18"/>
      <c r="J15" s="74" t="s">
        <v>8738</v>
      </c>
    </row>
    <row r="16" spans="1:10" x14ac:dyDescent="0.25">
      <c r="A16" s="47"/>
      <c r="B16" s="14">
        <v>0.05</v>
      </c>
      <c r="C16" s="14">
        <v>1.2</v>
      </c>
      <c r="D16" s="14">
        <f t="shared" ref="D16:D25" si="3">B16/(C16*0.1802)</f>
        <v>0.23122456529781726</v>
      </c>
      <c r="E16" s="14">
        <v>0</v>
      </c>
      <c r="F16" s="14">
        <v>0</v>
      </c>
      <c r="G16" s="19"/>
      <c r="H16" s="19"/>
      <c r="I16" s="19"/>
      <c r="J16" s="75"/>
    </row>
    <row r="17" spans="2:10" x14ac:dyDescent="0.25">
      <c r="B17" s="14">
        <v>0.06</v>
      </c>
      <c r="C17" s="14">
        <v>1.1000000000000001</v>
      </c>
      <c r="D17" s="14">
        <f t="shared" si="3"/>
        <v>0.30269397638986983</v>
      </c>
      <c r="E17" s="14">
        <v>0</v>
      </c>
      <c r="F17" s="14">
        <v>0</v>
      </c>
      <c r="G17" s="19"/>
      <c r="H17" s="19"/>
      <c r="I17" s="19"/>
      <c r="J17" s="75"/>
    </row>
    <row r="18" spans="2:10" x14ac:dyDescent="0.25">
      <c r="B18" s="14">
        <v>0.09</v>
      </c>
      <c r="C18" s="14">
        <v>1.7</v>
      </c>
      <c r="D18" s="14">
        <f t="shared" si="3"/>
        <v>0.29379121237840305</v>
      </c>
      <c r="E18" s="14">
        <v>0</v>
      </c>
      <c r="F18" s="14">
        <v>0</v>
      </c>
      <c r="G18" s="19"/>
      <c r="H18" s="19"/>
      <c r="I18" s="19"/>
      <c r="J18" s="75"/>
    </row>
    <row r="19" spans="2:10" x14ac:dyDescent="0.25">
      <c r="B19" s="14">
        <v>0.09</v>
      </c>
      <c r="C19" s="14">
        <v>1.8</v>
      </c>
      <c r="D19" s="14">
        <f t="shared" si="3"/>
        <v>0.27746947835738067</v>
      </c>
      <c r="E19" s="14">
        <v>0</v>
      </c>
      <c r="F19" s="14">
        <v>0</v>
      </c>
      <c r="G19" s="19"/>
      <c r="H19" s="19"/>
      <c r="I19" s="19"/>
      <c r="J19" s="75"/>
    </row>
    <row r="20" spans="2:10" x14ac:dyDescent="0.25">
      <c r="B20" s="14">
        <v>0.11</v>
      </c>
      <c r="C20" s="14">
        <v>2</v>
      </c>
      <c r="D20" s="14">
        <f t="shared" si="3"/>
        <v>0.30521642619311878</v>
      </c>
      <c r="E20" s="14">
        <v>0</v>
      </c>
      <c r="F20" s="14">
        <v>0</v>
      </c>
      <c r="G20" s="19"/>
      <c r="H20" s="19"/>
      <c r="I20" s="19"/>
      <c r="J20" s="75"/>
    </row>
    <row r="21" spans="2:10" x14ac:dyDescent="0.25">
      <c r="B21" s="14">
        <v>0.19</v>
      </c>
      <c r="C21" s="14">
        <v>2.8</v>
      </c>
      <c r="D21" s="14">
        <f t="shared" si="3"/>
        <v>0.3765657206278738</v>
      </c>
      <c r="E21" s="14">
        <v>0</v>
      </c>
      <c r="F21" s="14">
        <v>0</v>
      </c>
      <c r="G21" s="19"/>
      <c r="H21" s="19"/>
      <c r="I21" s="19"/>
      <c r="J21" s="75"/>
    </row>
    <row r="22" spans="2:10" x14ac:dyDescent="0.25">
      <c r="B22" s="14">
        <v>0.28999999999999998</v>
      </c>
      <c r="C22" s="14">
        <v>4.2</v>
      </c>
      <c r="D22" s="14">
        <f t="shared" si="3"/>
        <v>0.38317213677923995</v>
      </c>
      <c r="E22" s="14">
        <v>0</v>
      </c>
      <c r="F22" s="14">
        <v>0</v>
      </c>
      <c r="G22" s="19"/>
      <c r="H22" s="19"/>
      <c r="I22" s="19"/>
      <c r="J22" s="75"/>
    </row>
    <row r="23" spans="2:10" x14ac:dyDescent="0.25">
      <c r="B23" s="14">
        <v>0.31</v>
      </c>
      <c r="C23" s="14">
        <v>4.5999999999999996</v>
      </c>
      <c r="D23" s="14">
        <f t="shared" si="3"/>
        <v>0.37398060126429578</v>
      </c>
      <c r="E23" s="14">
        <v>0</v>
      </c>
      <c r="F23" s="14">
        <v>0</v>
      </c>
      <c r="G23" s="19"/>
      <c r="H23" s="19"/>
      <c r="I23" s="19"/>
      <c r="J23" s="75"/>
    </row>
    <row r="24" spans="2:10" x14ac:dyDescent="0.25">
      <c r="B24" s="14">
        <v>0.4</v>
      </c>
      <c r="C24" s="14">
        <v>5.7</v>
      </c>
      <c r="D24" s="14">
        <f t="shared" si="3"/>
        <v>0.38943084681737644</v>
      </c>
      <c r="E24" s="14">
        <v>0</v>
      </c>
      <c r="F24" s="14">
        <v>0</v>
      </c>
      <c r="G24" s="19"/>
      <c r="H24" s="19"/>
      <c r="I24" s="19"/>
      <c r="J24" s="75"/>
    </row>
    <row r="25" spans="2:10" x14ac:dyDescent="0.25">
      <c r="B25" s="15">
        <v>0.41</v>
      </c>
      <c r="C25" s="15">
        <v>5.8</v>
      </c>
      <c r="D25" s="15">
        <f t="shared" si="3"/>
        <v>0.39228443491905546</v>
      </c>
      <c r="E25" s="15">
        <v>0</v>
      </c>
      <c r="F25" s="15">
        <v>0</v>
      </c>
      <c r="G25" s="20"/>
      <c r="H25" s="20"/>
      <c r="I25" s="20"/>
      <c r="J25" s="76"/>
    </row>
    <row r="26" spans="2:10" x14ac:dyDescent="0.25">
      <c r="B26" s="13">
        <v>0.21</v>
      </c>
      <c r="C26" s="13">
        <v>2.66</v>
      </c>
      <c r="D26" s="13">
        <f>B26/(C26*0.1802)</f>
        <v>0.43810970266954841</v>
      </c>
      <c r="E26" s="18"/>
      <c r="F26" s="18"/>
      <c r="G26" s="18"/>
      <c r="H26" s="18"/>
      <c r="I26" s="18"/>
      <c r="J26" s="74" t="s">
        <v>8739</v>
      </c>
    </row>
    <row r="27" spans="2:10" x14ac:dyDescent="0.25">
      <c r="B27" s="14">
        <v>0.31</v>
      </c>
      <c r="C27" s="14">
        <v>3.81</v>
      </c>
      <c r="D27" s="14">
        <f t="shared" ref="D27:D34" si="4">B27/(C27*0.1802)</f>
        <v>0.45152513538471395</v>
      </c>
      <c r="E27" s="19"/>
      <c r="F27" s="19"/>
      <c r="G27" s="19"/>
      <c r="H27" s="19"/>
      <c r="I27" s="19"/>
      <c r="J27" s="75"/>
    </row>
    <row r="28" spans="2:10" x14ac:dyDescent="0.25">
      <c r="B28" s="14">
        <v>0.41</v>
      </c>
      <c r="C28" s="14">
        <v>4.91</v>
      </c>
      <c r="D28" s="14">
        <f t="shared" si="4"/>
        <v>0.46339098218544222</v>
      </c>
      <c r="E28" s="19"/>
      <c r="F28" s="19"/>
      <c r="G28" s="19"/>
      <c r="H28" s="19"/>
      <c r="I28" s="19"/>
      <c r="J28" s="75"/>
    </row>
    <row r="29" spans="2:10" x14ac:dyDescent="0.25">
      <c r="B29" s="14">
        <v>0.51</v>
      </c>
      <c r="C29" s="14">
        <v>6.24</v>
      </c>
      <c r="D29" s="14">
        <f t="shared" si="4"/>
        <v>0.45355587808417991</v>
      </c>
      <c r="E29" s="19"/>
      <c r="F29" s="19"/>
      <c r="G29" s="19"/>
      <c r="H29" s="19"/>
      <c r="I29" s="19"/>
      <c r="J29" s="75"/>
    </row>
    <row r="30" spans="2:10" x14ac:dyDescent="0.25">
      <c r="B30" s="14">
        <v>0.22</v>
      </c>
      <c r="C30" s="14">
        <v>2.78</v>
      </c>
      <c r="D30" s="14">
        <f t="shared" si="4"/>
        <v>0.43916032545772488</v>
      </c>
      <c r="E30" s="19"/>
      <c r="F30" s="19"/>
      <c r="G30" s="19"/>
      <c r="H30" s="19"/>
      <c r="I30" s="19"/>
      <c r="J30" s="75"/>
    </row>
    <row r="31" spans="2:10" x14ac:dyDescent="0.25">
      <c r="B31" s="14">
        <v>0.26</v>
      </c>
      <c r="C31" s="14">
        <v>3.25</v>
      </c>
      <c r="D31" s="14">
        <f t="shared" si="4"/>
        <v>0.44395116537180912</v>
      </c>
      <c r="E31" s="19"/>
      <c r="F31" s="19"/>
      <c r="G31" s="19"/>
      <c r="H31" s="19"/>
      <c r="I31" s="19"/>
      <c r="J31" s="75"/>
    </row>
    <row r="32" spans="2:10" x14ac:dyDescent="0.25">
      <c r="B32" s="14">
        <v>0.36</v>
      </c>
      <c r="C32" s="14">
        <v>4.3600000000000003</v>
      </c>
      <c r="D32" s="14">
        <f t="shared" si="4"/>
        <v>0.45820647802136255</v>
      </c>
      <c r="E32" s="19"/>
      <c r="F32" s="19"/>
      <c r="G32" s="19"/>
      <c r="H32" s="19"/>
      <c r="I32" s="19"/>
      <c r="J32" s="75"/>
    </row>
    <row r="33" spans="2:10" x14ac:dyDescent="0.25">
      <c r="B33" s="14">
        <v>0.46</v>
      </c>
      <c r="C33" s="14">
        <v>5.52</v>
      </c>
      <c r="D33" s="14">
        <f t="shared" si="4"/>
        <v>0.46244913059563453</v>
      </c>
      <c r="E33" s="19"/>
      <c r="F33" s="19"/>
      <c r="G33" s="19"/>
      <c r="H33" s="19"/>
      <c r="I33" s="19"/>
      <c r="J33" s="75"/>
    </row>
    <row r="34" spans="2:10" x14ac:dyDescent="0.25">
      <c r="B34" s="15">
        <v>0.51</v>
      </c>
      <c r="C34" s="15">
        <v>6.24</v>
      </c>
      <c r="D34" s="15">
        <f t="shared" si="4"/>
        <v>0.45355587808417991</v>
      </c>
      <c r="E34" s="20"/>
      <c r="F34" s="20"/>
      <c r="G34" s="20"/>
      <c r="H34" s="20"/>
      <c r="I34" s="20"/>
      <c r="J34" s="76"/>
    </row>
    <row r="35" spans="2:10" x14ac:dyDescent="0.25">
      <c r="B35" s="13">
        <v>0.1</v>
      </c>
      <c r="C35" s="13">
        <v>1.52</v>
      </c>
      <c r="D35" s="13">
        <f>B35/(C35*0.1802)</f>
        <v>0.36509141889129043</v>
      </c>
      <c r="E35" s="13"/>
      <c r="F35" s="13">
        <v>0</v>
      </c>
      <c r="G35" s="18"/>
      <c r="H35" s="18"/>
      <c r="I35" s="18"/>
      <c r="J35" s="74" t="s">
        <v>8740</v>
      </c>
    </row>
    <row r="36" spans="2:10" x14ac:dyDescent="0.25">
      <c r="B36" s="14">
        <v>0.2</v>
      </c>
      <c r="C36" s="14">
        <v>2.4700000000000002</v>
      </c>
      <c r="D36" s="14">
        <f t="shared" ref="D36:D38" si="5">B36/(C36*0.1802)</f>
        <v>0.44934328478928043</v>
      </c>
      <c r="E36" s="14"/>
      <c r="F36" s="14">
        <v>0</v>
      </c>
      <c r="G36" s="19"/>
      <c r="H36" s="19"/>
      <c r="I36" s="19"/>
      <c r="J36" s="75"/>
    </row>
    <row r="37" spans="2:10" x14ac:dyDescent="0.25">
      <c r="B37" s="14">
        <v>0.3</v>
      </c>
      <c r="C37" s="14">
        <v>4.25</v>
      </c>
      <c r="D37" s="14">
        <f t="shared" si="5"/>
        <v>0.39172161650453741</v>
      </c>
      <c r="E37" s="14"/>
      <c r="F37" s="14">
        <v>0</v>
      </c>
      <c r="G37" s="19"/>
      <c r="H37" s="19"/>
      <c r="I37" s="19"/>
      <c r="J37" s="75"/>
    </row>
    <row r="38" spans="2:10" x14ac:dyDescent="0.25">
      <c r="B38" s="15">
        <v>0.4</v>
      </c>
      <c r="C38" s="15">
        <v>5.65</v>
      </c>
      <c r="D38" s="15">
        <f t="shared" si="5"/>
        <v>0.39287713749717623</v>
      </c>
      <c r="E38" s="15"/>
      <c r="F38" s="15">
        <v>0</v>
      </c>
      <c r="G38" s="20"/>
      <c r="H38" s="20"/>
      <c r="I38" s="20"/>
      <c r="J38" s="76"/>
    </row>
    <row r="39" spans="2:10" x14ac:dyDescent="0.25">
      <c r="B39" s="13">
        <f t="shared" ref="B39:B45" si="6">(C39*0.1802)*D39</f>
        <v>5.3081052066559324E-2</v>
      </c>
      <c r="C39" s="13">
        <v>0.699705641075134</v>
      </c>
      <c r="D39" s="13">
        <v>0.42098765432098767</v>
      </c>
      <c r="E39" s="13"/>
      <c r="F39" s="13">
        <v>0</v>
      </c>
      <c r="G39" s="13"/>
      <c r="H39" s="13">
        <v>1.9871489766777723</v>
      </c>
      <c r="I39" s="13">
        <v>2.1618357487922704</v>
      </c>
      <c r="J39" s="74" t="s">
        <v>8741</v>
      </c>
    </row>
    <row r="40" spans="2:10" x14ac:dyDescent="0.25">
      <c r="B40" s="14">
        <f t="shared" si="6"/>
        <v>0.10184034966643664</v>
      </c>
      <c r="C40" s="14">
        <v>1.204665623427386</v>
      </c>
      <c r="D40" s="14">
        <v>0.46913580246913578</v>
      </c>
      <c r="E40" s="14"/>
      <c r="F40" s="14">
        <v>0</v>
      </c>
      <c r="G40" s="14"/>
      <c r="H40" s="14">
        <v>2.8081865778200856</v>
      </c>
      <c r="I40" s="14">
        <v>2.8864734299516908</v>
      </c>
      <c r="J40" s="75"/>
    </row>
    <row r="41" spans="2:10" x14ac:dyDescent="0.25">
      <c r="B41" s="14">
        <f t="shared" si="6"/>
        <v>0.1917989417989418</v>
      </c>
      <c r="C41" s="14">
        <v>2.1542661363150675</v>
      </c>
      <c r="D41" s="14">
        <v>0.49407407407407405</v>
      </c>
      <c r="E41" s="14"/>
      <c r="F41" s="14">
        <v>0</v>
      </c>
      <c r="G41" s="14"/>
      <c r="H41" s="14">
        <v>4.5311756306520703</v>
      </c>
      <c r="I41" s="14">
        <v>4.7463768115942031</v>
      </c>
      <c r="J41" s="75"/>
    </row>
    <row r="42" spans="2:10" x14ac:dyDescent="0.25">
      <c r="B42" s="14">
        <f t="shared" si="6"/>
        <v>0.29827191166321598</v>
      </c>
      <c r="C42" s="14">
        <v>3.3451444564700368</v>
      </c>
      <c r="D42" s="14">
        <v>0.49481481481481482</v>
      </c>
      <c r="E42" s="14"/>
      <c r="F42" s="14">
        <v>0</v>
      </c>
      <c r="G42" s="14"/>
      <c r="H42" s="14">
        <v>6.5909090909090908</v>
      </c>
      <c r="I42" s="14">
        <v>10</v>
      </c>
      <c r="J42" s="75"/>
    </row>
    <row r="43" spans="2:10" x14ac:dyDescent="0.25">
      <c r="B43" s="14">
        <f t="shared" si="6"/>
        <v>0.4113419216317768</v>
      </c>
      <c r="C43" s="14">
        <v>4.6928533513487434</v>
      </c>
      <c r="D43" s="14">
        <v>0.48641975308641977</v>
      </c>
      <c r="E43" s="14"/>
      <c r="F43" s="14">
        <v>0.15509028470145123</v>
      </c>
      <c r="G43" s="14"/>
      <c r="H43" s="14">
        <v>8.6899095668729167</v>
      </c>
      <c r="I43" s="14">
        <v>10.640096618357488</v>
      </c>
      <c r="J43" s="75"/>
    </row>
    <row r="44" spans="2:10" x14ac:dyDescent="0.25">
      <c r="B44" s="14">
        <f t="shared" si="6"/>
        <v>0.49603174603174605</v>
      </c>
      <c r="C44" s="14">
        <v>5.9457745362295862</v>
      </c>
      <c r="D44" s="14">
        <v>0.46296296296296297</v>
      </c>
      <c r="E44" s="14"/>
      <c r="F44" s="14">
        <v>1.8416971308297332</v>
      </c>
      <c r="G44" s="14"/>
      <c r="H44" s="14">
        <v>10.298667301285102</v>
      </c>
      <c r="I44" s="14">
        <v>15.374396135265702</v>
      </c>
      <c r="J44" s="75"/>
    </row>
    <row r="45" spans="2:10" x14ac:dyDescent="0.25">
      <c r="B45" s="15">
        <f t="shared" si="6"/>
        <v>0.60226293995859215</v>
      </c>
      <c r="C45" s="15">
        <v>7.8742735814588345</v>
      </c>
      <c r="D45" s="15">
        <v>0.42444444444444446</v>
      </c>
      <c r="E45" s="15"/>
      <c r="F45" s="15">
        <v>6.1094494294893105</v>
      </c>
      <c r="G45" s="15"/>
      <c r="H45" s="15">
        <v>8.5768681580199893</v>
      </c>
      <c r="I45" s="15">
        <v>13.188405797101451</v>
      </c>
      <c r="J45" s="76"/>
    </row>
    <row r="46" spans="2:10" x14ac:dyDescent="0.25">
      <c r="B46" s="13">
        <v>0.1</v>
      </c>
      <c r="C46" s="13">
        <v>1.52</v>
      </c>
      <c r="D46" s="13">
        <f>B46/(C46*0.1802)</f>
        <v>0.36509141889129043</v>
      </c>
      <c r="E46" s="18"/>
      <c r="F46" s="18"/>
      <c r="G46" s="18"/>
      <c r="H46" s="13">
        <v>4.6967999999999996</v>
      </c>
      <c r="I46" s="13">
        <v>4.75</v>
      </c>
      <c r="J46" s="74" t="s">
        <v>8742</v>
      </c>
    </row>
    <row r="47" spans="2:10" x14ac:dyDescent="0.25">
      <c r="B47" s="14">
        <v>0.2</v>
      </c>
      <c r="C47" s="14">
        <v>2.4700000000000002</v>
      </c>
      <c r="D47" s="14">
        <f t="shared" ref="D47:D51" si="7">B47/(C47*0.1802)</f>
        <v>0.44934328478928043</v>
      </c>
      <c r="E47" s="19"/>
      <c r="F47" s="19"/>
      <c r="G47" s="19"/>
      <c r="H47" s="14">
        <v>6.8913000000000002</v>
      </c>
      <c r="I47" s="14">
        <v>6.64</v>
      </c>
      <c r="J47" s="75"/>
    </row>
    <row r="48" spans="2:10" x14ac:dyDescent="0.25">
      <c r="B48" s="14">
        <v>0.3</v>
      </c>
      <c r="C48" s="14">
        <v>4.25</v>
      </c>
      <c r="D48" s="14">
        <f t="shared" si="7"/>
        <v>0.39172161650453741</v>
      </c>
      <c r="E48" s="19"/>
      <c r="F48" s="19"/>
      <c r="G48" s="19"/>
      <c r="H48" s="14">
        <v>13.107000000000001</v>
      </c>
      <c r="I48" s="14">
        <v>12.58</v>
      </c>
      <c r="J48" s="75"/>
    </row>
    <row r="49" spans="2:10" x14ac:dyDescent="0.25">
      <c r="B49" s="15">
        <v>0.4</v>
      </c>
      <c r="C49" s="15">
        <v>5.65</v>
      </c>
      <c r="D49" s="15">
        <f t="shared" si="7"/>
        <v>0.39287713749717623</v>
      </c>
      <c r="E49" s="20"/>
      <c r="F49" s="20"/>
      <c r="G49" s="20"/>
      <c r="H49" s="15">
        <v>17.3568</v>
      </c>
      <c r="I49" s="15">
        <v>16.82</v>
      </c>
      <c r="J49" s="76"/>
    </row>
    <row r="50" spans="2:10" x14ac:dyDescent="0.25">
      <c r="B50" s="13">
        <v>0.59</v>
      </c>
      <c r="C50" s="13">
        <v>7.81</v>
      </c>
      <c r="D50" s="13">
        <f t="shared" si="7"/>
        <v>0.41922405180756617</v>
      </c>
      <c r="E50" s="13"/>
      <c r="F50" s="13">
        <v>3.26</v>
      </c>
      <c r="G50" s="13"/>
      <c r="H50" s="18"/>
      <c r="I50" s="18"/>
      <c r="J50" s="70" t="s">
        <v>8743</v>
      </c>
    </row>
    <row r="51" spans="2:10" x14ac:dyDescent="0.25">
      <c r="B51" s="15">
        <v>0.61</v>
      </c>
      <c r="C51" s="15">
        <v>7.54</v>
      </c>
      <c r="D51" s="15">
        <f t="shared" si="7"/>
        <v>0.44895591988860001</v>
      </c>
      <c r="E51" s="15"/>
      <c r="F51" s="15">
        <v>2.72</v>
      </c>
      <c r="G51" s="15"/>
      <c r="H51" s="20"/>
      <c r="I51" s="20"/>
      <c r="J51" s="71"/>
    </row>
  </sheetData>
  <mergeCells count="8">
    <mergeCell ref="J50:J51"/>
    <mergeCell ref="J4:J5"/>
    <mergeCell ref="J6:J13"/>
    <mergeCell ref="J15:J25"/>
    <mergeCell ref="J26:J34"/>
    <mergeCell ref="J35:J38"/>
    <mergeCell ref="J39:J45"/>
    <mergeCell ref="J46:J49"/>
  </mergeCells>
  <hyperlinks>
    <hyperlink ref="J50" r:id="rId1" display="https://doi.org/10.1002/bit.25133"/>
  </hyperlinks>
  <pageMargins left="0.7" right="0.7" top="0.78740157499999996" bottom="0.78740157499999996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/>
  </sheetViews>
  <sheetFormatPr defaultColWidth="11.42578125" defaultRowHeight="15" x14ac:dyDescent="0.25"/>
  <cols>
    <col min="2" max="2" width="18.7109375" bestFit="1" customWidth="1"/>
    <col min="3" max="3" width="12.85546875" bestFit="1" customWidth="1"/>
    <col min="4" max="4" width="9.5703125" bestFit="1" customWidth="1"/>
    <col min="5" max="5" width="12.85546875" bestFit="1" customWidth="1"/>
    <col min="6" max="6" width="9.5703125" bestFit="1" customWidth="1"/>
    <col min="7" max="7" width="20.140625" bestFit="1" customWidth="1"/>
  </cols>
  <sheetData>
    <row r="1" spans="1:7" x14ac:dyDescent="0.25">
      <c r="A1" s="1" t="s">
        <v>8744</v>
      </c>
      <c r="B1" s="47"/>
      <c r="C1" s="47"/>
      <c r="D1" s="47"/>
      <c r="E1" s="47"/>
      <c r="F1" s="47"/>
      <c r="G1" s="47"/>
    </row>
    <row r="2" spans="1:7" x14ac:dyDescent="0.25">
      <c r="A2" s="47" t="s">
        <v>8745</v>
      </c>
      <c r="B2" s="47"/>
      <c r="C2" s="47"/>
      <c r="D2" s="47"/>
      <c r="E2" s="47"/>
      <c r="F2" s="47"/>
      <c r="G2" s="47"/>
    </row>
    <row r="4" spans="1:7" x14ac:dyDescent="0.25">
      <c r="A4" s="2" t="s">
        <v>8746</v>
      </c>
      <c r="B4" s="47"/>
      <c r="C4" s="47"/>
      <c r="D4" s="47"/>
      <c r="E4" s="47"/>
      <c r="F4" s="47"/>
      <c r="G4" s="47"/>
    </row>
    <row r="5" spans="1:7" x14ac:dyDescent="0.25">
      <c r="A5" s="3" t="s">
        <v>8747</v>
      </c>
      <c r="B5" s="47"/>
      <c r="C5" s="47"/>
      <c r="D5" s="47"/>
      <c r="E5" s="47"/>
      <c r="F5" s="47"/>
      <c r="G5" s="47"/>
    </row>
    <row r="8" spans="1:7" x14ac:dyDescent="0.25">
      <c r="A8" s="47"/>
      <c r="B8" s="72" t="s">
        <v>8748</v>
      </c>
      <c r="C8" s="77" t="s">
        <v>8722</v>
      </c>
      <c r="D8" s="77"/>
      <c r="E8" s="77" t="s">
        <v>8749</v>
      </c>
      <c r="F8" s="77"/>
      <c r="G8" s="65" t="s">
        <v>8750</v>
      </c>
    </row>
    <row r="9" spans="1:7" x14ac:dyDescent="0.25">
      <c r="A9" s="47"/>
      <c r="B9" s="72"/>
      <c r="C9" s="78" t="s">
        <v>8731</v>
      </c>
      <c r="D9" s="78"/>
      <c r="E9" s="78" t="s">
        <v>8732</v>
      </c>
      <c r="F9" s="78"/>
      <c r="G9" s="66" t="s">
        <v>8732</v>
      </c>
    </row>
    <row r="10" spans="1:7" x14ac:dyDescent="0.25">
      <c r="A10" s="47"/>
      <c r="B10" s="73"/>
      <c r="C10" s="4" t="s">
        <v>8751</v>
      </c>
      <c r="D10" s="4" t="s">
        <v>8752</v>
      </c>
      <c r="E10" s="4" t="s">
        <v>8751</v>
      </c>
      <c r="F10" s="4" t="s">
        <v>8752</v>
      </c>
      <c r="G10" s="4" t="s">
        <v>8751</v>
      </c>
    </row>
    <row r="11" spans="1:7" x14ac:dyDescent="0.25">
      <c r="A11" s="47"/>
      <c r="B11" s="47" t="s">
        <v>8679</v>
      </c>
      <c r="C11" s="5">
        <v>0.65</v>
      </c>
      <c r="D11" s="5">
        <v>0.65888999999999998</v>
      </c>
      <c r="E11" s="5">
        <v>6.83</v>
      </c>
      <c r="F11" s="5">
        <v>6.8308200000000001</v>
      </c>
      <c r="G11" s="5">
        <v>9.65</v>
      </c>
    </row>
    <row r="12" spans="1:7" x14ac:dyDescent="0.25">
      <c r="A12" s="47"/>
      <c r="B12" s="47" t="s">
        <v>8700</v>
      </c>
      <c r="C12" s="5">
        <v>0.49</v>
      </c>
      <c r="D12" s="5">
        <v>0.58799999999999997</v>
      </c>
      <c r="E12" s="5">
        <v>3.33</v>
      </c>
      <c r="F12" s="5">
        <v>4.6847200000000004</v>
      </c>
      <c r="G12" s="5">
        <v>8.33</v>
      </c>
    </row>
    <row r="13" spans="1:7" x14ac:dyDescent="0.25">
      <c r="A13" s="47"/>
      <c r="B13" s="47" t="s">
        <v>8753</v>
      </c>
      <c r="C13" s="5">
        <v>0.18</v>
      </c>
      <c r="D13" s="5">
        <v>0.14537</v>
      </c>
      <c r="E13" s="5">
        <v>0</v>
      </c>
      <c r="F13" s="5">
        <v>0</v>
      </c>
      <c r="G13" s="5">
        <v>1.9690000000000001</v>
      </c>
    </row>
    <row r="14" spans="1:7" x14ac:dyDescent="0.25">
      <c r="A14" s="47"/>
      <c r="B14" s="47" t="s">
        <v>8682</v>
      </c>
      <c r="C14" s="5">
        <v>0.28999999999999998</v>
      </c>
      <c r="D14" s="5">
        <v>0.26500000000000001</v>
      </c>
      <c r="E14" s="5" t="s">
        <v>8754</v>
      </c>
      <c r="F14" s="5">
        <v>0</v>
      </c>
      <c r="G14" s="5">
        <v>13.58</v>
      </c>
    </row>
    <row r="15" spans="1:7" x14ac:dyDescent="0.25">
      <c r="A15" s="47"/>
      <c r="B15" s="47" t="s">
        <v>8685</v>
      </c>
      <c r="C15" s="5">
        <v>0.49</v>
      </c>
      <c r="D15" s="5">
        <v>0.22597999999999999</v>
      </c>
      <c r="E15" s="5">
        <v>0.6</v>
      </c>
      <c r="F15" s="5">
        <v>0</v>
      </c>
      <c r="G15" s="5">
        <v>4.9400000000000004</v>
      </c>
    </row>
    <row r="16" spans="1:7" x14ac:dyDescent="0.25">
      <c r="A16" s="47"/>
      <c r="B16" s="47" t="s">
        <v>8755</v>
      </c>
      <c r="C16" s="5">
        <v>0.59</v>
      </c>
      <c r="D16" s="5">
        <v>0.47460000000000002</v>
      </c>
      <c r="E16" s="5">
        <v>5</v>
      </c>
      <c r="F16" s="5">
        <v>3.6629299999999998</v>
      </c>
      <c r="G16" s="5">
        <v>7.28</v>
      </c>
    </row>
    <row r="17" spans="2:7" x14ac:dyDescent="0.25">
      <c r="B17" s="47" t="s">
        <v>8686</v>
      </c>
      <c r="C17" s="5">
        <v>0.39</v>
      </c>
      <c r="D17" s="5">
        <v>0.34386</v>
      </c>
      <c r="E17" s="5">
        <v>11.91</v>
      </c>
      <c r="F17" s="5">
        <v>19.33915</v>
      </c>
      <c r="G17" s="5">
        <v>26.71</v>
      </c>
    </row>
    <row r="18" spans="2:7" x14ac:dyDescent="0.25">
      <c r="B18" s="47" t="s">
        <v>8699</v>
      </c>
      <c r="C18" s="5">
        <v>0.51</v>
      </c>
      <c r="D18" s="5">
        <v>0.48737999999999998</v>
      </c>
      <c r="E18" s="5">
        <v>3.32</v>
      </c>
      <c r="F18" s="5">
        <v>9.4021000000000008</v>
      </c>
      <c r="G18" s="5">
        <v>15.9</v>
      </c>
    </row>
    <row r="19" spans="2:7" x14ac:dyDescent="0.25">
      <c r="B19" s="47" t="s">
        <v>8756</v>
      </c>
      <c r="C19" s="5">
        <v>0.33</v>
      </c>
      <c r="D19" s="5">
        <v>0.33195999999999998</v>
      </c>
      <c r="E19" s="5">
        <v>7.3</v>
      </c>
      <c r="F19" s="5">
        <v>7.1589499999999999</v>
      </c>
      <c r="G19" s="5">
        <v>13.1</v>
      </c>
    </row>
    <row r="20" spans="2:7" x14ac:dyDescent="0.25">
      <c r="B20" s="47" t="s">
        <v>8757</v>
      </c>
      <c r="C20" s="5">
        <v>0.13</v>
      </c>
      <c r="D20" s="5">
        <v>0.1439</v>
      </c>
      <c r="E20" s="5">
        <v>5.5</v>
      </c>
      <c r="F20" s="5">
        <v>3.12879</v>
      </c>
      <c r="G20" s="5">
        <v>10.8</v>
      </c>
    </row>
  </sheetData>
  <mergeCells count="5">
    <mergeCell ref="B8:B10"/>
    <mergeCell ref="E8:F8"/>
    <mergeCell ref="C8:D8"/>
    <mergeCell ref="C9:D9"/>
    <mergeCell ref="E9:F9"/>
  </mergeCell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workbookViewId="0"/>
  </sheetViews>
  <sheetFormatPr defaultColWidth="11.42578125" defaultRowHeight="15" x14ac:dyDescent="0.25"/>
  <cols>
    <col min="6" max="6" width="21" customWidth="1"/>
  </cols>
  <sheetData>
    <row r="1" spans="1:18" x14ac:dyDescent="0.25">
      <c r="A1" s="1" t="s">
        <v>8758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</row>
    <row r="3" spans="1:18" x14ac:dyDescent="0.25">
      <c r="A3" s="2" t="s">
        <v>8746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</row>
    <row r="4" spans="1:18" x14ac:dyDescent="0.25">
      <c r="A4" s="3" t="s">
        <v>8759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</row>
    <row r="5" spans="1:18" x14ac:dyDescent="0.25">
      <c r="A5" s="3" t="s">
        <v>8760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</row>
    <row r="8" spans="1:18" x14ac:dyDescent="0.25">
      <c r="A8" s="47"/>
      <c r="B8" s="79" t="s">
        <v>8761</v>
      </c>
      <c r="C8" s="77" t="s">
        <v>8762</v>
      </c>
      <c r="D8" s="77"/>
      <c r="E8" s="64"/>
      <c r="F8" s="79" t="s">
        <v>8761</v>
      </c>
      <c r="G8" s="77" t="s">
        <v>8763</v>
      </c>
      <c r="H8" s="77"/>
      <c r="I8" s="47"/>
      <c r="J8" s="79" t="s">
        <v>8761</v>
      </c>
      <c r="K8" s="77" t="s">
        <v>8764</v>
      </c>
      <c r="L8" s="77"/>
      <c r="M8" s="77"/>
      <c r="N8" s="77"/>
      <c r="O8" s="77"/>
      <c r="P8" s="77"/>
      <c r="Q8" s="77"/>
      <c r="R8" s="77"/>
    </row>
    <row r="9" spans="1:18" x14ac:dyDescent="0.25">
      <c r="A9" s="47"/>
      <c r="B9" s="72"/>
      <c r="C9" s="77" t="s">
        <v>8765</v>
      </c>
      <c r="D9" s="77"/>
      <c r="E9" s="64"/>
      <c r="F9" s="72"/>
      <c r="G9" s="77" t="s">
        <v>8765</v>
      </c>
      <c r="H9" s="77"/>
      <c r="I9" s="47"/>
      <c r="J9" s="72"/>
      <c r="K9" s="77" t="s">
        <v>8765</v>
      </c>
      <c r="L9" s="77"/>
      <c r="M9" s="77"/>
      <c r="N9" s="77"/>
      <c r="O9" s="77"/>
      <c r="P9" s="77"/>
      <c r="Q9" s="77"/>
      <c r="R9" s="77"/>
    </row>
    <row r="10" spans="1:18" x14ac:dyDescent="0.25">
      <c r="A10" s="47"/>
      <c r="B10" s="72"/>
      <c r="C10" s="77" t="s">
        <v>8732</v>
      </c>
      <c r="D10" s="77"/>
      <c r="E10" s="64"/>
      <c r="F10" s="72"/>
      <c r="G10" s="77" t="s">
        <v>8732</v>
      </c>
      <c r="H10" s="77"/>
      <c r="I10" s="47"/>
      <c r="J10" s="72"/>
      <c r="K10" s="77" t="s">
        <v>8732</v>
      </c>
      <c r="L10" s="77"/>
      <c r="M10" s="77"/>
      <c r="N10" s="77"/>
      <c r="O10" s="77"/>
      <c r="P10" s="77"/>
      <c r="Q10" s="77"/>
      <c r="R10" s="77"/>
    </row>
    <row r="11" spans="1:18" x14ac:dyDescent="0.25">
      <c r="A11" s="47"/>
      <c r="B11" s="73"/>
      <c r="C11" s="6" t="s">
        <v>8751</v>
      </c>
      <c r="D11" s="6" t="s">
        <v>8752</v>
      </c>
      <c r="E11" s="47"/>
      <c r="F11" s="73"/>
      <c r="G11" s="6" t="s">
        <v>8751</v>
      </c>
      <c r="H11" s="6" t="s">
        <v>8752</v>
      </c>
      <c r="I11" s="47"/>
      <c r="J11" s="73"/>
      <c r="K11" s="6" t="s">
        <v>8751</v>
      </c>
      <c r="L11" s="6" t="s">
        <v>8752</v>
      </c>
      <c r="M11" s="6" t="s">
        <v>8751</v>
      </c>
      <c r="N11" s="6" t="s">
        <v>8752</v>
      </c>
      <c r="O11" s="6" t="s">
        <v>8751</v>
      </c>
      <c r="P11" s="6" t="s">
        <v>8752</v>
      </c>
      <c r="Q11" s="6" t="s">
        <v>8751</v>
      </c>
      <c r="R11" s="6" t="s">
        <v>8752</v>
      </c>
    </row>
    <row r="12" spans="1:18" x14ac:dyDescent="0.25">
      <c r="A12" s="47" t="s">
        <v>8723</v>
      </c>
      <c r="B12" s="24" t="s">
        <v>8766</v>
      </c>
      <c r="C12" s="64">
        <v>9.65</v>
      </c>
      <c r="D12" s="47"/>
      <c r="E12" s="47"/>
      <c r="F12" s="25" t="s">
        <v>8766</v>
      </c>
      <c r="G12" s="64">
        <v>8.26</v>
      </c>
      <c r="H12" s="47"/>
      <c r="I12" s="47"/>
      <c r="J12" s="25" t="s">
        <v>8766</v>
      </c>
      <c r="K12" s="26">
        <v>1.67</v>
      </c>
      <c r="L12" s="26"/>
      <c r="M12" s="26">
        <v>2.8</v>
      </c>
      <c r="N12" s="26"/>
      <c r="O12" s="26">
        <v>4.22</v>
      </c>
      <c r="P12" s="26"/>
      <c r="Q12" s="26">
        <v>5.65</v>
      </c>
      <c r="R12" s="26"/>
    </row>
    <row r="13" spans="1:18" x14ac:dyDescent="0.25">
      <c r="A13" s="47"/>
      <c r="B13" s="47" t="s">
        <v>8767</v>
      </c>
      <c r="C13" s="5">
        <v>6.8270200000000001</v>
      </c>
      <c r="D13" s="5">
        <v>6.8353599999999997</v>
      </c>
      <c r="E13" s="5"/>
      <c r="F13" s="22" t="s">
        <v>8768</v>
      </c>
      <c r="G13" s="5">
        <v>0.61</v>
      </c>
      <c r="H13" s="5">
        <v>0.57215000000000005</v>
      </c>
      <c r="I13" s="47"/>
      <c r="J13" s="47" t="s">
        <v>8768</v>
      </c>
      <c r="K13" s="26">
        <v>8.5000000000000006E-2</v>
      </c>
      <c r="L13" s="26">
        <v>0.12121999999999999</v>
      </c>
      <c r="M13" s="26">
        <v>0.187</v>
      </c>
      <c r="N13" s="26">
        <v>0.21865000000000001</v>
      </c>
      <c r="O13" s="26">
        <v>0.28599999999999998</v>
      </c>
      <c r="P13" s="26">
        <v>0.31946000000000002</v>
      </c>
      <c r="Q13" s="26">
        <v>0.39900000000000002</v>
      </c>
      <c r="R13" s="26">
        <v>0.40900999999999998</v>
      </c>
    </row>
    <row r="14" spans="1:18" x14ac:dyDescent="0.25">
      <c r="A14" s="47"/>
      <c r="B14" s="47" t="s">
        <v>7489</v>
      </c>
      <c r="C14" s="5">
        <v>5.6999700000000004</v>
      </c>
      <c r="D14" s="5">
        <v>6.7175599999999998</v>
      </c>
      <c r="E14" s="5"/>
      <c r="F14" s="22" t="s">
        <v>8767</v>
      </c>
      <c r="G14" s="5">
        <v>4.8899999999999997</v>
      </c>
      <c r="H14" s="5">
        <v>5.2794400000000001</v>
      </c>
      <c r="I14" s="47"/>
      <c r="J14" s="47" t="s">
        <v>8767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0.77261999999999997</v>
      </c>
      <c r="Q14" s="26">
        <v>0</v>
      </c>
      <c r="R14" s="26">
        <v>2.3674200000000001</v>
      </c>
    </row>
    <row r="15" spans="1:18" x14ac:dyDescent="0.25">
      <c r="A15" s="47"/>
      <c r="B15" s="47" t="s">
        <v>4385</v>
      </c>
      <c r="C15" s="5">
        <v>7.0584800000000003</v>
      </c>
      <c r="D15" s="5">
        <v>8.0171500000000009</v>
      </c>
      <c r="E15" s="5"/>
      <c r="F15" s="22" t="s">
        <v>3992</v>
      </c>
      <c r="G15" s="5">
        <v>8.1300000000000008</v>
      </c>
      <c r="H15" s="5">
        <v>8.26</v>
      </c>
      <c r="I15" s="47"/>
      <c r="J15" s="47" t="s">
        <v>1775</v>
      </c>
      <c r="K15" s="26">
        <v>1.6702999999999999</v>
      </c>
      <c r="L15" s="26">
        <v>0</v>
      </c>
      <c r="M15" s="26">
        <v>2.8384999999999998</v>
      </c>
      <c r="N15" s="26">
        <v>0</v>
      </c>
      <c r="O15" s="26">
        <v>4.3080999999999996</v>
      </c>
      <c r="P15" s="26">
        <v>0</v>
      </c>
      <c r="Q15" s="26">
        <v>5.7061999999999999</v>
      </c>
      <c r="R15" s="26">
        <v>0</v>
      </c>
    </row>
    <row r="16" spans="1:18" x14ac:dyDescent="0.25">
      <c r="A16" s="47"/>
      <c r="B16" s="47" t="s">
        <v>307</v>
      </c>
      <c r="C16" s="5">
        <v>7.0584800000000003</v>
      </c>
      <c r="D16" s="5">
        <v>8.0171500000000009</v>
      </c>
      <c r="E16" s="5"/>
      <c r="F16" s="22" t="s">
        <v>2053</v>
      </c>
      <c r="G16" s="5">
        <v>2.29</v>
      </c>
      <c r="H16" s="5">
        <v>1.8164800000000001</v>
      </c>
      <c r="I16" s="47"/>
      <c r="J16" s="47" t="s">
        <v>2053</v>
      </c>
      <c r="K16" s="26">
        <v>0.4617</v>
      </c>
      <c r="L16" s="26">
        <v>0</v>
      </c>
      <c r="M16" s="26">
        <v>1.2632000000000001</v>
      </c>
      <c r="N16" s="26">
        <v>0.11792999999999999</v>
      </c>
      <c r="O16" s="26">
        <v>1.6394</v>
      </c>
      <c r="P16" s="26">
        <v>0.56020999999999999</v>
      </c>
      <c r="Q16" s="26">
        <v>2.0589</v>
      </c>
      <c r="R16" s="26">
        <v>0.71723999999999999</v>
      </c>
    </row>
    <row r="17" spans="2:18" x14ac:dyDescent="0.25">
      <c r="B17" s="47" t="s">
        <v>4391</v>
      </c>
      <c r="C17" s="5">
        <v>7.0584800000000003</v>
      </c>
      <c r="D17" s="5">
        <v>7.90998</v>
      </c>
      <c r="E17" s="5"/>
      <c r="F17" s="22" t="s">
        <v>1779</v>
      </c>
      <c r="G17" s="5">
        <v>1.53</v>
      </c>
      <c r="H17" s="5">
        <v>1.8164800000000001</v>
      </c>
      <c r="I17" s="47"/>
      <c r="J17" s="47" t="s">
        <v>1779</v>
      </c>
      <c r="K17" s="26">
        <v>0.34820000000000001</v>
      </c>
      <c r="L17" s="26">
        <v>0</v>
      </c>
      <c r="M17" s="26">
        <v>0.96840000000000004</v>
      </c>
      <c r="N17" s="26">
        <v>0.11792999999999999</v>
      </c>
      <c r="O17" s="26">
        <v>1.2613000000000001</v>
      </c>
      <c r="P17" s="26">
        <v>0.56020999999999999</v>
      </c>
      <c r="Q17" s="26">
        <v>1.6495</v>
      </c>
      <c r="R17" s="26">
        <v>0.71723999999999999</v>
      </c>
    </row>
    <row r="18" spans="2:18" x14ac:dyDescent="0.25">
      <c r="B18" s="47" t="s">
        <v>257</v>
      </c>
      <c r="C18" s="5">
        <v>2.4873099999999999</v>
      </c>
      <c r="D18" s="5">
        <v>3.3769499999999999</v>
      </c>
      <c r="E18" s="5"/>
      <c r="F18" s="22" t="s">
        <v>319</v>
      </c>
      <c r="G18" s="5">
        <v>5.81</v>
      </c>
      <c r="H18" s="5">
        <v>6.3319799999999997</v>
      </c>
      <c r="I18" s="47"/>
      <c r="J18" s="47" t="s">
        <v>319</v>
      </c>
      <c r="K18" s="26">
        <v>1.204</v>
      </c>
      <c r="L18" s="26">
        <v>1.6463699999999999</v>
      </c>
      <c r="M18" s="26">
        <v>1.5653999999999999</v>
      </c>
      <c r="N18" s="26">
        <v>2.6394500000000001</v>
      </c>
      <c r="O18" s="26">
        <v>2.6534</v>
      </c>
      <c r="P18" s="26">
        <v>3.5975199999999998</v>
      </c>
      <c r="Q18" s="26">
        <v>3.6259000000000001</v>
      </c>
      <c r="R18" s="26">
        <v>4.8530300000000004</v>
      </c>
    </row>
    <row r="19" spans="2:18" x14ac:dyDescent="0.25">
      <c r="B19" s="47" t="s">
        <v>4241</v>
      </c>
      <c r="C19" s="5">
        <v>11.29846</v>
      </c>
      <c r="D19" s="5">
        <v>10.099919999999999</v>
      </c>
      <c r="E19" s="5"/>
      <c r="F19" s="22" t="s">
        <v>327</v>
      </c>
      <c r="G19" s="5">
        <v>0.77</v>
      </c>
      <c r="H19" s="5">
        <v>0</v>
      </c>
      <c r="I19" s="47"/>
      <c r="J19" s="47" t="s">
        <v>327</v>
      </c>
      <c r="K19" s="26">
        <v>0.1135</v>
      </c>
      <c r="L19" s="26">
        <v>0</v>
      </c>
      <c r="M19" s="26">
        <v>0.29470000000000002</v>
      </c>
      <c r="N19" s="26">
        <v>0</v>
      </c>
      <c r="O19" s="26">
        <v>0.378</v>
      </c>
      <c r="P19" s="26">
        <v>0</v>
      </c>
      <c r="Q19" s="26">
        <v>0.40939999999999999</v>
      </c>
      <c r="R19" s="26">
        <v>0</v>
      </c>
    </row>
    <row r="20" spans="2:18" x14ac:dyDescent="0.25">
      <c r="B20" s="47" t="s">
        <v>327</v>
      </c>
      <c r="C20" s="5">
        <v>1.0869899999999999</v>
      </c>
      <c r="D20" s="5">
        <v>0</v>
      </c>
      <c r="E20" s="5"/>
      <c r="F20" s="22" t="s">
        <v>4385</v>
      </c>
      <c r="G20" s="5">
        <v>6.48</v>
      </c>
      <c r="H20" s="5">
        <v>7.0461299999999998</v>
      </c>
      <c r="I20" s="47"/>
      <c r="J20" s="47" t="s">
        <v>4385</v>
      </c>
      <c r="K20" s="26">
        <v>1.3872</v>
      </c>
      <c r="L20" s="26">
        <v>1.54111</v>
      </c>
      <c r="M20" s="26">
        <v>2.0973000000000002</v>
      </c>
      <c r="N20" s="26">
        <v>2.5282</v>
      </c>
      <c r="O20" s="26">
        <v>3.3058999999999998</v>
      </c>
      <c r="P20" s="26">
        <v>3.6935799999999999</v>
      </c>
      <c r="Q20" s="26">
        <v>4.4416000000000002</v>
      </c>
      <c r="R20" s="26">
        <v>4.9760200000000001</v>
      </c>
    </row>
    <row r="21" spans="2:18" x14ac:dyDescent="0.25">
      <c r="B21" s="47" t="s">
        <v>4395</v>
      </c>
      <c r="C21" s="5">
        <v>1.42744</v>
      </c>
      <c r="D21" s="5">
        <v>0</v>
      </c>
      <c r="E21" s="5"/>
      <c r="F21" s="22" t="s">
        <v>343</v>
      </c>
      <c r="G21" s="5">
        <v>0.49</v>
      </c>
      <c r="H21" s="5">
        <v>0.50263000000000002</v>
      </c>
      <c r="I21" s="47"/>
      <c r="J21" s="47" t="s">
        <v>343</v>
      </c>
      <c r="K21" s="26">
        <v>0.1143</v>
      </c>
      <c r="L21" s="26">
        <v>0</v>
      </c>
      <c r="M21" s="26">
        <v>0.31340000000000001</v>
      </c>
      <c r="N21" s="26">
        <v>0</v>
      </c>
      <c r="O21" s="26">
        <v>0.3972</v>
      </c>
      <c r="P21" s="26">
        <v>0.1293</v>
      </c>
      <c r="Q21" s="26">
        <v>0.50329999999999997</v>
      </c>
      <c r="R21" s="26">
        <v>0.16555</v>
      </c>
    </row>
    <row r="22" spans="2:18" x14ac:dyDescent="0.25">
      <c r="B22" s="47" t="s">
        <v>335</v>
      </c>
      <c r="C22" s="5">
        <v>1.4048499999999999</v>
      </c>
      <c r="D22" s="5">
        <v>1.36818</v>
      </c>
      <c r="E22" s="5"/>
      <c r="F22" s="22" t="s">
        <v>2391</v>
      </c>
      <c r="G22" s="5">
        <v>0.23</v>
      </c>
      <c r="H22" s="5">
        <v>0.27105000000000001</v>
      </c>
      <c r="I22" s="47"/>
      <c r="J22" s="47" t="s">
        <v>2391</v>
      </c>
      <c r="K22" s="26">
        <v>7.4999999999999997E-2</v>
      </c>
      <c r="L22" s="26">
        <v>0</v>
      </c>
      <c r="M22" s="26">
        <v>0.23169999999999999</v>
      </c>
      <c r="N22" s="26">
        <v>0</v>
      </c>
      <c r="O22" s="26">
        <v>0.27579999999999999</v>
      </c>
      <c r="P22" s="26">
        <v>0</v>
      </c>
      <c r="Q22" s="26">
        <v>0.34110000000000001</v>
      </c>
      <c r="R22" s="26">
        <v>0</v>
      </c>
    </row>
    <row r="23" spans="2:18" x14ac:dyDescent="0.25">
      <c r="B23" s="47" t="s">
        <v>2391</v>
      </c>
      <c r="C23" s="5">
        <v>0.58464000000000005</v>
      </c>
      <c r="D23" s="5">
        <v>0.55069999999999997</v>
      </c>
      <c r="E23" s="5"/>
      <c r="F23" s="22" t="s">
        <v>339</v>
      </c>
      <c r="G23" s="5">
        <v>0.49</v>
      </c>
      <c r="H23" s="5">
        <v>0.48398000000000002</v>
      </c>
      <c r="I23" s="47"/>
      <c r="J23" s="47" t="s">
        <v>339</v>
      </c>
      <c r="K23" s="26">
        <v>0.1143</v>
      </c>
      <c r="L23" s="26">
        <v>0</v>
      </c>
      <c r="M23" s="26">
        <v>0.31340000000000001</v>
      </c>
      <c r="N23" s="26">
        <v>0</v>
      </c>
      <c r="O23" s="26">
        <v>0.3972</v>
      </c>
      <c r="P23" s="26">
        <v>0.11889</v>
      </c>
      <c r="Q23" s="26">
        <v>0.50329999999999997</v>
      </c>
      <c r="R23" s="26">
        <v>0.15221000000000001</v>
      </c>
    </row>
    <row r="24" spans="2:18" x14ac:dyDescent="0.25">
      <c r="B24" s="47" t="s">
        <v>886</v>
      </c>
      <c r="C24" s="5">
        <v>2.4533299999999998</v>
      </c>
      <c r="D24" s="5">
        <v>2.9755199999999999</v>
      </c>
      <c r="E24" s="5"/>
      <c r="F24" s="22" t="s">
        <v>1771</v>
      </c>
      <c r="G24" s="5">
        <v>13.88</v>
      </c>
      <c r="H24" s="5">
        <v>14.3165</v>
      </c>
      <c r="I24" s="47"/>
      <c r="J24" s="47" t="s">
        <v>1771</v>
      </c>
      <c r="K24" s="26">
        <v>2.9538000000000002</v>
      </c>
      <c r="L24" s="26">
        <v>3.0014599999999998</v>
      </c>
      <c r="M24" s="26">
        <v>4.7008000000000001</v>
      </c>
      <c r="N24" s="26">
        <v>4.9500200000000003</v>
      </c>
      <c r="O24" s="26">
        <v>7.2337999999999996</v>
      </c>
      <c r="P24" s="26">
        <v>7.3610199999999999</v>
      </c>
      <c r="Q24" s="26">
        <v>9.5879999999999992</v>
      </c>
      <c r="R24" s="26">
        <v>9.9185700000000008</v>
      </c>
    </row>
    <row r="25" spans="2:18" x14ac:dyDescent="0.25">
      <c r="B25" s="47" t="s">
        <v>213</v>
      </c>
      <c r="C25" s="5">
        <v>0.54086999999999996</v>
      </c>
      <c r="D25" s="5">
        <v>0</v>
      </c>
      <c r="E25" s="5"/>
      <c r="F25" s="22" t="s">
        <v>303</v>
      </c>
      <c r="G25" s="5">
        <v>12.96</v>
      </c>
      <c r="H25" s="5">
        <v>14.3165</v>
      </c>
      <c r="I25" s="47"/>
      <c r="J25" s="47" t="s">
        <v>303</v>
      </c>
      <c r="K25" s="26">
        <v>2.8178000000000001</v>
      </c>
      <c r="L25" s="26">
        <v>2.8017099999999999</v>
      </c>
      <c r="M25" s="26">
        <v>4.4028999999999998</v>
      </c>
      <c r="N25" s="26">
        <v>4.8680300000000001</v>
      </c>
      <c r="O25" s="26">
        <v>6.7621000000000002</v>
      </c>
      <c r="P25" s="26">
        <v>7.3610199999999999</v>
      </c>
      <c r="Q25" s="26">
        <v>8.9107000000000003</v>
      </c>
      <c r="R25" s="26">
        <v>9.9185700000000008</v>
      </c>
    </row>
    <row r="26" spans="2:18" x14ac:dyDescent="0.25">
      <c r="B26" s="47" t="s">
        <v>197</v>
      </c>
      <c r="C26" s="5">
        <v>2.97797</v>
      </c>
      <c r="D26" s="5">
        <v>3.4658699999999998</v>
      </c>
      <c r="E26" s="5"/>
      <c r="F26" s="22" t="s">
        <v>257</v>
      </c>
      <c r="G26" s="5">
        <v>9.9499999999999993</v>
      </c>
      <c r="H26" s="5">
        <v>3.0183</v>
      </c>
      <c r="I26" s="47"/>
      <c r="J26" s="47" t="s">
        <v>257</v>
      </c>
      <c r="K26" s="26">
        <v>3.4026999999999998</v>
      </c>
      <c r="L26" s="26">
        <v>1.0352300000000001</v>
      </c>
      <c r="M26" s="26">
        <v>4.5561999999999996</v>
      </c>
      <c r="N26" s="26">
        <v>1.89401</v>
      </c>
      <c r="O26" s="26">
        <v>5.4709000000000003</v>
      </c>
      <c r="P26" s="26">
        <v>1.4446300000000001</v>
      </c>
      <c r="Q26" s="26">
        <v>6.8567</v>
      </c>
      <c r="R26" s="26">
        <v>2.09667</v>
      </c>
    </row>
    <row r="27" spans="2:18" x14ac:dyDescent="0.25">
      <c r="B27" s="47" t="s">
        <v>5405</v>
      </c>
      <c r="C27" s="5">
        <v>2.1380699999999999</v>
      </c>
      <c r="D27" s="5">
        <v>2.7494499999999999</v>
      </c>
      <c r="E27" s="5"/>
      <c r="F27" s="22" t="s">
        <v>4241</v>
      </c>
      <c r="G27" s="5">
        <v>9.18</v>
      </c>
      <c r="H27" s="5">
        <v>8.7340800000000005</v>
      </c>
      <c r="I27" s="47"/>
      <c r="J27" s="47" t="s">
        <v>4241</v>
      </c>
      <c r="K27" s="26">
        <v>3.2065999999999999</v>
      </c>
      <c r="L27" s="26">
        <v>2.3730000000000002</v>
      </c>
      <c r="M27" s="26">
        <v>4.6348000000000003</v>
      </c>
      <c r="N27" s="26">
        <v>3.8037299999999998</v>
      </c>
      <c r="O27" s="26">
        <v>5.5612000000000004</v>
      </c>
      <c r="P27" s="26">
        <v>4.2440600000000002</v>
      </c>
      <c r="Q27" s="26">
        <v>6.4207999999999998</v>
      </c>
      <c r="R27" s="26">
        <v>5.9279099999999998</v>
      </c>
    </row>
    <row r="28" spans="2:18" x14ac:dyDescent="0.25">
      <c r="B28" s="47" t="s">
        <v>585</v>
      </c>
      <c r="C28" s="5">
        <v>2.1380699999999999</v>
      </c>
      <c r="D28" s="5">
        <v>3.4223499999999998</v>
      </c>
      <c r="E28" s="5"/>
      <c r="F28" s="22" t="s">
        <v>193</v>
      </c>
      <c r="G28" s="5">
        <v>2.25</v>
      </c>
      <c r="H28" s="5">
        <v>3.6293700000000002</v>
      </c>
      <c r="I28" s="47"/>
      <c r="J28" s="47" t="s">
        <v>193</v>
      </c>
      <c r="K28" s="26">
        <v>2.036</v>
      </c>
      <c r="L28" s="26">
        <v>1.65595</v>
      </c>
      <c r="M28" s="26">
        <v>2.8797999999999999</v>
      </c>
      <c r="N28" s="26">
        <v>2.8014899999999998</v>
      </c>
      <c r="O28" s="26">
        <v>4.3486000000000002</v>
      </c>
      <c r="P28" s="26">
        <v>3.569</v>
      </c>
      <c r="Q28" s="26">
        <v>5.4820000000000002</v>
      </c>
      <c r="R28" s="26">
        <v>3.6854</v>
      </c>
    </row>
    <row r="29" spans="2:18" x14ac:dyDescent="0.25">
      <c r="B29" s="47" t="s">
        <v>581</v>
      </c>
      <c r="C29" s="5">
        <v>2.1380699999999999</v>
      </c>
      <c r="D29" s="5">
        <v>3.4229400000000001</v>
      </c>
      <c r="E29" s="5"/>
      <c r="F29" s="22" t="s">
        <v>197</v>
      </c>
      <c r="G29" s="5">
        <v>2.25</v>
      </c>
      <c r="H29" s="5">
        <v>3.6293700000000002</v>
      </c>
      <c r="I29" s="47"/>
      <c r="J29" s="47" t="s">
        <v>197</v>
      </c>
      <c r="K29" s="26">
        <v>1.0726</v>
      </c>
      <c r="L29" s="26">
        <v>1.3013300000000001</v>
      </c>
      <c r="M29" s="26">
        <v>1.5569</v>
      </c>
      <c r="N29" s="26">
        <v>1.8964399999999999</v>
      </c>
      <c r="O29" s="26">
        <v>3.8075999999999999</v>
      </c>
      <c r="P29" s="26">
        <v>3.569</v>
      </c>
      <c r="Q29" s="26">
        <v>5.4820000000000002</v>
      </c>
      <c r="R29" s="26">
        <v>3.6854</v>
      </c>
    </row>
    <row r="30" spans="2:18" x14ac:dyDescent="0.25">
      <c r="B30" s="47" t="s">
        <v>217</v>
      </c>
      <c r="C30" s="5">
        <v>0</v>
      </c>
      <c r="D30" s="5">
        <v>0</v>
      </c>
      <c r="E30" s="5"/>
      <c r="F30" s="22" t="s">
        <v>5405</v>
      </c>
      <c r="G30" s="5">
        <v>1.34</v>
      </c>
      <c r="H30" s="5">
        <v>3.0074999999999998</v>
      </c>
      <c r="I30" s="47"/>
      <c r="J30" s="47" t="s">
        <v>5405</v>
      </c>
      <c r="K30" s="26">
        <v>0.93389999999999995</v>
      </c>
      <c r="L30" s="26">
        <v>1.5241899999999999</v>
      </c>
      <c r="M30" s="26">
        <v>1.2837000000000001</v>
      </c>
      <c r="N30" s="26">
        <v>2.5638399999999999</v>
      </c>
      <c r="O30" s="26">
        <v>3.3895</v>
      </c>
      <c r="P30" s="26">
        <v>3.2217799999999999</v>
      </c>
      <c r="Q30" s="26">
        <v>4.9118000000000004</v>
      </c>
      <c r="R30" s="26">
        <v>3.24085</v>
      </c>
    </row>
    <row r="31" spans="2:18" x14ac:dyDescent="0.25">
      <c r="B31" s="47" t="s">
        <v>860</v>
      </c>
      <c r="C31" s="5">
        <v>9.6540400000000003E-10</v>
      </c>
      <c r="D31" s="5">
        <v>0</v>
      </c>
      <c r="E31" s="5"/>
      <c r="F31" s="22" t="s">
        <v>585</v>
      </c>
      <c r="G31" s="5">
        <v>1.34</v>
      </c>
      <c r="H31" s="5">
        <v>3.5916000000000001</v>
      </c>
      <c r="I31" s="47"/>
      <c r="J31" s="47" t="s">
        <v>585</v>
      </c>
      <c r="K31" s="26">
        <v>1.8973</v>
      </c>
      <c r="L31" s="26">
        <v>1.64795</v>
      </c>
      <c r="M31" s="26">
        <v>2.6067</v>
      </c>
      <c r="N31" s="26">
        <v>2.7870499999999998</v>
      </c>
      <c r="O31" s="26">
        <v>3.9306000000000001</v>
      </c>
      <c r="P31" s="26">
        <v>3.54792</v>
      </c>
      <c r="Q31" s="26">
        <v>4.9118000000000004</v>
      </c>
      <c r="R31" s="26">
        <v>3.6583999999999999</v>
      </c>
    </row>
    <row r="32" spans="2:18" x14ac:dyDescent="0.25">
      <c r="B32" s="47" t="s">
        <v>8768</v>
      </c>
      <c r="C32" s="5">
        <v>0.65</v>
      </c>
      <c r="D32" s="5">
        <v>0.65913999999999995</v>
      </c>
      <c r="E32" s="5"/>
      <c r="F32" s="22" t="s">
        <v>581</v>
      </c>
      <c r="G32" s="5">
        <v>0.8</v>
      </c>
      <c r="H32" s="5">
        <v>3.5921099999999999</v>
      </c>
      <c r="I32" s="47"/>
      <c r="J32" s="47" t="s">
        <v>581</v>
      </c>
      <c r="K32" s="26">
        <v>2.8572000000000002</v>
      </c>
      <c r="L32" s="26">
        <v>2.0026600000000001</v>
      </c>
      <c r="M32" s="26">
        <v>3.5186999999999999</v>
      </c>
      <c r="N32" s="26">
        <v>3.6922899999999998</v>
      </c>
      <c r="O32" s="26">
        <v>3.8016000000000001</v>
      </c>
      <c r="P32" s="26">
        <v>3.5482</v>
      </c>
      <c r="Q32" s="26">
        <v>4.4535999999999998</v>
      </c>
      <c r="R32" s="26">
        <v>3.65876</v>
      </c>
    </row>
    <row r="33" spans="6:18" x14ac:dyDescent="0.25">
      <c r="F33" s="23" t="s">
        <v>217</v>
      </c>
      <c r="G33" s="5">
        <v>0.53</v>
      </c>
      <c r="H33" s="5">
        <v>0</v>
      </c>
      <c r="I33" s="47"/>
      <c r="J33" s="47" t="s">
        <v>217</v>
      </c>
      <c r="K33" s="26">
        <v>3.5000000000000001E-3</v>
      </c>
      <c r="L33" s="26">
        <v>0</v>
      </c>
      <c r="M33" s="26">
        <v>0.41099999999999998</v>
      </c>
      <c r="N33" s="26">
        <v>0</v>
      </c>
      <c r="O33" s="26">
        <v>0.67</v>
      </c>
      <c r="P33" s="26">
        <v>0</v>
      </c>
      <c r="Q33" s="26">
        <v>0.4582</v>
      </c>
      <c r="R33" s="26">
        <v>0</v>
      </c>
    </row>
    <row r="34" spans="6:18" x14ac:dyDescent="0.25">
      <c r="F34" s="23" t="s">
        <v>213</v>
      </c>
      <c r="G34" s="5">
        <v>0.32</v>
      </c>
      <c r="H34" s="5">
        <v>0</v>
      </c>
      <c r="I34" s="47"/>
      <c r="J34" s="47" t="s">
        <v>213</v>
      </c>
      <c r="K34" s="26">
        <v>1.1791</v>
      </c>
      <c r="L34" s="26">
        <v>0</v>
      </c>
      <c r="M34" s="26">
        <v>1.1599999999999999</v>
      </c>
      <c r="N34" s="26">
        <v>0</v>
      </c>
      <c r="O34" s="26">
        <v>0.6401</v>
      </c>
      <c r="P34" s="26">
        <v>0</v>
      </c>
      <c r="Q34" s="26">
        <v>0.87690000000000001</v>
      </c>
      <c r="R34" s="26">
        <v>0</v>
      </c>
    </row>
    <row r="35" spans="6:18" x14ac:dyDescent="0.25">
      <c r="F35" s="23" t="s">
        <v>886</v>
      </c>
      <c r="G35" s="5">
        <v>2.78</v>
      </c>
      <c r="H35" s="5">
        <v>2.58284</v>
      </c>
      <c r="I35" s="47"/>
      <c r="J35" s="47" t="s">
        <v>886</v>
      </c>
      <c r="K35" s="26">
        <v>0.51119999999999999</v>
      </c>
      <c r="L35" s="26">
        <v>0</v>
      </c>
      <c r="M35" s="26">
        <v>0.83479999999999999</v>
      </c>
      <c r="N35" s="26">
        <v>0</v>
      </c>
      <c r="O35" s="26">
        <v>1.6741999999999999</v>
      </c>
      <c r="P35" s="26">
        <v>1.44214</v>
      </c>
      <c r="Q35" s="26">
        <v>2.5861000000000001</v>
      </c>
      <c r="R35" s="26">
        <v>1.8463799999999999</v>
      </c>
    </row>
    <row r="36" spans="6:18" x14ac:dyDescent="0.25">
      <c r="F36" s="23" t="s">
        <v>455</v>
      </c>
      <c r="G36" s="5">
        <v>5.48</v>
      </c>
      <c r="H36" s="5">
        <v>4.94123</v>
      </c>
      <c r="I36" s="47"/>
      <c r="J36" s="47" t="s">
        <v>7521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0.58377000000000001</v>
      </c>
      <c r="Q36" s="26">
        <v>0</v>
      </c>
      <c r="R36" s="26">
        <v>2.1256400000000002</v>
      </c>
    </row>
    <row r="37" spans="6:18" x14ac:dyDescent="0.25">
      <c r="F37" s="47"/>
      <c r="G37" s="47"/>
      <c r="H37" s="47"/>
      <c r="I37" s="47"/>
      <c r="J37" s="47" t="s">
        <v>1529</v>
      </c>
      <c r="K37" s="26">
        <v>0.96340000000000003</v>
      </c>
      <c r="L37" s="26">
        <v>0.35471000000000003</v>
      </c>
      <c r="M37" s="26">
        <v>1.323</v>
      </c>
      <c r="N37" s="26">
        <v>0.90524000000000004</v>
      </c>
      <c r="O37" s="26">
        <v>0.54100000000000004</v>
      </c>
      <c r="P37" s="26">
        <v>2.8496000000000001E-4</v>
      </c>
      <c r="Q37" s="26">
        <v>0</v>
      </c>
      <c r="R37" s="26">
        <v>3.64836E-4</v>
      </c>
    </row>
    <row r="38" spans="6:18" x14ac:dyDescent="0.25">
      <c r="F38" s="47"/>
      <c r="G38" s="47"/>
      <c r="H38" s="47"/>
      <c r="I38" s="47"/>
      <c r="J38" s="47" t="s">
        <v>1336</v>
      </c>
      <c r="K38" s="26">
        <v>0.3821</v>
      </c>
      <c r="L38" s="26">
        <v>0</v>
      </c>
      <c r="M38" s="26">
        <v>0.59499999999999997</v>
      </c>
      <c r="N38" s="26">
        <v>0</v>
      </c>
      <c r="O38" s="26">
        <v>1.8731</v>
      </c>
      <c r="P38" s="26">
        <v>0</v>
      </c>
      <c r="Q38" s="26">
        <v>2.5752999999999999</v>
      </c>
      <c r="R38" s="26">
        <v>0</v>
      </c>
    </row>
  </sheetData>
  <mergeCells count="12">
    <mergeCell ref="B8:B11"/>
    <mergeCell ref="G8:H8"/>
    <mergeCell ref="F8:F11"/>
    <mergeCell ref="G9:H9"/>
    <mergeCell ref="G10:H10"/>
    <mergeCell ref="J8:J11"/>
    <mergeCell ref="K8:R8"/>
    <mergeCell ref="K9:R9"/>
    <mergeCell ref="K10:R10"/>
    <mergeCell ref="C8:D8"/>
    <mergeCell ref="C9:D9"/>
    <mergeCell ref="C10:D10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workbookViewId="0"/>
  </sheetViews>
  <sheetFormatPr defaultColWidth="11.42578125" defaultRowHeight="15" x14ac:dyDescent="0.25"/>
  <cols>
    <col min="2" max="2" width="33.28515625" bestFit="1" customWidth="1"/>
    <col min="3" max="3" width="12.85546875" bestFit="1" customWidth="1"/>
  </cols>
  <sheetData>
    <row r="1" spans="1:16" x14ac:dyDescent="0.25">
      <c r="A1" s="1" t="s">
        <v>8769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spans="1:16" x14ac:dyDescent="0.25">
      <c r="A2" s="47" t="s">
        <v>8745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</row>
    <row r="4" spans="1:16" x14ac:dyDescent="0.25">
      <c r="A4" s="2" t="s">
        <v>8746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</row>
    <row r="5" spans="1:16" x14ac:dyDescent="0.25">
      <c r="A5" s="3" t="s">
        <v>8770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</row>
    <row r="6" spans="1:16" x14ac:dyDescent="0.25">
      <c r="A6" s="3" t="s">
        <v>8760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</row>
    <row r="9" spans="1:16" ht="15" customHeight="1" x14ac:dyDescent="0.25">
      <c r="A9" s="47"/>
      <c r="B9" s="28" t="s">
        <v>8771</v>
      </c>
      <c r="C9" s="80" t="s">
        <v>8682</v>
      </c>
      <c r="D9" s="80"/>
      <c r="E9" s="80" t="s">
        <v>8700</v>
      </c>
      <c r="F9" s="80"/>
      <c r="G9" s="80" t="s">
        <v>8753</v>
      </c>
      <c r="H9" s="80"/>
      <c r="I9" s="80" t="s">
        <v>8755</v>
      </c>
      <c r="J9" s="80"/>
      <c r="K9" s="80" t="s">
        <v>8685</v>
      </c>
      <c r="L9" s="80"/>
      <c r="M9" s="80" t="s">
        <v>8686</v>
      </c>
      <c r="N9" s="80"/>
      <c r="O9" s="80" t="s">
        <v>8699</v>
      </c>
      <c r="P9" s="80"/>
    </row>
    <row r="10" spans="1:16" x14ac:dyDescent="0.25">
      <c r="A10" s="47"/>
      <c r="B10" s="81" t="s">
        <v>8761</v>
      </c>
      <c r="C10" s="77" t="s">
        <v>8765</v>
      </c>
      <c r="D10" s="77"/>
      <c r="E10" s="77" t="s">
        <v>8765</v>
      </c>
      <c r="F10" s="77"/>
      <c r="G10" s="77" t="s">
        <v>8765</v>
      </c>
      <c r="H10" s="77"/>
      <c r="I10" s="77" t="s">
        <v>8765</v>
      </c>
      <c r="J10" s="77"/>
      <c r="K10" s="77" t="s">
        <v>8765</v>
      </c>
      <c r="L10" s="77"/>
      <c r="M10" s="77" t="s">
        <v>8765</v>
      </c>
      <c r="N10" s="77"/>
      <c r="O10" s="77" t="s">
        <v>8765</v>
      </c>
      <c r="P10" s="77"/>
    </row>
    <row r="11" spans="1:16" x14ac:dyDescent="0.25">
      <c r="A11" s="47"/>
      <c r="B11" s="81"/>
      <c r="C11" s="77" t="s">
        <v>8732</v>
      </c>
      <c r="D11" s="77"/>
      <c r="E11" s="77" t="s">
        <v>8732</v>
      </c>
      <c r="F11" s="77"/>
      <c r="G11" s="77" t="s">
        <v>8732</v>
      </c>
      <c r="H11" s="77"/>
      <c r="I11" s="77" t="s">
        <v>8732</v>
      </c>
      <c r="J11" s="77"/>
      <c r="K11" s="77" t="s">
        <v>8732</v>
      </c>
      <c r="L11" s="77"/>
      <c r="M11" s="77" t="s">
        <v>8732</v>
      </c>
      <c r="N11" s="77"/>
      <c r="O11" s="77" t="s">
        <v>8732</v>
      </c>
      <c r="P11" s="77"/>
    </row>
    <row r="12" spans="1:16" ht="30" customHeight="1" x14ac:dyDescent="0.25">
      <c r="A12" s="47"/>
      <c r="B12" s="82"/>
      <c r="C12" s="6" t="s">
        <v>8751</v>
      </c>
      <c r="D12" s="6" t="s">
        <v>8752</v>
      </c>
      <c r="E12" s="6" t="s">
        <v>8751</v>
      </c>
      <c r="F12" s="6" t="s">
        <v>8752</v>
      </c>
      <c r="G12" s="6" t="s">
        <v>8751</v>
      </c>
      <c r="H12" s="6" t="s">
        <v>8752</v>
      </c>
      <c r="I12" s="6" t="s">
        <v>8751</v>
      </c>
      <c r="J12" s="6" t="s">
        <v>8752</v>
      </c>
      <c r="K12" s="6" t="s">
        <v>8751</v>
      </c>
      <c r="L12" s="6" t="s">
        <v>8752</v>
      </c>
      <c r="M12" s="6" t="s">
        <v>8751</v>
      </c>
      <c r="N12" s="6" t="s">
        <v>8752</v>
      </c>
      <c r="O12" s="6" t="s">
        <v>8751</v>
      </c>
      <c r="P12" s="6" t="s">
        <v>8752</v>
      </c>
    </row>
    <row r="13" spans="1:16" x14ac:dyDescent="0.25">
      <c r="A13" s="47"/>
      <c r="B13" s="27" t="s">
        <v>8750</v>
      </c>
      <c r="C13" s="33">
        <v>13.584</v>
      </c>
      <c r="D13" s="34" t="s">
        <v>8772</v>
      </c>
      <c r="E13" s="34">
        <v>8.3279999999999994</v>
      </c>
      <c r="F13" s="34" t="s">
        <v>8772</v>
      </c>
      <c r="G13" s="34">
        <v>1.9690000000000001</v>
      </c>
      <c r="H13" s="34" t="s">
        <v>8772</v>
      </c>
      <c r="I13" s="34">
        <v>7.2839231919999996</v>
      </c>
      <c r="J13" s="34" t="s">
        <v>8772</v>
      </c>
      <c r="K13" s="34">
        <v>4.9448336470000003</v>
      </c>
      <c r="L13" s="34" t="s">
        <v>8772</v>
      </c>
      <c r="M13" s="34">
        <v>26.713999999999999</v>
      </c>
      <c r="N13" s="34" t="s">
        <v>8772</v>
      </c>
      <c r="O13" s="34">
        <v>15.901999999999999</v>
      </c>
      <c r="P13" s="34" t="s">
        <v>8772</v>
      </c>
    </row>
    <row r="14" spans="1:16" x14ac:dyDescent="0.25">
      <c r="A14" s="47"/>
      <c r="B14" s="47" t="s">
        <v>8767</v>
      </c>
      <c r="C14" s="34" t="s">
        <v>8772</v>
      </c>
      <c r="D14" s="34" t="s">
        <v>8772</v>
      </c>
      <c r="E14" s="34">
        <v>3.3286600000000002</v>
      </c>
      <c r="F14" s="34">
        <v>4.6826699999999999</v>
      </c>
      <c r="G14" s="34">
        <v>1.96894E-8</v>
      </c>
      <c r="H14" s="34">
        <v>0</v>
      </c>
      <c r="I14" s="34">
        <v>5.0039800000000003</v>
      </c>
      <c r="J14" s="34">
        <v>3.6668500000000002</v>
      </c>
      <c r="K14" s="34">
        <v>0.59699999999999998</v>
      </c>
      <c r="L14" s="34">
        <v>0</v>
      </c>
      <c r="M14" s="34">
        <v>11.91391</v>
      </c>
      <c r="N14" s="34">
        <v>19.342230000000001</v>
      </c>
      <c r="O14" s="34">
        <v>3.32097</v>
      </c>
      <c r="P14" s="34">
        <v>9.4034200000000006</v>
      </c>
    </row>
    <row r="15" spans="1:16" x14ac:dyDescent="0.25">
      <c r="A15" s="47"/>
      <c r="B15" s="47" t="s">
        <v>7489</v>
      </c>
      <c r="C15" s="34">
        <v>3.42326</v>
      </c>
      <c r="D15" s="34">
        <v>5.1679999999999997E-2</v>
      </c>
      <c r="E15" s="34">
        <v>6.1979300000000004</v>
      </c>
      <c r="F15" s="34">
        <v>0.11459999999999999</v>
      </c>
      <c r="G15" s="34">
        <v>1.36849</v>
      </c>
      <c r="H15" s="34">
        <v>1.86226</v>
      </c>
      <c r="I15" s="34">
        <v>3.1320000000000001E-2</v>
      </c>
      <c r="J15" s="34">
        <v>9.2560000000000003E-2</v>
      </c>
      <c r="K15" s="34">
        <v>3.4493999999999998</v>
      </c>
      <c r="L15" s="34">
        <v>4.41E-2</v>
      </c>
      <c r="M15" s="34">
        <v>0.89817000000000002</v>
      </c>
      <c r="N15" s="34">
        <v>6.7040000000000002E-2</v>
      </c>
      <c r="O15" s="34">
        <v>5.5903200000000002</v>
      </c>
      <c r="P15" s="34">
        <v>9.5019999999999993E-2</v>
      </c>
    </row>
    <row r="16" spans="1:16" x14ac:dyDescent="0.25">
      <c r="A16" s="47"/>
      <c r="B16" s="47" t="s">
        <v>4385</v>
      </c>
      <c r="C16" s="34">
        <v>1.8862399999999999</v>
      </c>
      <c r="D16" s="34">
        <v>0.28186</v>
      </c>
      <c r="E16" s="34">
        <v>2.4609999999999999</v>
      </c>
      <c r="F16" s="34">
        <v>7.7029100000000001</v>
      </c>
      <c r="G16" s="34">
        <v>1.54745</v>
      </c>
      <c r="H16" s="34">
        <v>1.7882899999999999</v>
      </c>
      <c r="I16" s="34">
        <v>0.48692000000000002</v>
      </c>
      <c r="J16" s="34">
        <v>4.3510600000000004</v>
      </c>
      <c r="K16" s="34">
        <v>1.5</v>
      </c>
      <c r="L16" s="34">
        <v>0</v>
      </c>
      <c r="M16" s="34">
        <v>0.58701000000000003</v>
      </c>
      <c r="N16" s="34">
        <v>0.36564999999999998</v>
      </c>
      <c r="O16" s="34">
        <v>2.6916000000000002</v>
      </c>
      <c r="P16" s="34">
        <v>0.51824999999999999</v>
      </c>
    </row>
    <row r="17" spans="2:16" x14ac:dyDescent="0.25">
      <c r="B17" s="47" t="s">
        <v>307</v>
      </c>
      <c r="C17" s="34">
        <v>1.8862399999999999</v>
      </c>
      <c r="D17" s="34">
        <v>0.28186</v>
      </c>
      <c r="E17" s="34">
        <v>5.867</v>
      </c>
      <c r="F17" s="34">
        <v>7.7029100000000001</v>
      </c>
      <c r="G17" s="34">
        <v>1.54745</v>
      </c>
      <c r="H17" s="34">
        <v>1.7882899999999999</v>
      </c>
      <c r="I17" s="34">
        <v>0.48692000000000002</v>
      </c>
      <c r="J17" s="34">
        <v>4.3510600000000004</v>
      </c>
      <c r="K17" s="34">
        <v>1.4957</v>
      </c>
      <c r="L17" s="34">
        <v>0.24054</v>
      </c>
      <c r="M17" s="34">
        <v>0.58701000000000003</v>
      </c>
      <c r="N17" s="34">
        <v>0.36564999999999998</v>
      </c>
      <c r="O17" s="34">
        <v>2.6916000000000002</v>
      </c>
      <c r="P17" s="34">
        <v>0.51824999999999999</v>
      </c>
    </row>
    <row r="18" spans="2:16" x14ac:dyDescent="0.25">
      <c r="B18" s="47" t="s">
        <v>4391</v>
      </c>
      <c r="C18" s="34">
        <v>1.8862399999999999</v>
      </c>
      <c r="D18" s="34">
        <v>0.32496000000000003</v>
      </c>
      <c r="E18" s="34">
        <v>5.867</v>
      </c>
      <c r="F18" s="34">
        <v>7.6073300000000001</v>
      </c>
      <c r="G18" s="34">
        <v>1.54745</v>
      </c>
      <c r="H18" s="34">
        <v>1.7646599999999999</v>
      </c>
      <c r="I18" s="34">
        <v>0.48692000000000002</v>
      </c>
      <c r="J18" s="34">
        <v>4.27386</v>
      </c>
      <c r="K18" s="34">
        <v>8.6402999999999999</v>
      </c>
      <c r="L18" s="34">
        <v>4.66751</v>
      </c>
      <c r="M18" s="34">
        <v>0.58701000000000003</v>
      </c>
      <c r="N18" s="34">
        <v>0.42155999999999999</v>
      </c>
      <c r="O18" s="34">
        <v>2.6916000000000002</v>
      </c>
      <c r="P18" s="34">
        <v>0.59750000000000003</v>
      </c>
    </row>
    <row r="19" spans="2:16" x14ac:dyDescent="0.25">
      <c r="B19" s="47" t="s">
        <v>257</v>
      </c>
      <c r="C19" s="34" t="s">
        <v>8772</v>
      </c>
      <c r="D19" s="34" t="s">
        <v>8772</v>
      </c>
      <c r="E19" s="34">
        <v>0.66903999999999997</v>
      </c>
      <c r="F19" s="34">
        <v>3.5643799999999999</v>
      </c>
      <c r="G19" s="34">
        <v>3.3573400000000002</v>
      </c>
      <c r="H19" s="34">
        <v>3.16045</v>
      </c>
      <c r="I19" s="34">
        <v>3.4645899999999998</v>
      </c>
      <c r="J19" s="34">
        <v>9.7129499999999993</v>
      </c>
      <c r="K19" s="34">
        <v>5.5072599999999996</v>
      </c>
      <c r="L19" s="34">
        <v>3.8783799999999999</v>
      </c>
      <c r="M19" s="34" t="s">
        <v>8772</v>
      </c>
      <c r="N19" s="34" t="s">
        <v>8772</v>
      </c>
      <c r="O19" s="34" t="s">
        <v>8772</v>
      </c>
      <c r="P19" s="34" t="s">
        <v>8772</v>
      </c>
    </row>
    <row r="20" spans="2:16" x14ac:dyDescent="0.25">
      <c r="B20" s="47" t="s">
        <v>4241</v>
      </c>
      <c r="C20" s="34">
        <v>6.5460000000000004E-2</v>
      </c>
      <c r="D20" s="34">
        <v>0</v>
      </c>
      <c r="E20" s="34">
        <v>9.0688300000000002</v>
      </c>
      <c r="F20" s="34">
        <v>9.2782499999999999</v>
      </c>
      <c r="G20" s="34">
        <v>2.9426999999999999</v>
      </c>
      <c r="H20" s="34">
        <v>2.7437499999999999</v>
      </c>
      <c r="I20" s="34">
        <v>7.5055399999999999</v>
      </c>
      <c r="J20" s="34">
        <v>7.6015199999999998</v>
      </c>
      <c r="K20" s="34">
        <v>4.0977399999999999</v>
      </c>
      <c r="L20" s="34">
        <v>3.12704</v>
      </c>
      <c r="M20" s="34">
        <v>21.017389999999999</v>
      </c>
      <c r="N20" s="34">
        <v>16.323270000000001</v>
      </c>
      <c r="O20" s="34">
        <v>7.7520800000000003</v>
      </c>
      <c r="P20" s="34">
        <v>8.4630899999999993</v>
      </c>
    </row>
    <row r="21" spans="2:16" x14ac:dyDescent="0.25">
      <c r="B21" s="47" t="s">
        <v>327</v>
      </c>
      <c r="C21" s="34">
        <v>0.82159000000000004</v>
      </c>
      <c r="D21" s="34">
        <v>0</v>
      </c>
      <c r="E21" s="34">
        <v>8.3280700000000002E-10</v>
      </c>
      <c r="F21" s="34">
        <v>0</v>
      </c>
      <c r="G21" s="34">
        <v>0.17297000000000001</v>
      </c>
      <c r="H21" s="34">
        <v>0</v>
      </c>
      <c r="I21" s="34">
        <v>5.8189599999999997</v>
      </c>
      <c r="J21" s="34">
        <v>0</v>
      </c>
      <c r="K21" s="34">
        <v>1.4579999999999999E-2</v>
      </c>
      <c r="L21" s="34">
        <v>0</v>
      </c>
      <c r="M21" s="34">
        <v>2.6714199999999999E-9</v>
      </c>
      <c r="N21" s="34">
        <v>0</v>
      </c>
      <c r="O21" s="34">
        <v>0.65546000000000004</v>
      </c>
      <c r="P21" s="34">
        <v>0</v>
      </c>
    </row>
    <row r="22" spans="2:16" x14ac:dyDescent="0.25">
      <c r="B22" s="47" t="s">
        <v>4395</v>
      </c>
      <c r="C22" s="34">
        <v>1.02932</v>
      </c>
      <c r="D22" s="34">
        <v>0</v>
      </c>
      <c r="E22" s="34">
        <v>2.3985400000000001</v>
      </c>
      <c r="F22" s="34">
        <v>0</v>
      </c>
      <c r="G22" s="34">
        <v>0.22789999999999999</v>
      </c>
      <c r="H22" s="34">
        <v>0</v>
      </c>
      <c r="I22" s="34">
        <v>0.9052</v>
      </c>
      <c r="J22" s="34">
        <v>0</v>
      </c>
      <c r="K22" s="34">
        <v>1.42638</v>
      </c>
      <c r="L22" s="34">
        <v>0</v>
      </c>
      <c r="M22" s="34">
        <v>0.53893000000000002</v>
      </c>
      <c r="N22" s="34">
        <v>0</v>
      </c>
      <c r="O22" s="34">
        <v>1.9741200000000001</v>
      </c>
      <c r="P22" s="34">
        <v>0</v>
      </c>
    </row>
    <row r="23" spans="2:16" x14ac:dyDescent="0.25">
      <c r="B23" s="47" t="s">
        <v>335</v>
      </c>
      <c r="C23" s="34">
        <v>1.5573999999999999</v>
      </c>
      <c r="D23" s="34">
        <v>0</v>
      </c>
      <c r="E23" s="34">
        <v>3.7727400000000002</v>
      </c>
      <c r="F23" s="34">
        <v>0</v>
      </c>
      <c r="G23" s="34">
        <v>0.19078000000000001</v>
      </c>
      <c r="H23" s="34">
        <v>0</v>
      </c>
      <c r="I23" s="34">
        <v>0.55976000000000004</v>
      </c>
      <c r="J23" s="34">
        <v>4.4930300000000001</v>
      </c>
      <c r="K23" s="34">
        <v>1.9851300000000001</v>
      </c>
      <c r="L23" s="34">
        <v>0</v>
      </c>
      <c r="M23" s="34">
        <v>0.33788000000000001</v>
      </c>
      <c r="N23" s="34">
        <v>0</v>
      </c>
      <c r="O23" s="34">
        <v>2.9337</v>
      </c>
      <c r="P23" s="34">
        <v>0</v>
      </c>
    </row>
    <row r="24" spans="2:16" x14ac:dyDescent="0.25">
      <c r="B24" s="47" t="s">
        <v>2391</v>
      </c>
      <c r="C24" s="34">
        <v>0.71825000000000006</v>
      </c>
      <c r="D24" s="34">
        <v>0</v>
      </c>
      <c r="E24" s="34">
        <v>1.7889299999999999</v>
      </c>
      <c r="F24" s="34">
        <v>0</v>
      </c>
      <c r="G24" s="34">
        <v>5.8569999999999997E-2</v>
      </c>
      <c r="H24" s="34">
        <v>0</v>
      </c>
      <c r="I24" s="34">
        <v>0.17097999999999999</v>
      </c>
      <c r="J24" s="34">
        <v>2.15042</v>
      </c>
      <c r="K24" s="34">
        <v>0.90437999999999996</v>
      </c>
      <c r="L24" s="34">
        <v>0</v>
      </c>
      <c r="M24" s="34">
        <v>9.0130000000000002E-2</v>
      </c>
      <c r="N24" s="34">
        <v>0</v>
      </c>
      <c r="O24" s="34">
        <v>1.36985</v>
      </c>
      <c r="P24" s="34">
        <v>0</v>
      </c>
    </row>
    <row r="25" spans="2:16" x14ac:dyDescent="0.25">
      <c r="B25" s="47" t="s">
        <v>886</v>
      </c>
      <c r="C25" s="34">
        <v>1.7741499999999999</v>
      </c>
      <c r="D25" s="34">
        <v>0</v>
      </c>
      <c r="E25" s="34">
        <v>3.5456699999999999</v>
      </c>
      <c r="F25" s="34">
        <v>2.6538200000000001</v>
      </c>
      <c r="G25" s="34">
        <v>0.37739</v>
      </c>
      <c r="H25" s="34">
        <v>0</v>
      </c>
      <c r="I25" s="34">
        <v>1.9433499999999999</v>
      </c>
      <c r="J25" s="34">
        <v>0.72284000000000004</v>
      </c>
      <c r="K25" s="34">
        <v>1.3764700000000001</v>
      </c>
      <c r="L25" s="34">
        <v>0</v>
      </c>
      <c r="M25" s="34">
        <v>2.4894500000000002</v>
      </c>
      <c r="N25" s="34">
        <v>0</v>
      </c>
      <c r="O25" s="34">
        <v>2.0161099999999998</v>
      </c>
      <c r="P25" s="34">
        <v>0</v>
      </c>
    </row>
    <row r="26" spans="2:16" x14ac:dyDescent="0.25">
      <c r="B26" s="47" t="s">
        <v>213</v>
      </c>
      <c r="C26" s="34">
        <v>3.1142799999999999</v>
      </c>
      <c r="D26" s="34">
        <v>1.2259</v>
      </c>
      <c r="E26" s="34">
        <v>0.35892000000000002</v>
      </c>
      <c r="F26" s="34">
        <v>0</v>
      </c>
      <c r="G26" s="34">
        <v>0.84894999999999998</v>
      </c>
      <c r="H26" s="34">
        <v>0</v>
      </c>
      <c r="I26" s="34">
        <v>0</v>
      </c>
      <c r="J26" s="34">
        <v>0</v>
      </c>
      <c r="K26" s="34">
        <v>0</v>
      </c>
      <c r="L26" s="34">
        <v>0</v>
      </c>
      <c r="M26" s="34">
        <v>1.1648000000000001</v>
      </c>
      <c r="N26" s="34">
        <v>1.2341200000000001</v>
      </c>
      <c r="O26" s="34">
        <v>2.9717899999999999</v>
      </c>
      <c r="P26" s="34">
        <v>1.7491699999999999</v>
      </c>
    </row>
    <row r="27" spans="2:16" x14ac:dyDescent="0.25">
      <c r="B27" s="47" t="s">
        <v>197</v>
      </c>
      <c r="C27" s="34">
        <v>4.6964199999999998</v>
      </c>
      <c r="D27" s="34">
        <v>7.91568</v>
      </c>
      <c r="E27" s="34">
        <v>4.5661199999999997</v>
      </c>
      <c r="F27" s="34">
        <v>4.7751200000000003</v>
      </c>
      <c r="G27" s="34">
        <v>0.49618000000000001</v>
      </c>
      <c r="H27" s="34">
        <v>1.4756899999999999</v>
      </c>
      <c r="I27" s="34">
        <v>1.1540299999999999</v>
      </c>
      <c r="J27" s="34">
        <v>1.2383900000000001</v>
      </c>
      <c r="K27" s="34">
        <v>2.4648400000000001</v>
      </c>
      <c r="L27" s="34">
        <v>1.15371</v>
      </c>
      <c r="M27" s="34">
        <v>7.9793200000000004</v>
      </c>
      <c r="N27" s="34">
        <v>0.37422</v>
      </c>
      <c r="O27" s="34">
        <v>3.0389499999999998</v>
      </c>
      <c r="P27" s="34">
        <v>0.53039999999999998</v>
      </c>
    </row>
    <row r="28" spans="2:16" x14ac:dyDescent="0.25">
      <c r="B28" s="47" t="s">
        <v>5405</v>
      </c>
      <c r="C28" s="34">
        <v>8.4047599999999996</v>
      </c>
      <c r="D28" s="34">
        <v>9.7755399999999995</v>
      </c>
      <c r="E28" s="34">
        <v>3.8771100000000001</v>
      </c>
      <c r="F28" s="34">
        <v>4.1361499999999998</v>
      </c>
      <c r="G28" s="34">
        <v>1.2608600000000001</v>
      </c>
      <c r="H28" s="34">
        <v>1.74421</v>
      </c>
      <c r="I28" s="34">
        <v>0.18235999999999999</v>
      </c>
      <c r="J28" s="34">
        <v>2.1429399999999998</v>
      </c>
      <c r="K28" s="34">
        <v>1.84046</v>
      </c>
      <c r="L28" s="34">
        <v>1.6744399999999999</v>
      </c>
      <c r="M28" s="34">
        <v>7.5182599999999997</v>
      </c>
      <c r="N28" s="34">
        <v>2.7871700000000001</v>
      </c>
      <c r="O28" s="34">
        <v>18.370429999999999</v>
      </c>
      <c r="P28" s="34">
        <v>15.9026</v>
      </c>
    </row>
    <row r="29" spans="2:16" x14ac:dyDescent="0.25">
      <c r="B29" s="47" t="s">
        <v>585</v>
      </c>
      <c r="C29" s="34">
        <v>8.4047599999999996</v>
      </c>
      <c r="D29" s="34">
        <v>10.04616</v>
      </c>
      <c r="E29" s="34">
        <v>3.8771100000000001</v>
      </c>
      <c r="F29" s="34">
        <v>4.7363099999999996</v>
      </c>
      <c r="G29" s="34">
        <v>1.2608600000000001</v>
      </c>
      <c r="H29" s="34">
        <v>1.8926099999999999</v>
      </c>
      <c r="I29" s="34">
        <v>0.18235999999999999</v>
      </c>
      <c r="J29" s="34">
        <v>2.6276899999999999</v>
      </c>
      <c r="K29" s="34">
        <v>1.84046</v>
      </c>
      <c r="L29" s="34">
        <v>1.9053899999999999</v>
      </c>
      <c r="M29" s="34">
        <v>7.5182599999999997</v>
      </c>
      <c r="N29" s="34">
        <v>3.1382500000000002</v>
      </c>
      <c r="O29" s="34">
        <v>17.230440000000002</v>
      </c>
      <c r="P29" s="34">
        <v>16.400220000000001</v>
      </c>
    </row>
    <row r="30" spans="2:16" x14ac:dyDescent="0.25">
      <c r="B30" s="47" t="s">
        <v>581</v>
      </c>
      <c r="C30" s="34">
        <v>10.6713</v>
      </c>
      <c r="D30" s="34">
        <v>12.194380000000001</v>
      </c>
      <c r="E30" s="34">
        <v>2.2277100000000001</v>
      </c>
      <c r="F30" s="34">
        <v>4.7368300000000003</v>
      </c>
      <c r="G30" s="34">
        <v>2.28512</v>
      </c>
      <c r="H30" s="34">
        <v>2.3192599999999999</v>
      </c>
      <c r="I30" s="34">
        <v>0.18235999999999999</v>
      </c>
      <c r="J30" s="34">
        <v>4.0487599999999997</v>
      </c>
      <c r="K30" s="34">
        <v>1.84046</v>
      </c>
      <c r="L30" s="34">
        <v>2.6722000000000001</v>
      </c>
      <c r="M30" s="34">
        <v>7.4278000000000004</v>
      </c>
      <c r="N30" s="34">
        <v>5.9252200000000004</v>
      </c>
      <c r="O30" s="34">
        <v>4.9507000000000003</v>
      </c>
      <c r="P30" s="34">
        <v>4.4483199999999998</v>
      </c>
    </row>
    <row r="31" spans="2:16" x14ac:dyDescent="0.25">
      <c r="B31" s="47" t="s">
        <v>217</v>
      </c>
      <c r="C31" s="34">
        <v>1.87104</v>
      </c>
      <c r="D31" s="34">
        <v>0</v>
      </c>
      <c r="E31" s="34">
        <v>1.65161</v>
      </c>
      <c r="F31" s="34">
        <v>0</v>
      </c>
      <c r="G31" s="34">
        <v>5.2376500000000004E-4</v>
      </c>
      <c r="H31" s="34">
        <v>0</v>
      </c>
      <c r="I31" s="34">
        <v>0</v>
      </c>
      <c r="J31" s="34">
        <v>0</v>
      </c>
      <c r="K31" s="34">
        <v>0</v>
      </c>
      <c r="L31" s="34">
        <v>0</v>
      </c>
      <c r="M31" s="34">
        <v>0.19306000000000001</v>
      </c>
      <c r="N31" s="34">
        <v>0</v>
      </c>
      <c r="O31" s="34">
        <v>12.396179999999999</v>
      </c>
      <c r="P31" s="34">
        <v>11.9519</v>
      </c>
    </row>
    <row r="32" spans="2:16" x14ac:dyDescent="0.25">
      <c r="B32" s="47" t="s">
        <v>860</v>
      </c>
      <c r="C32" s="34">
        <v>4.1375999999999999</v>
      </c>
      <c r="D32" s="34">
        <v>2.14798</v>
      </c>
      <c r="E32" s="34">
        <v>2.2100000000000002E-3</v>
      </c>
      <c r="F32" s="34">
        <v>0</v>
      </c>
      <c r="G32" s="34">
        <v>1.0247900000000001</v>
      </c>
      <c r="H32" s="34">
        <v>0.42652000000000001</v>
      </c>
      <c r="I32" s="34">
        <v>7.2839999999999996E-8</v>
      </c>
      <c r="J32" s="34">
        <v>1.42065</v>
      </c>
      <c r="K32" s="34">
        <v>1.01361E-9</v>
      </c>
      <c r="L32" s="34">
        <v>0.76661000000000001</v>
      </c>
      <c r="M32" s="34">
        <v>0.1026</v>
      </c>
      <c r="N32" s="34">
        <v>2.78674</v>
      </c>
      <c r="O32" s="34">
        <v>0.11645</v>
      </c>
      <c r="P32" s="34">
        <v>0</v>
      </c>
    </row>
    <row r="33" spans="2:16" x14ac:dyDescent="0.25">
      <c r="B33" s="47" t="s">
        <v>8768</v>
      </c>
      <c r="C33" s="34">
        <v>0.28999999999999998</v>
      </c>
      <c r="D33" s="34">
        <v>0.26507999999999998</v>
      </c>
      <c r="E33" s="34">
        <v>0.4924</v>
      </c>
      <c r="F33" s="34">
        <v>0.58787</v>
      </c>
      <c r="G33" s="34">
        <v>0.18</v>
      </c>
      <c r="H33" s="34">
        <v>0.14537</v>
      </c>
      <c r="I33" s="34">
        <v>0.59</v>
      </c>
      <c r="J33" s="34">
        <v>0.47482999999999997</v>
      </c>
      <c r="K33" s="34">
        <v>0.49</v>
      </c>
      <c r="L33" s="34">
        <v>0.22622</v>
      </c>
      <c r="M33" s="34">
        <v>0.39</v>
      </c>
      <c r="N33" s="34">
        <v>0.34389999999999998</v>
      </c>
      <c r="O33" s="34">
        <v>0.51</v>
      </c>
      <c r="P33" s="34">
        <v>0.48742999999999997</v>
      </c>
    </row>
    <row r="34" spans="2:16" x14ac:dyDescent="0.25">
      <c r="B34" s="30" t="s">
        <v>315</v>
      </c>
      <c r="C34" s="34">
        <v>1.6532</v>
      </c>
      <c r="D34" s="34">
        <v>0</v>
      </c>
      <c r="E34" s="34" t="s">
        <v>8772</v>
      </c>
      <c r="F34" s="34" t="s">
        <v>8772</v>
      </c>
      <c r="G34" s="34" t="s">
        <v>8772</v>
      </c>
      <c r="H34" s="34" t="s">
        <v>8772</v>
      </c>
      <c r="I34" s="34" t="s">
        <v>8772</v>
      </c>
      <c r="J34" s="34" t="s">
        <v>8772</v>
      </c>
      <c r="K34" s="34" t="s">
        <v>8772</v>
      </c>
      <c r="L34" s="34" t="s">
        <v>8772</v>
      </c>
      <c r="M34" s="34">
        <v>3.45038</v>
      </c>
      <c r="N34" s="34">
        <v>0</v>
      </c>
      <c r="O34" s="34">
        <v>3.7300399999999998</v>
      </c>
      <c r="P34" s="34">
        <v>0</v>
      </c>
    </row>
  </sheetData>
  <mergeCells count="22">
    <mergeCell ref="C9:D9"/>
    <mergeCell ref="C10:D10"/>
    <mergeCell ref="C11:D11"/>
    <mergeCell ref="B10:B12"/>
    <mergeCell ref="E9:F9"/>
    <mergeCell ref="E10:F10"/>
    <mergeCell ref="E11:F11"/>
    <mergeCell ref="G9:H9"/>
    <mergeCell ref="G10:H10"/>
    <mergeCell ref="G11:H11"/>
    <mergeCell ref="I9:J9"/>
    <mergeCell ref="I10:J10"/>
    <mergeCell ref="I11:J11"/>
    <mergeCell ref="O9:P9"/>
    <mergeCell ref="O10:P10"/>
    <mergeCell ref="O11:P11"/>
    <mergeCell ref="K9:L9"/>
    <mergeCell ref="K10:L10"/>
    <mergeCell ref="K11:L11"/>
    <mergeCell ref="M9:N9"/>
    <mergeCell ref="M10:N10"/>
    <mergeCell ref="M11:N11"/>
  </mergeCells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/>
  </sheetViews>
  <sheetFormatPr defaultColWidth="11.42578125" defaultRowHeight="15" x14ac:dyDescent="0.25"/>
  <cols>
    <col min="2" max="2" width="11.7109375" bestFit="1" customWidth="1"/>
    <col min="3" max="3" width="16.7109375" bestFit="1" customWidth="1"/>
    <col min="4" max="4" width="18.5703125" bestFit="1" customWidth="1"/>
    <col min="5" max="5" width="23.5703125" bestFit="1" customWidth="1"/>
  </cols>
  <sheetData>
    <row r="1" spans="1:5" x14ac:dyDescent="0.25">
      <c r="A1" s="1" t="s">
        <v>8773</v>
      </c>
      <c r="B1" s="47"/>
      <c r="C1" s="47"/>
      <c r="D1" s="47"/>
      <c r="E1" s="47"/>
    </row>
    <row r="2" spans="1:5" x14ac:dyDescent="0.25">
      <c r="A2" s="47" t="s">
        <v>8774</v>
      </c>
      <c r="B2" s="47"/>
      <c r="C2" s="47"/>
      <c r="D2" s="47"/>
      <c r="E2" s="47"/>
    </row>
    <row r="5" spans="1:5" x14ac:dyDescent="0.25">
      <c r="A5" s="47"/>
      <c r="B5" s="7" t="s">
        <v>8722</v>
      </c>
      <c r="C5" s="7" t="s">
        <v>8775</v>
      </c>
      <c r="D5" s="7" t="s">
        <v>8776</v>
      </c>
      <c r="E5" s="7" t="s">
        <v>8777</v>
      </c>
    </row>
    <row r="6" spans="1:5" x14ac:dyDescent="0.25">
      <c r="A6" s="47"/>
      <c r="B6" s="83" t="s">
        <v>8731</v>
      </c>
      <c r="C6" s="83"/>
      <c r="D6" s="83" t="s">
        <v>8778</v>
      </c>
      <c r="E6" s="83"/>
    </row>
    <row r="7" spans="1:5" x14ac:dyDescent="0.25">
      <c r="A7" s="47"/>
      <c r="B7" s="5">
        <v>0.56000000000000005</v>
      </c>
      <c r="C7" s="5">
        <v>0.02</v>
      </c>
      <c r="D7" s="5">
        <v>9.7000000000000003E-2</v>
      </c>
      <c r="E7" s="5">
        <v>5.0000000000000001E-3</v>
      </c>
    </row>
    <row r="8" spans="1:5" x14ac:dyDescent="0.25">
      <c r="A8" s="47"/>
      <c r="B8" s="5">
        <v>0.75</v>
      </c>
      <c r="C8" s="5">
        <v>7.0000000000000007E-2</v>
      </c>
      <c r="D8" s="5">
        <v>0</v>
      </c>
      <c r="E8" s="5">
        <v>0</v>
      </c>
    </row>
    <row r="9" spans="1:5" x14ac:dyDescent="0.25">
      <c r="A9" s="47"/>
      <c r="B9" s="5">
        <v>0.7</v>
      </c>
      <c r="C9" s="5">
        <v>0.04</v>
      </c>
      <c r="D9" s="5">
        <v>0</v>
      </c>
      <c r="E9" s="5">
        <v>0</v>
      </c>
    </row>
    <row r="10" spans="1:5" x14ac:dyDescent="0.25">
      <c r="A10" s="47"/>
      <c r="B10" s="5">
        <v>0.71</v>
      </c>
      <c r="C10" s="5">
        <v>0.01</v>
      </c>
      <c r="D10" s="5">
        <v>5.0000000000000001E-3</v>
      </c>
      <c r="E10" s="5">
        <v>1E-3</v>
      </c>
    </row>
    <row r="11" spans="1:5" x14ac:dyDescent="0.25">
      <c r="A11" s="47"/>
      <c r="B11" s="5">
        <v>0.73</v>
      </c>
      <c r="C11" s="5">
        <v>0.04</v>
      </c>
      <c r="D11" s="5">
        <v>7.0000000000000001E-3</v>
      </c>
      <c r="E11" s="5">
        <v>0</v>
      </c>
    </row>
    <row r="12" spans="1:5" x14ac:dyDescent="0.25">
      <c r="A12" s="47"/>
      <c r="B12" s="5">
        <v>0.72</v>
      </c>
      <c r="C12" s="5">
        <v>0.02</v>
      </c>
      <c r="D12" s="5">
        <v>8.0000000000000002E-3</v>
      </c>
      <c r="E12" s="5">
        <v>0</v>
      </c>
    </row>
    <row r="13" spans="1:5" x14ac:dyDescent="0.25">
      <c r="A13" s="47"/>
      <c r="B13" s="5">
        <v>0.74</v>
      </c>
      <c r="C13" s="5">
        <v>0.05</v>
      </c>
      <c r="D13" s="5">
        <v>8.0000000000000002E-3</v>
      </c>
      <c r="E13" s="5">
        <v>1E-3</v>
      </c>
    </row>
    <row r="14" spans="1:5" x14ac:dyDescent="0.25">
      <c r="A14" s="47"/>
      <c r="B14" s="5">
        <v>0.7</v>
      </c>
      <c r="C14" s="5">
        <v>0.02</v>
      </c>
      <c r="D14" s="5">
        <v>1.7000000000000001E-2</v>
      </c>
      <c r="E14" s="5">
        <v>1E-3</v>
      </c>
    </row>
    <row r="15" spans="1:5" x14ac:dyDescent="0.25">
      <c r="A15" s="47"/>
      <c r="B15" s="5">
        <v>0.72</v>
      </c>
      <c r="C15" s="5">
        <v>7.0000000000000007E-2</v>
      </c>
      <c r="D15" s="5">
        <v>1.9E-2</v>
      </c>
      <c r="E15" s="5">
        <v>1E-3</v>
      </c>
    </row>
    <row r="16" spans="1:5" x14ac:dyDescent="0.25">
      <c r="A16" s="47"/>
      <c r="B16" s="5">
        <v>0.72</v>
      </c>
      <c r="C16" s="5">
        <v>0.02</v>
      </c>
      <c r="D16" s="5">
        <v>2.3E-2</v>
      </c>
      <c r="E16" s="5">
        <v>2E-3</v>
      </c>
    </row>
    <row r="17" spans="2:5" x14ac:dyDescent="0.25">
      <c r="B17" s="5">
        <v>0.62</v>
      </c>
      <c r="C17" s="5">
        <v>0</v>
      </c>
      <c r="D17" s="5">
        <v>4.1000000000000002E-2</v>
      </c>
      <c r="E17" s="5">
        <v>2E-3</v>
      </c>
    </row>
    <row r="18" spans="2:5" x14ac:dyDescent="0.25">
      <c r="B18" s="5">
        <v>0.59</v>
      </c>
      <c r="C18" s="5">
        <v>0.01</v>
      </c>
      <c r="D18" s="5">
        <v>6.6000000000000003E-2</v>
      </c>
      <c r="E18" s="5">
        <v>6.0000000000000001E-3</v>
      </c>
    </row>
    <row r="19" spans="2:5" x14ac:dyDescent="0.25">
      <c r="B19" s="5">
        <v>0.62</v>
      </c>
      <c r="C19" s="5">
        <v>0.06</v>
      </c>
      <c r="D19" s="5">
        <v>6.7000000000000004E-2</v>
      </c>
      <c r="E19" s="5">
        <v>2E-3</v>
      </c>
    </row>
    <row r="20" spans="2:5" x14ac:dyDescent="0.25">
      <c r="B20" s="5">
        <v>0.59</v>
      </c>
      <c r="C20" s="5">
        <v>0.02</v>
      </c>
      <c r="D20" s="5">
        <v>7.0999999999999994E-2</v>
      </c>
      <c r="E20" s="5">
        <v>5.0000000000000001E-3</v>
      </c>
    </row>
    <row r="21" spans="2:5" x14ac:dyDescent="0.25">
      <c r="B21" s="5">
        <v>0.56999999999999995</v>
      </c>
      <c r="C21" s="5">
        <v>0.02</v>
      </c>
      <c r="D21" s="5">
        <v>7.1999999999999995E-2</v>
      </c>
      <c r="E21" s="5">
        <v>5.0000000000000001E-3</v>
      </c>
    </row>
    <row r="22" spans="2:5" x14ac:dyDescent="0.25">
      <c r="B22" s="5">
        <v>0.6</v>
      </c>
      <c r="C22" s="5">
        <v>0.02</v>
      </c>
      <c r="D22" s="5">
        <v>8.1000000000000003E-2</v>
      </c>
      <c r="E22" s="5">
        <v>3.0000000000000001E-3</v>
      </c>
    </row>
    <row r="23" spans="2:5" x14ac:dyDescent="0.25">
      <c r="B23" s="5">
        <v>0.59</v>
      </c>
      <c r="C23" s="5">
        <v>0.02</v>
      </c>
      <c r="D23" s="5">
        <v>8.2000000000000003E-2</v>
      </c>
      <c r="E23" s="5">
        <v>5.0000000000000001E-3</v>
      </c>
    </row>
    <row r="24" spans="2:5" x14ac:dyDescent="0.25">
      <c r="B24" s="5">
        <v>0.59</v>
      </c>
      <c r="C24" s="5">
        <v>0.05</v>
      </c>
      <c r="D24" s="5">
        <v>9.4E-2</v>
      </c>
      <c r="E24" s="5">
        <v>1E-3</v>
      </c>
    </row>
    <row r="25" spans="2:5" x14ac:dyDescent="0.25">
      <c r="B25" s="5">
        <v>0.55000000000000004</v>
      </c>
      <c r="C25" s="5">
        <v>0.01</v>
      </c>
      <c r="D25" s="5">
        <v>0.106</v>
      </c>
      <c r="E25" s="5">
        <v>6.0000000000000001E-3</v>
      </c>
    </row>
    <row r="26" spans="2:5" x14ac:dyDescent="0.25">
      <c r="B26" s="5">
        <v>0.5</v>
      </c>
      <c r="C26" s="5">
        <v>0.03</v>
      </c>
      <c r="D26" s="5">
        <v>0.11</v>
      </c>
      <c r="E26" s="5">
        <v>6.0000000000000001E-3</v>
      </c>
    </row>
    <row r="27" spans="2:5" x14ac:dyDescent="0.25">
      <c r="B27" s="5">
        <v>0.4</v>
      </c>
      <c r="C27" s="5">
        <v>0.01</v>
      </c>
      <c r="D27" s="5">
        <v>0.13400000000000001</v>
      </c>
      <c r="E27" s="5">
        <v>1E-3</v>
      </c>
    </row>
    <row r="28" spans="2:5" x14ac:dyDescent="0.25">
      <c r="B28" s="5">
        <v>0.46</v>
      </c>
      <c r="C28" s="5">
        <v>0.09</v>
      </c>
      <c r="D28" s="5">
        <v>0.13600000000000001</v>
      </c>
      <c r="E28" s="5">
        <v>1.2E-2</v>
      </c>
    </row>
  </sheetData>
  <mergeCells count="2">
    <mergeCell ref="B6:C6"/>
    <mergeCell ref="D6:E6"/>
  </mergeCell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workbookViewId="0"/>
  </sheetViews>
  <sheetFormatPr defaultColWidth="11.42578125" defaultRowHeight="15" x14ac:dyDescent="0.25"/>
  <cols>
    <col min="7" max="7" width="20.7109375" bestFit="1" customWidth="1"/>
    <col min="9" max="9" width="20.7109375" bestFit="1" customWidth="1"/>
    <col min="11" max="11" width="33.7109375" customWidth="1"/>
    <col min="12" max="12" width="17.85546875" customWidth="1"/>
  </cols>
  <sheetData>
    <row r="1" spans="1:12" x14ac:dyDescent="0.25">
      <c r="A1" s="1" t="s">
        <v>8779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12" x14ac:dyDescent="0.25">
      <c r="A2" s="31" t="s">
        <v>8780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4" spans="1:12" x14ac:dyDescent="0.25">
      <c r="A4" s="2" t="s">
        <v>8746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</row>
    <row r="5" spans="1:12" x14ac:dyDescent="0.25">
      <c r="A5" s="3" t="s">
        <v>8770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12" x14ac:dyDescent="0.25">
      <c r="A6" s="3" t="s">
        <v>8781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</row>
    <row r="7" spans="1:12" x14ac:dyDescent="0.25">
      <c r="A7" s="3" t="s">
        <v>8760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</row>
    <row r="10" spans="1:12" x14ac:dyDescent="0.25">
      <c r="A10" s="47"/>
      <c r="B10" s="79" t="s">
        <v>8782</v>
      </c>
      <c r="C10" s="77"/>
      <c r="D10" s="77"/>
      <c r="E10" s="29"/>
      <c r="F10" s="29"/>
      <c r="G10" s="77"/>
      <c r="H10" s="77"/>
      <c r="I10" s="29"/>
      <c r="J10" s="29"/>
      <c r="K10" s="47"/>
      <c r="L10" s="47"/>
    </row>
    <row r="11" spans="1:12" x14ac:dyDescent="0.25">
      <c r="A11" s="47"/>
      <c r="B11" s="72"/>
      <c r="C11" s="77" t="s">
        <v>8751</v>
      </c>
      <c r="D11" s="77"/>
      <c r="E11" s="77" t="s">
        <v>8752</v>
      </c>
      <c r="F11" s="77"/>
      <c r="G11" s="77" t="s">
        <v>8751</v>
      </c>
      <c r="H11" s="77"/>
      <c r="I11" s="77" t="s">
        <v>8752</v>
      </c>
      <c r="J11" s="77"/>
      <c r="K11" s="72" t="s">
        <v>8730</v>
      </c>
      <c r="L11" s="47"/>
    </row>
    <row r="12" spans="1:12" x14ac:dyDescent="0.25">
      <c r="A12" s="47"/>
      <c r="B12" s="72"/>
      <c r="C12" s="7" t="s">
        <v>8722</v>
      </c>
      <c r="D12" s="65" t="s">
        <v>8783</v>
      </c>
      <c r="E12" s="7" t="s">
        <v>8722</v>
      </c>
      <c r="F12" s="65" t="s">
        <v>8783</v>
      </c>
      <c r="G12" s="7" t="s">
        <v>8726</v>
      </c>
      <c r="H12" s="65" t="s">
        <v>8783</v>
      </c>
      <c r="I12" s="7" t="s">
        <v>8726</v>
      </c>
      <c r="J12" s="65" t="s">
        <v>8783</v>
      </c>
      <c r="K12" s="72"/>
      <c r="L12" s="47"/>
    </row>
    <row r="13" spans="1:12" x14ac:dyDescent="0.25">
      <c r="A13" s="47"/>
      <c r="B13" s="73"/>
      <c r="C13" s="83" t="s">
        <v>8731</v>
      </c>
      <c r="D13" s="83"/>
      <c r="E13" s="83" t="s">
        <v>8731</v>
      </c>
      <c r="F13" s="83"/>
      <c r="G13" s="83" t="s">
        <v>8732</v>
      </c>
      <c r="H13" s="83"/>
      <c r="I13" s="83" t="s">
        <v>8732</v>
      </c>
      <c r="J13" s="83"/>
      <c r="K13" s="73"/>
      <c r="L13" s="47"/>
    </row>
    <row r="14" spans="1:12" x14ac:dyDescent="0.25">
      <c r="A14" s="47"/>
      <c r="B14" s="12" t="s">
        <v>8784</v>
      </c>
      <c r="C14" s="13">
        <v>0.63258000000000003</v>
      </c>
      <c r="D14" s="13">
        <v>9.4000000000000004E-3</v>
      </c>
      <c r="E14" s="13">
        <v>0.58577999999999997</v>
      </c>
      <c r="F14" s="13">
        <v>1.3129999999999999E-2</v>
      </c>
      <c r="G14" s="13">
        <v>6.0506200000000003</v>
      </c>
      <c r="H14" s="13">
        <v>0.15282999999999999</v>
      </c>
      <c r="I14" s="13">
        <v>5.5232000000000001</v>
      </c>
      <c r="J14" s="13">
        <v>0.23482</v>
      </c>
      <c r="K14" s="86" t="s">
        <v>8785</v>
      </c>
      <c r="L14" s="39"/>
    </row>
    <row r="15" spans="1:12" x14ac:dyDescent="0.25">
      <c r="A15" s="47"/>
      <c r="B15" s="40" t="s">
        <v>8786</v>
      </c>
      <c r="C15" s="14">
        <v>0.43723000000000001</v>
      </c>
      <c r="D15" s="14">
        <v>8.8100000000000001E-3</v>
      </c>
      <c r="E15" s="14">
        <v>0.38425999999999999</v>
      </c>
      <c r="F15" s="14">
        <v>1.14E-2</v>
      </c>
      <c r="G15" s="14">
        <v>3.1191300000000002</v>
      </c>
      <c r="H15" s="14">
        <v>0.11960999999999999</v>
      </c>
      <c r="I15" s="14">
        <v>1.9265699999999999</v>
      </c>
      <c r="J15" s="14">
        <v>0.20297000000000001</v>
      </c>
      <c r="K15" s="87"/>
      <c r="L15" s="47"/>
    </row>
    <row r="16" spans="1:12" x14ac:dyDescent="0.25">
      <c r="A16" s="47"/>
      <c r="B16" s="40" t="s">
        <v>8787</v>
      </c>
      <c r="C16" s="14">
        <v>0.56430000000000002</v>
      </c>
      <c r="D16" s="14">
        <v>1.507E-2</v>
      </c>
      <c r="E16" s="14">
        <v>0.60172999999999999</v>
      </c>
      <c r="F16" s="14">
        <v>1.601E-2</v>
      </c>
      <c r="G16" s="14">
        <v>6.8053800000000004</v>
      </c>
      <c r="H16" s="14">
        <v>0.21002000000000001</v>
      </c>
      <c r="I16" s="14">
        <v>5.8085599999999999</v>
      </c>
      <c r="J16" s="14">
        <v>0.28638999999999998</v>
      </c>
      <c r="K16" s="87"/>
      <c r="L16" s="47"/>
    </row>
    <row r="17" spans="2:11" x14ac:dyDescent="0.25">
      <c r="B17" s="40" t="s">
        <v>8788</v>
      </c>
      <c r="C17" s="14">
        <v>0.5736</v>
      </c>
      <c r="D17" s="14">
        <v>9.7800000000000005E-3</v>
      </c>
      <c r="E17" s="14">
        <v>0.59792000000000001</v>
      </c>
      <c r="F17" s="14">
        <v>1.217E-2</v>
      </c>
      <c r="G17" s="14">
        <v>6.8369799999999996</v>
      </c>
      <c r="H17" s="14">
        <v>0.17449000000000001</v>
      </c>
      <c r="I17" s="14">
        <v>5.92394</v>
      </c>
      <c r="J17" s="14">
        <v>0.22659000000000001</v>
      </c>
      <c r="K17" s="87"/>
    </row>
    <row r="18" spans="2:11" x14ac:dyDescent="0.25">
      <c r="B18" s="40" t="s">
        <v>8789</v>
      </c>
      <c r="C18" s="14">
        <v>0.52839999999999998</v>
      </c>
      <c r="D18" s="14">
        <v>9.5399999999999999E-3</v>
      </c>
      <c r="E18" s="14">
        <v>0.55386999999999997</v>
      </c>
      <c r="F18" s="14">
        <v>2.248E-2</v>
      </c>
      <c r="G18" s="14">
        <v>7.5818599999999998</v>
      </c>
      <c r="H18" s="14">
        <v>0.36096</v>
      </c>
      <c r="I18" s="14">
        <v>4.8561699999999997</v>
      </c>
      <c r="J18" s="14">
        <v>0.37080000000000002</v>
      </c>
      <c r="K18" s="87"/>
    </row>
    <row r="19" spans="2:11" x14ac:dyDescent="0.25">
      <c r="B19" s="40" t="s">
        <v>8790</v>
      </c>
      <c r="C19" s="14">
        <v>0.29966999999999999</v>
      </c>
      <c r="D19" s="14">
        <v>2.0979999999999999E-2</v>
      </c>
      <c r="E19" s="14">
        <v>0.32351000000000002</v>
      </c>
      <c r="F19" s="14">
        <v>2.256E-2</v>
      </c>
      <c r="G19" s="14">
        <v>2.5449600000000001</v>
      </c>
      <c r="H19" s="14">
        <v>0.21829999999999999</v>
      </c>
      <c r="I19" s="14">
        <v>0.85428000000000004</v>
      </c>
      <c r="J19" s="14">
        <v>0.40238000000000002</v>
      </c>
      <c r="K19" s="87"/>
    </row>
    <row r="20" spans="2:11" x14ac:dyDescent="0.25">
      <c r="B20" s="40" t="s">
        <v>8791</v>
      </c>
      <c r="C20" s="14">
        <v>0.58460000000000001</v>
      </c>
      <c r="D20" s="14">
        <v>1.175E-2</v>
      </c>
      <c r="E20" s="14">
        <v>0.53998999999999997</v>
      </c>
      <c r="F20" s="14">
        <v>1.6209999999999999E-2</v>
      </c>
      <c r="G20" s="14">
        <v>5.8475400000000004</v>
      </c>
      <c r="H20" s="14">
        <v>0.20576</v>
      </c>
      <c r="I20" s="14">
        <v>4.7041599999999999</v>
      </c>
      <c r="J20" s="14">
        <v>0.28986000000000001</v>
      </c>
      <c r="K20" s="87"/>
    </row>
    <row r="21" spans="2:11" x14ac:dyDescent="0.25">
      <c r="B21" s="40" t="s">
        <v>8792</v>
      </c>
      <c r="C21" s="14">
        <v>0.55123</v>
      </c>
      <c r="D21" s="14">
        <v>5.8500000000000002E-3</v>
      </c>
      <c r="E21" s="14">
        <v>0.59855000000000003</v>
      </c>
      <c r="F21" s="14">
        <v>1.4330000000000001E-2</v>
      </c>
      <c r="G21" s="14">
        <v>7.2819900000000004</v>
      </c>
      <c r="H21" s="14">
        <v>0.20549999999999999</v>
      </c>
      <c r="I21" s="14">
        <v>5.7516400000000001</v>
      </c>
      <c r="J21" s="14">
        <v>0.25635000000000002</v>
      </c>
      <c r="K21" s="87"/>
    </row>
    <row r="22" spans="2:11" x14ac:dyDescent="0.25">
      <c r="B22" s="40" t="s">
        <v>8793</v>
      </c>
      <c r="C22" s="14">
        <v>0.19092999999999999</v>
      </c>
      <c r="D22" s="14">
        <v>2.99E-3</v>
      </c>
      <c r="E22" s="14">
        <v>0.16012000000000001</v>
      </c>
      <c r="F22" s="14">
        <v>4.4799999999999996E-3</v>
      </c>
      <c r="G22" s="14">
        <v>3.524E-2</v>
      </c>
      <c r="H22" s="14">
        <v>8.9313700000000001E-4</v>
      </c>
      <c r="I22" s="14">
        <v>0</v>
      </c>
      <c r="J22" s="14">
        <v>0</v>
      </c>
      <c r="K22" s="87"/>
    </row>
    <row r="23" spans="2:11" x14ac:dyDescent="0.25">
      <c r="B23" s="41" t="s">
        <v>8794</v>
      </c>
      <c r="C23" s="15">
        <v>0.16647000000000001</v>
      </c>
      <c r="D23" s="15">
        <v>1.0630000000000001E-2</v>
      </c>
      <c r="E23" s="15">
        <v>0.17127000000000001</v>
      </c>
      <c r="F23" s="15">
        <v>1.2880000000000001E-2</v>
      </c>
      <c r="G23" s="15">
        <v>0.92227999999999999</v>
      </c>
      <c r="H23" s="15">
        <v>6.3109999999999999E-2</v>
      </c>
      <c r="I23" s="15">
        <v>0</v>
      </c>
      <c r="J23" s="15">
        <v>0</v>
      </c>
      <c r="K23" s="88"/>
    </row>
    <row r="24" spans="2:11" x14ac:dyDescent="0.25">
      <c r="B24" s="47" t="s">
        <v>8784</v>
      </c>
      <c r="C24" s="5">
        <v>0.63</v>
      </c>
      <c r="D24" s="5">
        <v>0.03</v>
      </c>
      <c r="E24" s="5">
        <v>0.60585</v>
      </c>
      <c r="F24" s="5">
        <v>3.1199999999999999E-2</v>
      </c>
      <c r="G24" s="5">
        <v>4.5</v>
      </c>
      <c r="H24" s="5">
        <v>0.7</v>
      </c>
      <c r="I24" s="5">
        <v>5.8820899999999998</v>
      </c>
      <c r="J24" s="5">
        <v>0.55808000000000002</v>
      </c>
      <c r="K24" s="84" t="s">
        <v>8795</v>
      </c>
    </row>
    <row r="25" spans="2:11" x14ac:dyDescent="0.25">
      <c r="B25" s="38" t="s">
        <v>8793</v>
      </c>
      <c r="C25" s="5">
        <v>0.17</v>
      </c>
      <c r="D25" s="5">
        <v>0</v>
      </c>
      <c r="E25" s="5">
        <v>0.17485000000000001</v>
      </c>
      <c r="F25" s="5">
        <v>8.5500000000000003E-3</v>
      </c>
      <c r="G25" s="5">
        <v>0.1</v>
      </c>
      <c r="H25" s="5">
        <v>0.1</v>
      </c>
      <c r="I25" s="5">
        <v>0</v>
      </c>
      <c r="J25" s="5">
        <v>0</v>
      </c>
      <c r="K25" s="85"/>
    </row>
    <row r="26" spans="2:11" x14ac:dyDescent="0.25">
      <c r="B26" s="38" t="s">
        <v>8796</v>
      </c>
      <c r="C26" s="5">
        <v>0.22</v>
      </c>
      <c r="D26" s="5">
        <v>0.01</v>
      </c>
      <c r="E26" s="5">
        <v>0.23576</v>
      </c>
      <c r="F26" s="5">
        <v>0</v>
      </c>
      <c r="G26" s="5">
        <v>1.1000000000000001</v>
      </c>
      <c r="H26" s="5">
        <v>0</v>
      </c>
      <c r="I26" s="5">
        <v>0</v>
      </c>
      <c r="J26" s="5">
        <v>0</v>
      </c>
      <c r="K26" s="85"/>
    </row>
    <row r="27" spans="2:11" x14ac:dyDescent="0.25">
      <c r="B27" s="38" t="s">
        <v>8797</v>
      </c>
      <c r="C27" s="5">
        <v>0.18</v>
      </c>
      <c r="D27" s="5">
        <v>0.02</v>
      </c>
      <c r="E27" s="5">
        <v>0.20169000000000001</v>
      </c>
      <c r="F27" s="5">
        <v>0</v>
      </c>
      <c r="G27" s="5">
        <v>0.2</v>
      </c>
      <c r="H27" s="5">
        <v>0.1</v>
      </c>
      <c r="I27" s="5">
        <v>0</v>
      </c>
      <c r="J27" s="5">
        <v>0</v>
      </c>
      <c r="K27" s="85"/>
    </row>
  </sheetData>
  <mergeCells count="14">
    <mergeCell ref="B10:B13"/>
    <mergeCell ref="C10:D10"/>
    <mergeCell ref="C11:D11"/>
    <mergeCell ref="E11:F11"/>
    <mergeCell ref="C13:D13"/>
    <mergeCell ref="E13:F13"/>
    <mergeCell ref="K24:K27"/>
    <mergeCell ref="K14:K23"/>
    <mergeCell ref="G10:H10"/>
    <mergeCell ref="G11:H11"/>
    <mergeCell ref="I11:J11"/>
    <mergeCell ref="G13:H13"/>
    <mergeCell ref="I13:J13"/>
    <mergeCell ref="K11:K13"/>
  </mergeCells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/>
  </sheetViews>
  <sheetFormatPr defaultColWidth="11.42578125" defaultRowHeight="15" x14ac:dyDescent="0.25"/>
  <cols>
    <col min="2" max="2" width="18.7109375" bestFit="1" customWidth="1"/>
    <col min="3" max="3" width="12.85546875" bestFit="1" customWidth="1"/>
    <col min="5" max="5" width="12.85546875" bestFit="1" customWidth="1"/>
    <col min="6" max="6" width="13.7109375" customWidth="1"/>
    <col min="7" max="7" width="12.85546875" bestFit="1" customWidth="1"/>
    <col min="8" max="8" width="9.5703125" bestFit="1" customWidth="1"/>
    <col min="9" max="9" width="39.7109375" customWidth="1"/>
  </cols>
  <sheetData>
    <row r="1" spans="1:9" x14ac:dyDescent="0.25">
      <c r="A1" s="1" t="s">
        <v>8798</v>
      </c>
      <c r="B1" s="47"/>
      <c r="C1" s="47"/>
      <c r="D1" s="47"/>
      <c r="E1" s="47"/>
      <c r="F1" s="47"/>
      <c r="G1" s="47"/>
      <c r="H1" s="47"/>
      <c r="I1" s="47"/>
    </row>
    <row r="3" spans="1:9" x14ac:dyDescent="0.25">
      <c r="A3" s="2" t="s">
        <v>8746</v>
      </c>
      <c r="B3" s="47"/>
      <c r="C3" s="47"/>
      <c r="D3" s="47"/>
      <c r="E3" s="47"/>
      <c r="F3" s="47"/>
      <c r="G3" s="47"/>
      <c r="H3" s="47"/>
      <c r="I3" s="47"/>
    </row>
    <row r="4" spans="1:9" x14ac:dyDescent="0.25">
      <c r="A4" s="47" t="s">
        <v>8799</v>
      </c>
      <c r="B4" s="47"/>
      <c r="C4" s="47"/>
      <c r="D4" s="47"/>
      <c r="E4" s="47"/>
      <c r="F4" s="47"/>
      <c r="G4" s="47"/>
      <c r="H4" s="47"/>
      <c r="I4" s="47"/>
    </row>
    <row r="5" spans="1:9" x14ac:dyDescent="0.25">
      <c r="A5" s="47" t="s">
        <v>8800</v>
      </c>
      <c r="B5" s="47"/>
      <c r="C5" s="47"/>
      <c r="D5" s="47"/>
      <c r="E5" s="47"/>
      <c r="F5" s="47"/>
      <c r="G5" s="47"/>
      <c r="H5" s="47"/>
      <c r="I5" s="47"/>
    </row>
    <row r="7" spans="1:9" ht="29.25" customHeight="1" x14ac:dyDescent="0.25">
      <c r="A7" s="47"/>
      <c r="B7" s="72" t="s">
        <v>8782</v>
      </c>
      <c r="C7" s="81" t="s">
        <v>8801</v>
      </c>
      <c r="D7" s="77"/>
      <c r="E7" s="81" t="s">
        <v>8802</v>
      </c>
      <c r="F7" s="77"/>
      <c r="G7" s="81" t="s">
        <v>8803</v>
      </c>
      <c r="H7" s="81"/>
      <c r="I7" s="89" t="s">
        <v>8730</v>
      </c>
    </row>
    <row r="8" spans="1:9" x14ac:dyDescent="0.25">
      <c r="A8" s="47"/>
      <c r="B8" s="72"/>
      <c r="C8" s="78" t="s">
        <v>8731</v>
      </c>
      <c r="D8" s="78"/>
      <c r="E8" s="78" t="s">
        <v>8732</v>
      </c>
      <c r="F8" s="78"/>
      <c r="G8" s="78" t="s">
        <v>8732</v>
      </c>
      <c r="H8" s="78"/>
      <c r="I8" s="89"/>
    </row>
    <row r="9" spans="1:9" x14ac:dyDescent="0.25">
      <c r="A9" s="47"/>
      <c r="B9" s="73"/>
      <c r="C9" s="4" t="s">
        <v>8751</v>
      </c>
      <c r="D9" s="4" t="s">
        <v>8752</v>
      </c>
      <c r="E9" s="4" t="s">
        <v>8751</v>
      </c>
      <c r="F9" s="4" t="s">
        <v>8752</v>
      </c>
      <c r="G9" s="4" t="s">
        <v>8751</v>
      </c>
      <c r="H9" s="4" t="s">
        <v>8752</v>
      </c>
      <c r="I9" s="90"/>
    </row>
    <row r="10" spans="1:9" x14ac:dyDescent="0.25">
      <c r="A10" s="47"/>
      <c r="B10" s="38" t="s">
        <v>8793</v>
      </c>
      <c r="C10" s="5">
        <v>0.26984000000000002</v>
      </c>
      <c r="D10" s="5">
        <v>0.38357000000000002</v>
      </c>
      <c r="E10" s="5">
        <v>2.222E-2</v>
      </c>
      <c r="F10" s="5">
        <v>1.6629999999999999E-2</v>
      </c>
      <c r="G10" s="5">
        <v>0.26135999999999998</v>
      </c>
      <c r="H10" s="5">
        <v>0.33489000000000002</v>
      </c>
      <c r="I10" s="74" t="s">
        <v>8795</v>
      </c>
    </row>
    <row r="11" spans="1:9" x14ac:dyDescent="0.25">
      <c r="A11" s="47"/>
      <c r="B11" s="38" t="s">
        <v>8796</v>
      </c>
      <c r="C11" s="5">
        <v>0.34921000000000002</v>
      </c>
      <c r="D11" s="5">
        <v>0.37955</v>
      </c>
      <c r="E11" s="5">
        <v>0.24443999999999999</v>
      </c>
      <c r="F11" s="5">
        <v>0</v>
      </c>
      <c r="G11" s="5">
        <v>0.34090999999999999</v>
      </c>
      <c r="H11" s="5">
        <v>0.32736999999999999</v>
      </c>
      <c r="I11" s="84"/>
    </row>
    <row r="12" spans="1:9" x14ac:dyDescent="0.25">
      <c r="A12" s="47"/>
      <c r="B12" s="38" t="s">
        <v>8794</v>
      </c>
      <c r="C12" s="5">
        <v>0.28571000000000002</v>
      </c>
      <c r="D12" s="5">
        <v>0.30986999999999998</v>
      </c>
      <c r="E12" s="5">
        <v>4.444E-2</v>
      </c>
      <c r="F12" s="5">
        <v>0</v>
      </c>
      <c r="G12" s="5">
        <v>0.30681999999999998</v>
      </c>
      <c r="H12" s="5">
        <v>0.28226000000000001</v>
      </c>
      <c r="I12" s="84"/>
    </row>
    <row r="13" spans="1:9" x14ac:dyDescent="0.25">
      <c r="A13" s="47"/>
      <c r="B13" s="38" t="s">
        <v>8804</v>
      </c>
      <c r="C13" s="5">
        <v>0.39888000000000001</v>
      </c>
      <c r="D13" s="5">
        <v>0.45928000000000002</v>
      </c>
      <c r="E13" s="5">
        <v>0</v>
      </c>
      <c r="F13" s="5">
        <v>9.3820000000000001E-2</v>
      </c>
      <c r="G13" s="5">
        <v>0.28860999999999998</v>
      </c>
      <c r="H13" s="5">
        <v>0.41758000000000001</v>
      </c>
      <c r="I13" s="84" t="s">
        <v>8785</v>
      </c>
    </row>
    <row r="14" spans="1:9" x14ac:dyDescent="0.25">
      <c r="A14" s="47"/>
      <c r="B14" s="38" t="s">
        <v>8788</v>
      </c>
      <c r="C14" s="5">
        <v>0.90673000000000004</v>
      </c>
      <c r="D14" s="5">
        <v>0.98304000000000002</v>
      </c>
      <c r="E14" s="5">
        <v>1.1299699999999999</v>
      </c>
      <c r="F14" s="5">
        <v>1.0073300000000001</v>
      </c>
      <c r="G14" s="5">
        <v>1.03596</v>
      </c>
      <c r="H14" s="5">
        <v>0.99646000000000001</v>
      </c>
      <c r="I14" s="84"/>
    </row>
    <row r="15" spans="1:9" x14ac:dyDescent="0.25">
      <c r="A15" s="47"/>
      <c r="B15" s="38" t="s">
        <v>8789</v>
      </c>
      <c r="C15" s="5">
        <v>0.83528000000000002</v>
      </c>
      <c r="D15" s="5">
        <v>1.0162800000000001</v>
      </c>
      <c r="E15" s="5">
        <v>1.25308</v>
      </c>
      <c r="F15" s="5">
        <v>1.2547600000000001</v>
      </c>
      <c r="G15" s="5">
        <v>0.94576000000000005</v>
      </c>
      <c r="H15" s="5">
        <v>1.0791599999999999</v>
      </c>
      <c r="I15" s="84"/>
    </row>
    <row r="16" spans="1:9" x14ac:dyDescent="0.25">
      <c r="A16" s="47"/>
      <c r="B16" s="38" t="s">
        <v>8790</v>
      </c>
      <c r="C16" s="5">
        <v>0.47371000000000002</v>
      </c>
      <c r="D16" s="5">
        <v>1.02088</v>
      </c>
      <c r="E16" s="5">
        <v>0.42060999999999998</v>
      </c>
      <c r="F16" s="5">
        <v>1.2562899999999999</v>
      </c>
      <c r="G16" s="5">
        <v>0.50555000000000005</v>
      </c>
      <c r="H16" s="5">
        <v>1.0791599999999999</v>
      </c>
      <c r="I16" s="84"/>
    </row>
    <row r="17" spans="2:9" x14ac:dyDescent="0.25">
      <c r="B17" s="38" t="s">
        <v>8793</v>
      </c>
      <c r="C17" s="5">
        <v>0.30181999999999998</v>
      </c>
      <c r="D17" s="5">
        <v>0.38357000000000002</v>
      </c>
      <c r="E17" s="5">
        <v>5.8199999999999997E-3</v>
      </c>
      <c r="F17" s="5">
        <v>1.6629999999999999E-2</v>
      </c>
      <c r="G17" s="5">
        <v>0.25096000000000002</v>
      </c>
      <c r="H17" s="5">
        <v>0.33489000000000002</v>
      </c>
      <c r="I17" s="84"/>
    </row>
    <row r="18" spans="2:9" x14ac:dyDescent="0.25">
      <c r="B18" s="38" t="s">
        <v>8794</v>
      </c>
      <c r="C18" s="5">
        <v>0.26315</v>
      </c>
      <c r="D18" s="5">
        <v>0.30986999999999998</v>
      </c>
      <c r="E18" s="5">
        <v>0.15243000000000001</v>
      </c>
      <c r="F18" s="5">
        <v>0</v>
      </c>
      <c r="G18" s="5">
        <v>0.27427000000000001</v>
      </c>
      <c r="H18" s="5">
        <v>0.28226000000000001</v>
      </c>
      <c r="I18" s="84"/>
    </row>
    <row r="19" spans="2:9" x14ac:dyDescent="0.25">
      <c r="B19" s="38" t="s">
        <v>8788</v>
      </c>
      <c r="C19" s="36">
        <v>0.90476000000000001</v>
      </c>
      <c r="D19" s="36">
        <v>0.98304000000000002</v>
      </c>
      <c r="E19" s="36">
        <v>0.97407999999999995</v>
      </c>
      <c r="F19" s="36">
        <v>1.0073300000000001</v>
      </c>
      <c r="G19" s="36">
        <v>0.90159999999999996</v>
      </c>
      <c r="H19" s="36">
        <v>0.99646000000000001</v>
      </c>
      <c r="I19" s="84" t="s">
        <v>8805</v>
      </c>
    </row>
    <row r="20" spans="2:9" x14ac:dyDescent="0.25">
      <c r="B20" s="38" t="s">
        <v>8789</v>
      </c>
      <c r="C20" s="36">
        <v>0.88888999999999996</v>
      </c>
      <c r="D20" s="36">
        <v>1.0162800000000001</v>
      </c>
      <c r="E20" s="36">
        <v>1.284</v>
      </c>
      <c r="F20" s="36">
        <v>1.2547600000000001</v>
      </c>
      <c r="G20" s="36">
        <v>1.0188600000000001</v>
      </c>
      <c r="H20" s="36">
        <v>1.0791599999999999</v>
      </c>
      <c r="I20" s="85"/>
    </row>
    <row r="21" spans="2:9" x14ac:dyDescent="0.25">
      <c r="B21" s="38" t="s">
        <v>8790</v>
      </c>
      <c r="C21" s="36">
        <v>0.46032000000000001</v>
      </c>
      <c r="D21" s="36">
        <v>1.02088</v>
      </c>
      <c r="E21" s="36">
        <v>0.28887000000000002</v>
      </c>
      <c r="F21" s="36">
        <v>1.2562899999999999</v>
      </c>
      <c r="G21" s="36">
        <v>0.41787999999999997</v>
      </c>
      <c r="H21" s="36">
        <v>1.0791599999999999</v>
      </c>
      <c r="I21" s="85"/>
    </row>
    <row r="22" spans="2:9" x14ac:dyDescent="0.25">
      <c r="B22" s="38" t="s">
        <v>8793</v>
      </c>
      <c r="C22" s="36">
        <v>0.30159000000000002</v>
      </c>
      <c r="D22" s="36">
        <v>0.38357000000000002</v>
      </c>
      <c r="E22" s="36">
        <v>4.4400000000000004E-3</v>
      </c>
      <c r="F22" s="36">
        <v>1.6629999999999999E-2</v>
      </c>
      <c r="G22" s="36">
        <v>0.24060999999999999</v>
      </c>
      <c r="H22" s="36">
        <v>0.33489000000000002</v>
      </c>
      <c r="I22" s="85"/>
    </row>
    <row r="23" spans="2:9" x14ac:dyDescent="0.25">
      <c r="B23" s="38" t="s">
        <v>8794</v>
      </c>
      <c r="C23" s="36">
        <v>0.26984000000000002</v>
      </c>
      <c r="D23" s="36">
        <v>0.30986999999999998</v>
      </c>
      <c r="E23" s="36">
        <v>0.21773999999999999</v>
      </c>
      <c r="F23" s="36">
        <v>0</v>
      </c>
      <c r="G23" s="36">
        <v>0.37986999999999999</v>
      </c>
      <c r="H23" s="36">
        <v>0.28226000000000001</v>
      </c>
      <c r="I23" s="85"/>
    </row>
  </sheetData>
  <mergeCells count="11">
    <mergeCell ref="I10:I12"/>
    <mergeCell ref="I13:I18"/>
    <mergeCell ref="I19:I23"/>
    <mergeCell ref="B7:B9"/>
    <mergeCell ref="C7:D7"/>
    <mergeCell ref="E7:F7"/>
    <mergeCell ref="C8:D8"/>
    <mergeCell ref="E8:F8"/>
    <mergeCell ref="I7:I9"/>
    <mergeCell ref="G7:H7"/>
    <mergeCell ref="G8:H8"/>
  </mergeCell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Views>
    <sheetView zoomScale="85" zoomScaleNormal="85" workbookViewId="0"/>
  </sheetViews>
  <sheetFormatPr defaultColWidth="11.42578125" defaultRowHeight="15" x14ac:dyDescent="0.25"/>
  <cols>
    <col min="6" max="6" width="13.5703125" bestFit="1" customWidth="1"/>
    <col min="7" max="7" width="12.85546875" bestFit="1" customWidth="1"/>
    <col min="11" max="11" width="13.28515625" bestFit="1" customWidth="1"/>
    <col min="15" max="15" width="13.28515625" bestFit="1" customWidth="1"/>
    <col min="19" max="19" width="13.28515625" bestFit="1" customWidth="1"/>
    <col min="23" max="23" width="13.28515625" bestFit="1" customWidth="1"/>
  </cols>
  <sheetData>
    <row r="1" spans="1:24" x14ac:dyDescent="0.25">
      <c r="A1" s="1" t="s">
        <v>8806</v>
      </c>
      <c r="B1" s="1"/>
      <c r="C1" s="1"/>
      <c r="D1" s="1"/>
      <c r="E1" s="1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</row>
    <row r="2" spans="1:24" x14ac:dyDescent="0.25">
      <c r="A2" s="31" t="s">
        <v>8807</v>
      </c>
      <c r="B2" s="31"/>
      <c r="C2" s="31"/>
      <c r="D2" s="31"/>
      <c r="E2" s="31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4" spans="1:24" x14ac:dyDescent="0.25">
      <c r="A4" s="2" t="s">
        <v>8746</v>
      </c>
      <c r="B4" s="2"/>
      <c r="C4" s="2"/>
      <c r="D4" s="2"/>
      <c r="E4" s="2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</row>
    <row r="5" spans="1:24" x14ac:dyDescent="0.25">
      <c r="A5" s="47" t="s">
        <v>8799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</row>
    <row r="6" spans="1:24" x14ac:dyDescent="0.25">
      <c r="A6" s="47" t="s">
        <v>8808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</row>
    <row r="9" spans="1:24" ht="15" customHeight="1" x14ac:dyDescent="0.25">
      <c r="A9" s="47"/>
      <c r="B9" s="45"/>
      <c r="C9" s="94" t="s">
        <v>8809</v>
      </c>
      <c r="D9" s="94"/>
      <c r="E9" s="47"/>
      <c r="F9" s="28" t="s">
        <v>8810</v>
      </c>
      <c r="G9" s="91" t="s">
        <v>8789</v>
      </c>
      <c r="H9" s="80"/>
      <c r="I9" s="37"/>
      <c r="J9" s="28"/>
      <c r="K9" s="91" t="s">
        <v>8793</v>
      </c>
      <c r="L9" s="80"/>
      <c r="M9" s="37"/>
      <c r="N9" s="28"/>
      <c r="O9" s="91" t="s">
        <v>8790</v>
      </c>
      <c r="P9" s="80"/>
      <c r="Q9" s="37"/>
      <c r="R9" s="28"/>
      <c r="S9" s="91" t="s">
        <v>8794</v>
      </c>
      <c r="T9" s="80"/>
      <c r="U9" s="37"/>
      <c r="V9" s="28"/>
      <c r="W9" s="91" t="s">
        <v>8788</v>
      </c>
      <c r="X9" s="80"/>
    </row>
    <row r="10" spans="1:24" ht="30" customHeight="1" x14ac:dyDescent="0.25">
      <c r="A10" s="47"/>
      <c r="B10" s="79" t="s">
        <v>8761</v>
      </c>
      <c r="C10" s="72" t="s">
        <v>8765</v>
      </c>
      <c r="D10" s="72"/>
      <c r="E10" s="47"/>
      <c r="F10" s="79" t="s">
        <v>8761</v>
      </c>
      <c r="G10" s="72" t="s">
        <v>8765</v>
      </c>
      <c r="H10" s="72"/>
      <c r="I10" s="47"/>
      <c r="J10" s="79" t="s">
        <v>8761</v>
      </c>
      <c r="K10" s="72" t="s">
        <v>8765</v>
      </c>
      <c r="L10" s="72"/>
      <c r="M10" s="47"/>
      <c r="N10" s="79" t="s">
        <v>8761</v>
      </c>
      <c r="O10" s="72" t="s">
        <v>8765</v>
      </c>
      <c r="P10" s="72"/>
      <c r="Q10" s="47"/>
      <c r="R10" s="79" t="s">
        <v>8761</v>
      </c>
      <c r="S10" s="72" t="s">
        <v>8765</v>
      </c>
      <c r="T10" s="72"/>
      <c r="U10" s="47"/>
      <c r="V10" s="79" t="s">
        <v>8761</v>
      </c>
      <c r="W10" s="72" t="s">
        <v>8765</v>
      </c>
      <c r="X10" s="72"/>
    </row>
    <row r="11" spans="1:24" x14ac:dyDescent="0.25">
      <c r="A11" s="47"/>
      <c r="B11" s="79"/>
      <c r="C11" s="93" t="s">
        <v>8732</v>
      </c>
      <c r="D11" s="93"/>
      <c r="E11" s="47"/>
      <c r="F11" s="79"/>
      <c r="G11" s="93" t="s">
        <v>8732</v>
      </c>
      <c r="H11" s="93"/>
      <c r="I11" s="47"/>
      <c r="J11" s="79"/>
      <c r="K11" s="93" t="s">
        <v>8732</v>
      </c>
      <c r="L11" s="93"/>
      <c r="M11" s="47"/>
      <c r="N11" s="79"/>
      <c r="O11" s="93" t="s">
        <v>8732</v>
      </c>
      <c r="P11" s="93"/>
      <c r="Q11" s="47"/>
      <c r="R11" s="79"/>
      <c r="S11" s="93" t="s">
        <v>8732</v>
      </c>
      <c r="T11" s="93"/>
      <c r="U11" s="47"/>
      <c r="V11" s="79"/>
      <c r="W11" s="93" t="s">
        <v>8732</v>
      </c>
      <c r="X11" s="93"/>
    </row>
    <row r="12" spans="1:24" x14ac:dyDescent="0.25">
      <c r="A12" s="47"/>
      <c r="B12" s="92"/>
      <c r="C12" s="8" t="s">
        <v>8751</v>
      </c>
      <c r="D12" s="8" t="s">
        <v>8752</v>
      </c>
      <c r="E12" s="47"/>
      <c r="F12" s="92"/>
      <c r="G12" s="8" t="s">
        <v>8751</v>
      </c>
      <c r="H12" s="8" t="s">
        <v>8752</v>
      </c>
      <c r="I12" s="47"/>
      <c r="J12" s="92"/>
      <c r="K12" s="8" t="s">
        <v>8751</v>
      </c>
      <c r="L12" s="8" t="s">
        <v>8752</v>
      </c>
      <c r="M12" s="47"/>
      <c r="N12" s="92"/>
      <c r="O12" s="8" t="s">
        <v>8751</v>
      </c>
      <c r="P12" s="8" t="s">
        <v>8752</v>
      </c>
      <c r="Q12" s="47"/>
      <c r="R12" s="92"/>
      <c r="S12" s="8" t="s">
        <v>8751</v>
      </c>
      <c r="T12" s="8" t="s">
        <v>8752</v>
      </c>
      <c r="U12" s="47"/>
      <c r="V12" s="92"/>
      <c r="W12" s="8" t="s">
        <v>8751</v>
      </c>
      <c r="X12" s="8" t="s">
        <v>8752</v>
      </c>
    </row>
    <row r="13" spans="1:24" x14ac:dyDescent="0.25">
      <c r="A13" s="47"/>
      <c r="B13" s="25" t="s">
        <v>3992</v>
      </c>
      <c r="C13" s="26">
        <v>1</v>
      </c>
      <c r="D13" s="26">
        <v>1</v>
      </c>
      <c r="E13" s="47"/>
      <c r="F13" s="25" t="s">
        <v>3992</v>
      </c>
      <c r="G13" s="26">
        <v>1</v>
      </c>
      <c r="H13" s="26">
        <v>1</v>
      </c>
      <c r="I13" s="47"/>
      <c r="J13" s="25" t="s">
        <v>3992</v>
      </c>
      <c r="K13" s="26">
        <v>1</v>
      </c>
      <c r="L13" s="26">
        <v>1</v>
      </c>
      <c r="M13" s="47"/>
      <c r="N13" s="25" t="s">
        <v>3992</v>
      </c>
      <c r="O13" s="26">
        <v>1</v>
      </c>
      <c r="P13" s="26">
        <v>1</v>
      </c>
      <c r="Q13" s="47"/>
      <c r="R13" s="25" t="s">
        <v>3992</v>
      </c>
      <c r="S13" s="26">
        <v>1</v>
      </c>
      <c r="T13" s="26">
        <v>1</v>
      </c>
      <c r="U13" s="47"/>
      <c r="V13" s="25" t="s">
        <v>3992</v>
      </c>
      <c r="W13" s="26">
        <v>1</v>
      </c>
      <c r="X13" s="26">
        <v>1</v>
      </c>
    </row>
    <row r="14" spans="1:24" x14ac:dyDescent="0.25">
      <c r="A14" s="47"/>
      <c r="B14" s="21" t="s">
        <v>319</v>
      </c>
      <c r="C14" s="26">
        <v>0.69155999999999995</v>
      </c>
      <c r="D14" s="26">
        <v>0.59860999999999998</v>
      </c>
      <c r="E14" s="47"/>
      <c r="F14" s="21" t="s">
        <v>319</v>
      </c>
      <c r="G14" s="26">
        <v>0.67147000000000001</v>
      </c>
      <c r="H14" s="26">
        <v>0.52524000000000004</v>
      </c>
      <c r="I14" s="47"/>
      <c r="J14" s="21" t="s">
        <v>319</v>
      </c>
      <c r="K14" s="26">
        <v>-2E-3</v>
      </c>
      <c r="L14" s="26">
        <v>0</v>
      </c>
      <c r="M14" s="47"/>
      <c r="N14" s="21" t="s">
        <v>319</v>
      </c>
      <c r="O14" s="26">
        <v>0.87519000000000002</v>
      </c>
      <c r="P14" s="26">
        <v>0.53691</v>
      </c>
      <c r="Q14" s="47"/>
      <c r="R14" s="21" t="s">
        <v>319</v>
      </c>
      <c r="S14" s="26">
        <v>0.81327000000000005</v>
      </c>
      <c r="T14" s="26">
        <v>0</v>
      </c>
      <c r="U14" s="47"/>
      <c r="V14" s="21" t="s">
        <v>319</v>
      </c>
      <c r="W14" s="26">
        <v>0.97584000000000004</v>
      </c>
      <c r="X14" s="26">
        <v>0.98640000000000005</v>
      </c>
    </row>
    <row r="15" spans="1:24" x14ac:dyDescent="0.25">
      <c r="A15" s="47"/>
      <c r="B15" s="21" t="s">
        <v>307</v>
      </c>
      <c r="C15" s="26">
        <v>0.80878000000000005</v>
      </c>
      <c r="D15" s="26">
        <v>0.80028999999999995</v>
      </c>
      <c r="E15" s="47"/>
      <c r="F15" s="21" t="s">
        <v>307</v>
      </c>
      <c r="G15" s="26">
        <v>0.62034999999999996</v>
      </c>
      <c r="H15" s="26">
        <v>0.46960000000000002</v>
      </c>
      <c r="I15" s="47"/>
      <c r="J15" s="21" t="s">
        <v>307</v>
      </c>
      <c r="K15" s="26">
        <v>0.50383999999999995</v>
      </c>
      <c r="L15" s="26">
        <v>0.58879000000000004</v>
      </c>
      <c r="M15" s="47"/>
      <c r="N15" s="21" t="s">
        <v>307</v>
      </c>
      <c r="O15" s="26">
        <v>0.86880999999999997</v>
      </c>
      <c r="P15" s="26">
        <v>0.5302</v>
      </c>
      <c r="Q15" s="47"/>
      <c r="R15" s="21" t="s">
        <v>307</v>
      </c>
      <c r="S15" s="26">
        <v>0.87261999999999995</v>
      </c>
      <c r="T15" s="26">
        <v>1.38E-2</v>
      </c>
      <c r="U15" s="47"/>
      <c r="V15" s="21" t="s">
        <v>307</v>
      </c>
      <c r="W15" s="26">
        <v>0.91103000000000001</v>
      </c>
      <c r="X15" s="26">
        <v>0.95089999999999997</v>
      </c>
    </row>
    <row r="16" spans="1:24" x14ac:dyDescent="0.25">
      <c r="A16" s="47"/>
      <c r="B16" s="21" t="s">
        <v>4391</v>
      </c>
      <c r="C16" s="26">
        <v>0.80878000000000005</v>
      </c>
      <c r="D16" s="26">
        <v>0.78956000000000004</v>
      </c>
      <c r="E16" s="47"/>
      <c r="F16" s="21" t="s">
        <v>4391</v>
      </c>
      <c r="G16" s="26">
        <v>0.62034999999999996</v>
      </c>
      <c r="H16" s="26">
        <v>0.45917999999999998</v>
      </c>
      <c r="I16" s="47"/>
      <c r="J16" s="21" t="s">
        <v>4391</v>
      </c>
      <c r="K16" s="26">
        <v>0.50383999999999995</v>
      </c>
      <c r="L16" s="26">
        <v>0.57609999999999995</v>
      </c>
      <c r="M16" s="47"/>
      <c r="N16" s="21" t="s">
        <v>4391</v>
      </c>
      <c r="O16" s="26">
        <v>0.86880999999999997</v>
      </c>
      <c r="P16" s="26">
        <v>0.51973000000000003</v>
      </c>
      <c r="Q16" s="47"/>
      <c r="R16" s="21" t="s">
        <v>4391</v>
      </c>
      <c r="S16" s="26">
        <v>1.6449999999999999E-2</v>
      </c>
      <c r="T16" s="26">
        <v>0</v>
      </c>
      <c r="U16" s="47"/>
      <c r="V16" s="21" t="s">
        <v>4391</v>
      </c>
      <c r="W16" s="26">
        <v>0.91103000000000001</v>
      </c>
      <c r="X16" s="26">
        <v>0.93955999999999995</v>
      </c>
    </row>
    <row r="17" spans="2:24" x14ac:dyDescent="0.25">
      <c r="B17" s="21" t="s">
        <v>1771</v>
      </c>
      <c r="C17" s="26">
        <v>1.6746300000000001</v>
      </c>
      <c r="D17" s="26">
        <v>1.68611</v>
      </c>
      <c r="E17" s="47"/>
      <c r="F17" s="21" t="s">
        <v>1771</v>
      </c>
      <c r="G17" s="26">
        <v>1.5017199999999999</v>
      </c>
      <c r="H17" s="26">
        <v>1.35876</v>
      </c>
      <c r="I17" s="47"/>
      <c r="J17" s="21" t="s">
        <v>1771</v>
      </c>
      <c r="K17" s="26">
        <v>1.3187800000000001</v>
      </c>
      <c r="L17" s="26">
        <v>1.4538500000000001</v>
      </c>
      <c r="M17" s="47"/>
      <c r="N17" s="21" t="s">
        <v>1771</v>
      </c>
      <c r="O17" s="26">
        <v>1.72801</v>
      </c>
      <c r="P17" s="26">
        <v>1.41879</v>
      </c>
      <c r="Q17" s="47"/>
      <c r="R17" s="21" t="s">
        <v>1771</v>
      </c>
      <c r="S17" s="26">
        <v>0.92308000000000001</v>
      </c>
      <c r="T17" s="26">
        <v>1.2073799999999999</v>
      </c>
      <c r="U17" s="47"/>
      <c r="V17" s="21" t="s">
        <v>1771</v>
      </c>
      <c r="W17" s="26">
        <v>1.77789</v>
      </c>
      <c r="X17" s="26">
        <v>1.8678600000000001</v>
      </c>
    </row>
    <row r="18" spans="2:24" x14ac:dyDescent="0.25">
      <c r="B18" s="21" t="s">
        <v>303</v>
      </c>
      <c r="C18" s="26">
        <v>1.5406899999999999</v>
      </c>
      <c r="D18" s="26">
        <v>1.68611</v>
      </c>
      <c r="E18" s="47"/>
      <c r="F18" s="21" t="s">
        <v>303</v>
      </c>
      <c r="G18" s="26">
        <v>1.3937900000000001</v>
      </c>
      <c r="H18" s="26">
        <v>1.35876</v>
      </c>
      <c r="I18" s="47"/>
      <c r="J18" s="21" t="s">
        <v>303</v>
      </c>
      <c r="K18" s="26">
        <v>1.16648</v>
      </c>
      <c r="L18" s="26">
        <v>1.4538500000000001</v>
      </c>
      <c r="M18" s="47"/>
      <c r="N18" s="21" t="s">
        <v>303</v>
      </c>
      <c r="O18" s="26">
        <v>1.58962</v>
      </c>
      <c r="P18" s="26">
        <v>1.41879</v>
      </c>
      <c r="Q18" s="47"/>
      <c r="R18" s="21" t="s">
        <v>303</v>
      </c>
      <c r="S18" s="26">
        <v>0.83509999999999995</v>
      </c>
      <c r="T18" s="26">
        <v>1.0675399999999999</v>
      </c>
      <c r="U18" s="47"/>
      <c r="V18" s="21" t="s">
        <v>303</v>
      </c>
      <c r="W18" s="26">
        <v>1.64455</v>
      </c>
      <c r="X18" s="26">
        <v>1.8678600000000001</v>
      </c>
    </row>
    <row r="19" spans="2:24" x14ac:dyDescent="0.25">
      <c r="B19" s="21" t="s">
        <v>257</v>
      </c>
      <c r="C19" s="26">
        <v>0.24065</v>
      </c>
      <c r="D19" s="26">
        <v>0</v>
      </c>
      <c r="E19" s="47"/>
      <c r="F19" s="21" t="s">
        <v>257</v>
      </c>
      <c r="G19" s="26">
        <v>0.13023999999999999</v>
      </c>
      <c r="H19" s="26">
        <v>0</v>
      </c>
      <c r="I19" s="47"/>
      <c r="J19" s="21" t="s">
        <v>257</v>
      </c>
      <c r="K19" s="26">
        <v>3.3939999999999998E-2</v>
      </c>
      <c r="L19" s="26">
        <v>0</v>
      </c>
      <c r="M19" s="47"/>
      <c r="N19" s="21" t="s">
        <v>257</v>
      </c>
      <c r="O19" s="26">
        <v>0.27903</v>
      </c>
      <c r="P19" s="26">
        <v>0</v>
      </c>
      <c r="Q19" s="47"/>
      <c r="R19" s="21" t="s">
        <v>257</v>
      </c>
      <c r="S19" s="26">
        <v>-8.3839999999999998E-2</v>
      </c>
      <c r="T19" s="26">
        <v>0</v>
      </c>
      <c r="U19" s="47"/>
      <c r="V19" s="21" t="s">
        <v>257</v>
      </c>
      <c r="W19" s="26">
        <v>0.30101</v>
      </c>
      <c r="X19" s="26">
        <v>0</v>
      </c>
    </row>
    <row r="20" spans="2:24" x14ac:dyDescent="0.25">
      <c r="B20" s="21" t="s">
        <v>2053</v>
      </c>
      <c r="C20" s="26">
        <v>0.28758</v>
      </c>
      <c r="D20" s="26">
        <v>0.38851999999999998</v>
      </c>
      <c r="E20" s="47"/>
      <c r="F20" s="21" t="s">
        <v>2053</v>
      </c>
      <c r="G20" s="26">
        <v>0.29897000000000001</v>
      </c>
      <c r="H20" s="26">
        <v>0.46227000000000001</v>
      </c>
      <c r="I20" s="47"/>
      <c r="J20" s="21" t="s">
        <v>2053</v>
      </c>
      <c r="K20" s="26">
        <v>0.94301000000000001</v>
      </c>
      <c r="L20" s="26">
        <v>0.98479000000000005</v>
      </c>
      <c r="M20" s="47"/>
      <c r="N20" s="21" t="s">
        <v>2053</v>
      </c>
      <c r="O20" s="26">
        <v>0.10075000000000001</v>
      </c>
      <c r="P20" s="26">
        <v>0.45054</v>
      </c>
      <c r="Q20" s="47"/>
      <c r="R20" s="21" t="s">
        <v>2053</v>
      </c>
      <c r="S20" s="26">
        <v>0.16528999999999999</v>
      </c>
      <c r="T20" s="26">
        <v>3.09687</v>
      </c>
      <c r="U20" s="47"/>
      <c r="V20" s="21" t="s">
        <v>2053</v>
      </c>
      <c r="W20" s="26">
        <v>2.4599999999999999E-3</v>
      </c>
      <c r="X20" s="26">
        <v>0</v>
      </c>
    </row>
    <row r="21" spans="2:24" x14ac:dyDescent="0.25">
      <c r="B21" s="21" t="s">
        <v>1779</v>
      </c>
      <c r="C21" s="26">
        <v>0.27549000000000001</v>
      </c>
      <c r="D21" s="26">
        <v>0.38851999999999998</v>
      </c>
      <c r="E21" s="47"/>
      <c r="F21" s="21" t="s">
        <v>1779</v>
      </c>
      <c r="G21" s="26">
        <v>9.9999999999999998E-13</v>
      </c>
      <c r="H21" s="26">
        <v>0</v>
      </c>
      <c r="I21" s="47"/>
      <c r="J21" s="21" t="s">
        <v>1779</v>
      </c>
      <c r="K21" s="26">
        <v>0.86902999999999997</v>
      </c>
      <c r="L21" s="26">
        <v>0.98479000000000005</v>
      </c>
      <c r="M21" s="47"/>
      <c r="N21" s="21" t="s">
        <v>1779</v>
      </c>
      <c r="O21" s="26">
        <v>9.1200000000000003E-2</v>
      </c>
      <c r="P21" s="26">
        <v>7.3849999999999999E-2</v>
      </c>
      <c r="Q21" s="47"/>
      <c r="R21" s="21" t="s">
        <v>1779</v>
      </c>
      <c r="S21" s="26">
        <v>0.15049000000000001</v>
      </c>
      <c r="T21" s="26">
        <v>2.7908499999999998</v>
      </c>
      <c r="U21" s="47"/>
      <c r="V21" s="21" t="s">
        <v>1779</v>
      </c>
      <c r="W21" s="26">
        <v>9.9995400000000008E-13</v>
      </c>
      <c r="X21" s="26">
        <v>3.7629999999999997E-2</v>
      </c>
    </row>
    <row r="22" spans="2:24" x14ac:dyDescent="0.25">
      <c r="B22" s="21" t="s">
        <v>335</v>
      </c>
      <c r="C22" s="26">
        <v>0.12315</v>
      </c>
      <c r="D22" s="26">
        <v>0.20856</v>
      </c>
      <c r="E22" s="47"/>
      <c r="F22" s="21" t="s">
        <v>335</v>
      </c>
      <c r="G22" s="26">
        <v>0</v>
      </c>
      <c r="H22" s="26">
        <v>0</v>
      </c>
      <c r="I22" s="47"/>
      <c r="J22" s="21" t="s">
        <v>335</v>
      </c>
      <c r="K22" s="26">
        <v>0.51431000000000004</v>
      </c>
      <c r="L22" s="26">
        <v>0.59689999999999999</v>
      </c>
      <c r="M22" s="47"/>
      <c r="N22" s="21" t="s">
        <v>335</v>
      </c>
      <c r="O22" s="26">
        <v>0</v>
      </c>
      <c r="P22" s="26">
        <v>0</v>
      </c>
      <c r="Q22" s="47"/>
      <c r="R22" s="21" t="s">
        <v>335</v>
      </c>
      <c r="S22" s="26">
        <v>6.3640000000000002E-2</v>
      </c>
      <c r="T22" s="26">
        <v>1.79576</v>
      </c>
      <c r="U22" s="47"/>
      <c r="V22" s="21" t="s">
        <v>335</v>
      </c>
      <c r="W22" s="26">
        <v>0</v>
      </c>
      <c r="X22" s="26">
        <v>0</v>
      </c>
    </row>
    <row r="23" spans="2:24" x14ac:dyDescent="0.25">
      <c r="B23" s="21" t="s">
        <v>7493</v>
      </c>
      <c r="C23" s="26">
        <v>0</v>
      </c>
      <c r="D23" s="26">
        <v>0</v>
      </c>
      <c r="E23" s="47"/>
      <c r="F23" s="21" t="s">
        <v>7493</v>
      </c>
      <c r="G23" s="26">
        <v>4.632E-2</v>
      </c>
      <c r="H23" s="26">
        <v>4.8980000000000003E-2</v>
      </c>
      <c r="I23" s="47"/>
      <c r="J23" s="21" t="s">
        <v>7493</v>
      </c>
      <c r="K23" s="26">
        <v>0</v>
      </c>
      <c r="L23" s="26">
        <v>0</v>
      </c>
      <c r="M23" s="47"/>
      <c r="N23" s="21" t="s">
        <v>7493</v>
      </c>
      <c r="O23" s="26">
        <v>2.7682299999999999E-4</v>
      </c>
      <c r="P23" s="26">
        <v>0</v>
      </c>
      <c r="Q23" s="47"/>
      <c r="R23" s="21" t="s">
        <v>7493</v>
      </c>
      <c r="S23" s="26">
        <v>0</v>
      </c>
      <c r="T23" s="26">
        <v>0</v>
      </c>
      <c r="U23" s="47"/>
      <c r="V23" s="21" t="s">
        <v>7493</v>
      </c>
      <c r="W23" s="26">
        <v>5.8749999999999997E-2</v>
      </c>
      <c r="X23" s="26">
        <v>2.8240000000000001E-2</v>
      </c>
    </row>
    <row r="24" spans="2:24" x14ac:dyDescent="0.25">
      <c r="B24" s="21" t="s">
        <v>4395</v>
      </c>
      <c r="C24" s="26">
        <v>0.15234</v>
      </c>
      <c r="D24" s="26">
        <v>0</v>
      </c>
      <c r="E24" s="47"/>
      <c r="F24" s="21" t="s">
        <v>4395</v>
      </c>
      <c r="G24" s="26">
        <v>4.632E-2</v>
      </c>
      <c r="H24" s="26">
        <v>0</v>
      </c>
      <c r="I24" s="47"/>
      <c r="J24" s="21" t="s">
        <v>4395</v>
      </c>
      <c r="K24" s="26">
        <v>0.35472999999999999</v>
      </c>
      <c r="L24" s="26">
        <v>0</v>
      </c>
      <c r="M24" s="47"/>
      <c r="N24" s="21" t="s">
        <v>4395</v>
      </c>
      <c r="O24" s="26">
        <v>9.1469999999999996E-2</v>
      </c>
      <c r="P24" s="26">
        <v>0</v>
      </c>
      <c r="Q24" s="47"/>
      <c r="R24" s="21" t="s">
        <v>4395</v>
      </c>
      <c r="S24" s="26">
        <v>8.6860000000000007E-2</v>
      </c>
      <c r="T24" s="26">
        <v>0</v>
      </c>
      <c r="U24" s="47"/>
      <c r="V24" s="21" t="s">
        <v>4395</v>
      </c>
      <c r="W24" s="26">
        <v>5.8749999999999997E-2</v>
      </c>
      <c r="X24" s="26">
        <v>0</v>
      </c>
    </row>
    <row r="25" spans="2:24" x14ac:dyDescent="0.25">
      <c r="B25" s="21" t="s">
        <v>544</v>
      </c>
      <c r="C25" s="26">
        <v>1.21E-2</v>
      </c>
      <c r="D25" s="26">
        <v>0</v>
      </c>
      <c r="E25" s="47"/>
      <c r="F25" s="21" t="s">
        <v>544</v>
      </c>
      <c r="G25" s="26">
        <v>0.29897000000000001</v>
      </c>
      <c r="H25" s="26">
        <v>0.46227000000000001</v>
      </c>
      <c r="I25" s="47"/>
      <c r="J25" s="21" t="s">
        <v>544</v>
      </c>
      <c r="K25" s="26">
        <v>7.3980000000000004E-2</v>
      </c>
      <c r="L25" s="26">
        <v>0</v>
      </c>
      <c r="M25" s="47"/>
      <c r="N25" s="21" t="s">
        <v>544</v>
      </c>
      <c r="O25" s="26">
        <v>9.5499999999999995E-3</v>
      </c>
      <c r="P25" s="26">
        <v>0.37669000000000002</v>
      </c>
      <c r="Q25" s="47"/>
      <c r="R25" s="21" t="s">
        <v>544</v>
      </c>
      <c r="S25" s="26">
        <v>1.4800000000000001E-2</v>
      </c>
      <c r="T25" s="26">
        <v>0.30602000000000001</v>
      </c>
      <c r="U25" s="47"/>
      <c r="V25" s="21" t="s">
        <v>544</v>
      </c>
      <c r="W25" s="26">
        <v>2.4599999999999999E-3</v>
      </c>
      <c r="X25" s="26">
        <v>0</v>
      </c>
    </row>
    <row r="26" spans="2:24" x14ac:dyDescent="0.25">
      <c r="B26" s="21" t="s">
        <v>327</v>
      </c>
      <c r="C26" s="26">
        <v>1.21E-2</v>
      </c>
      <c r="D26" s="26">
        <v>0</v>
      </c>
      <c r="E26" s="47"/>
      <c r="F26" s="21" t="s">
        <v>327</v>
      </c>
      <c r="G26" s="26">
        <v>0.29897000000000001</v>
      </c>
      <c r="H26" s="26">
        <v>0.46227000000000001</v>
      </c>
      <c r="I26" s="47"/>
      <c r="J26" s="21" t="s">
        <v>327</v>
      </c>
      <c r="K26" s="26">
        <v>7.3980000000000004E-2</v>
      </c>
      <c r="L26" s="26">
        <v>0</v>
      </c>
      <c r="M26" s="47"/>
      <c r="N26" s="21" t="s">
        <v>327</v>
      </c>
      <c r="O26" s="26">
        <v>9.5499999999999995E-3</v>
      </c>
      <c r="P26" s="26">
        <v>0.37669000000000002</v>
      </c>
      <c r="Q26" s="47"/>
      <c r="R26" s="21" t="s">
        <v>327</v>
      </c>
      <c r="S26" s="26">
        <v>1.4800000000000001E-2</v>
      </c>
      <c r="T26" s="26">
        <v>0.30602000000000001</v>
      </c>
      <c r="U26" s="47"/>
      <c r="V26" s="21" t="s">
        <v>327</v>
      </c>
      <c r="W26" s="26">
        <v>2.4599999999999999E-3</v>
      </c>
      <c r="X26" s="26">
        <v>0</v>
      </c>
    </row>
    <row r="27" spans="2:24" x14ac:dyDescent="0.25">
      <c r="B27" s="21" t="s">
        <v>4241</v>
      </c>
      <c r="C27" s="26">
        <v>1.06999</v>
      </c>
      <c r="D27" s="26">
        <v>1.0419799999999999</v>
      </c>
      <c r="E27" s="47"/>
      <c r="F27" s="21" t="s">
        <v>4241</v>
      </c>
      <c r="G27" s="26">
        <v>1.28172</v>
      </c>
      <c r="H27" s="26">
        <v>1.19581</v>
      </c>
      <c r="I27" s="47"/>
      <c r="J27" s="21" t="s">
        <v>4241</v>
      </c>
      <c r="K27" s="26">
        <v>0.89451999999999998</v>
      </c>
      <c r="L27" s="26">
        <v>1.04487</v>
      </c>
      <c r="M27" s="47"/>
      <c r="N27" s="21" t="s">
        <v>4241</v>
      </c>
      <c r="O27" s="26">
        <v>1.0946</v>
      </c>
      <c r="P27" s="26">
        <v>1.16703</v>
      </c>
      <c r="Q27" s="47"/>
      <c r="R27" s="21" t="s">
        <v>4241</v>
      </c>
      <c r="S27" s="26">
        <v>1.65879</v>
      </c>
      <c r="T27" s="26">
        <v>1.07342</v>
      </c>
      <c r="U27" s="47"/>
      <c r="V27" s="21" t="s">
        <v>4241</v>
      </c>
      <c r="W27" s="26">
        <v>1.1487400000000001</v>
      </c>
      <c r="X27" s="26">
        <v>1.1871499999999999</v>
      </c>
    </row>
    <row r="28" spans="2:24" x14ac:dyDescent="0.25">
      <c r="B28" s="21" t="s">
        <v>193</v>
      </c>
      <c r="C28" s="26">
        <v>0.17165</v>
      </c>
      <c r="D28" s="26">
        <v>0.23985000000000001</v>
      </c>
      <c r="E28" s="47"/>
      <c r="F28" s="21" t="s">
        <v>193</v>
      </c>
      <c r="G28" s="26">
        <v>0.20079</v>
      </c>
      <c r="H28" s="26">
        <v>0.37879000000000002</v>
      </c>
      <c r="I28" s="47"/>
      <c r="J28" s="21" t="s">
        <v>193</v>
      </c>
      <c r="K28" s="26">
        <v>0.40920000000000001</v>
      </c>
      <c r="L28" s="26">
        <v>0.67552000000000001</v>
      </c>
      <c r="M28" s="47"/>
      <c r="N28" s="21" t="s">
        <v>193</v>
      </c>
      <c r="O28" s="26">
        <v>0.34661999999999998</v>
      </c>
      <c r="P28" s="26">
        <v>0.35088999999999998</v>
      </c>
      <c r="Q28" s="47"/>
      <c r="R28" s="21" t="s">
        <v>193</v>
      </c>
      <c r="S28" s="26">
        <v>0.81061000000000005</v>
      </c>
      <c r="T28" s="26">
        <v>0.57142999999999999</v>
      </c>
      <c r="U28" s="47"/>
      <c r="V28" s="21" t="s">
        <v>193</v>
      </c>
      <c r="W28" s="26">
        <v>0.18515999999999999</v>
      </c>
      <c r="X28" s="26">
        <v>0.45716000000000001</v>
      </c>
    </row>
    <row r="29" spans="2:24" x14ac:dyDescent="0.25">
      <c r="B29" s="21" t="s">
        <v>5466</v>
      </c>
      <c r="C29" s="26">
        <v>0.17165</v>
      </c>
      <c r="D29" s="26">
        <v>0.23985000000000001</v>
      </c>
      <c r="E29" s="47"/>
      <c r="F29" s="21" t="s">
        <v>5466</v>
      </c>
      <c r="G29" s="26">
        <v>0.20079</v>
      </c>
      <c r="H29" s="26">
        <v>0.37879000000000002</v>
      </c>
      <c r="I29" s="47"/>
      <c r="J29" s="21" t="s">
        <v>5466</v>
      </c>
      <c r="K29" s="26">
        <v>0.40920000000000001</v>
      </c>
      <c r="L29" s="26">
        <v>0.67552000000000001</v>
      </c>
      <c r="M29" s="47"/>
      <c r="N29" s="21" t="s">
        <v>5466</v>
      </c>
      <c r="O29" s="26">
        <v>0.34661999999999998</v>
      </c>
      <c r="P29" s="26">
        <v>0.35088999999999998</v>
      </c>
      <c r="Q29" s="47"/>
      <c r="R29" s="21" t="s">
        <v>5466</v>
      </c>
      <c r="S29" s="26">
        <v>0.81061000000000005</v>
      </c>
      <c r="T29" s="26">
        <v>0.57142999999999999</v>
      </c>
      <c r="U29" s="47"/>
      <c r="V29" s="21" t="s">
        <v>5466</v>
      </c>
      <c r="W29" s="26">
        <v>0.18515999999999999</v>
      </c>
      <c r="X29" s="26">
        <v>0.45716000000000001</v>
      </c>
    </row>
    <row r="30" spans="2:24" x14ac:dyDescent="0.25">
      <c r="B30" s="21" t="s">
        <v>1609</v>
      </c>
      <c r="C30" s="26">
        <v>8.7720000000000006E-2</v>
      </c>
      <c r="D30" s="26">
        <v>0</v>
      </c>
      <c r="E30" s="47"/>
      <c r="F30" s="21" t="s">
        <v>1609</v>
      </c>
      <c r="G30" s="26">
        <v>0.13099</v>
      </c>
      <c r="H30" s="26">
        <v>0</v>
      </c>
      <c r="I30" s="47"/>
      <c r="J30" s="21" t="s">
        <v>1609</v>
      </c>
      <c r="K30" s="26">
        <v>3.8100000000000002E-2</v>
      </c>
      <c r="L30" s="26">
        <v>0</v>
      </c>
      <c r="M30" s="47"/>
      <c r="N30" s="21" t="s">
        <v>1609</v>
      </c>
      <c r="O30" s="26">
        <v>0.19192999999999999</v>
      </c>
      <c r="P30" s="26">
        <v>0</v>
      </c>
      <c r="Q30" s="47"/>
      <c r="R30" s="21" t="s">
        <v>1609</v>
      </c>
      <c r="S30" s="26">
        <v>0.46411999999999998</v>
      </c>
      <c r="T30" s="26">
        <v>0.23082</v>
      </c>
      <c r="U30" s="47"/>
      <c r="V30" s="21" t="s">
        <v>1609</v>
      </c>
      <c r="W30" s="26">
        <v>9.6119999999999997E-2</v>
      </c>
      <c r="X30" s="26">
        <v>0</v>
      </c>
    </row>
    <row r="31" spans="2:24" x14ac:dyDescent="0.25">
      <c r="B31" s="21" t="s">
        <v>8295</v>
      </c>
      <c r="C31" s="26">
        <v>4.7550000000000002E-2</v>
      </c>
      <c r="D31" s="26">
        <v>0</v>
      </c>
      <c r="E31" s="47"/>
      <c r="F31" s="21" t="s">
        <v>8295</v>
      </c>
      <c r="G31" s="26">
        <v>9.282E-2</v>
      </c>
      <c r="H31" s="26">
        <v>0</v>
      </c>
      <c r="I31" s="47"/>
      <c r="J31" s="21" t="s">
        <v>8295</v>
      </c>
      <c r="K31" s="26">
        <v>0</v>
      </c>
      <c r="L31" s="26">
        <v>0</v>
      </c>
      <c r="M31" s="47"/>
      <c r="N31" s="21" t="s">
        <v>8295</v>
      </c>
      <c r="O31" s="26">
        <v>0.14580000000000001</v>
      </c>
      <c r="P31" s="26">
        <v>0</v>
      </c>
      <c r="Q31" s="47"/>
      <c r="R31" s="21" t="s">
        <v>8295</v>
      </c>
      <c r="S31" s="26">
        <v>0.41921999999999998</v>
      </c>
      <c r="T31" s="26">
        <v>0.18690000000000001</v>
      </c>
      <c r="U31" s="47"/>
      <c r="V31" s="21" t="s">
        <v>8295</v>
      </c>
      <c r="W31" s="26">
        <v>5.8740000000000001E-2</v>
      </c>
      <c r="X31" s="26">
        <v>0</v>
      </c>
    </row>
    <row r="32" spans="2:24" x14ac:dyDescent="0.25">
      <c r="B32" s="21" t="s">
        <v>4337</v>
      </c>
      <c r="C32" s="26">
        <v>0</v>
      </c>
      <c r="D32" s="26">
        <v>0</v>
      </c>
      <c r="E32" s="47"/>
      <c r="F32" s="21" t="s">
        <v>4337</v>
      </c>
      <c r="G32" s="26">
        <v>0</v>
      </c>
      <c r="H32" s="26">
        <v>0</v>
      </c>
      <c r="I32" s="47"/>
      <c r="J32" s="21" t="s">
        <v>4337</v>
      </c>
      <c r="K32" s="26">
        <v>2.0899999999999998E-2</v>
      </c>
      <c r="L32" s="26">
        <v>0</v>
      </c>
      <c r="M32" s="47"/>
      <c r="N32" s="21" t="s">
        <v>4337</v>
      </c>
      <c r="O32" s="26">
        <v>0</v>
      </c>
      <c r="P32" s="26">
        <v>0</v>
      </c>
      <c r="Q32" s="47"/>
      <c r="R32" s="21" t="s">
        <v>4337</v>
      </c>
      <c r="S32" s="26">
        <v>0</v>
      </c>
      <c r="T32" s="26">
        <v>0</v>
      </c>
      <c r="U32" s="47"/>
      <c r="V32" s="21" t="s">
        <v>4337</v>
      </c>
      <c r="W32" s="26">
        <v>0</v>
      </c>
      <c r="X32" s="26">
        <v>0</v>
      </c>
    </row>
    <row r="33" spans="2:24" x14ac:dyDescent="0.25">
      <c r="B33" s="21" t="s">
        <v>5405</v>
      </c>
      <c r="C33" s="26">
        <v>7.9939999999999997E-2</v>
      </c>
      <c r="D33" s="26">
        <v>0.16808999999999999</v>
      </c>
      <c r="E33" s="47"/>
      <c r="F33" s="21" t="s">
        <v>5405</v>
      </c>
      <c r="G33" s="26">
        <v>0.12129</v>
      </c>
      <c r="H33" s="26">
        <v>0.30914000000000003</v>
      </c>
      <c r="I33" s="47"/>
      <c r="J33" s="21" t="s">
        <v>5405</v>
      </c>
      <c r="K33" s="26">
        <v>0.29247000000000001</v>
      </c>
      <c r="L33" s="26">
        <v>0.59072999999999998</v>
      </c>
      <c r="M33" s="47"/>
      <c r="N33" s="21" t="s">
        <v>5405</v>
      </c>
      <c r="O33" s="26">
        <v>0.24052999999999999</v>
      </c>
      <c r="P33" s="26">
        <v>0.28088000000000002</v>
      </c>
      <c r="Q33" s="47"/>
      <c r="R33" s="21" t="s">
        <v>5405</v>
      </c>
      <c r="S33" s="26">
        <v>0.74314999999999998</v>
      </c>
      <c r="T33" s="26">
        <v>0.47919</v>
      </c>
      <c r="U33" s="47"/>
      <c r="V33" s="21" t="s">
        <v>5405</v>
      </c>
      <c r="W33" s="26">
        <v>9.264E-2</v>
      </c>
      <c r="X33" s="26">
        <v>0.38133</v>
      </c>
    </row>
    <row r="34" spans="2:24" x14ac:dyDescent="0.25">
      <c r="B34" s="21" t="s">
        <v>585</v>
      </c>
      <c r="C34" s="26">
        <v>0.10949</v>
      </c>
      <c r="D34" s="26">
        <v>0.23549</v>
      </c>
      <c r="E34" s="47"/>
      <c r="F34" s="21" t="s">
        <v>585</v>
      </c>
      <c r="G34" s="26">
        <v>0.14723</v>
      </c>
      <c r="H34" s="26">
        <v>0.37456</v>
      </c>
      <c r="I34" s="47"/>
      <c r="J34" s="21" t="s">
        <v>585</v>
      </c>
      <c r="K34" s="26">
        <v>0.33098</v>
      </c>
      <c r="L34" s="26">
        <v>0.67037000000000002</v>
      </c>
      <c r="M34" s="47"/>
      <c r="N34" s="21" t="s">
        <v>585</v>
      </c>
      <c r="O34" s="26">
        <v>0.27549000000000001</v>
      </c>
      <c r="P34" s="26">
        <v>0.34664</v>
      </c>
      <c r="Q34" s="47"/>
      <c r="R34" s="21" t="s">
        <v>585</v>
      </c>
      <c r="S34" s="26">
        <v>0.76488999999999996</v>
      </c>
      <c r="T34" s="26">
        <v>0.56583000000000006</v>
      </c>
      <c r="U34" s="47"/>
      <c r="V34" s="21" t="s">
        <v>585</v>
      </c>
      <c r="W34" s="26">
        <v>0.12357</v>
      </c>
      <c r="X34" s="26">
        <v>0.45255000000000001</v>
      </c>
    </row>
    <row r="35" spans="2:24" x14ac:dyDescent="0.25">
      <c r="B35" s="21" t="s">
        <v>581</v>
      </c>
      <c r="C35" s="26">
        <v>0.10219</v>
      </c>
      <c r="D35" s="26">
        <v>0.23555000000000001</v>
      </c>
      <c r="E35" s="47"/>
      <c r="F35" s="21" t="s">
        <v>581</v>
      </c>
      <c r="G35" s="26">
        <v>0.13281000000000001</v>
      </c>
      <c r="H35" s="26">
        <v>0.37461</v>
      </c>
      <c r="I35" s="47"/>
      <c r="J35" s="21" t="s">
        <v>581</v>
      </c>
      <c r="K35" s="26">
        <v>0.57226999999999995</v>
      </c>
      <c r="L35" s="26">
        <v>1.0226</v>
      </c>
      <c r="M35" s="47"/>
      <c r="N35" s="21" t="s">
        <v>581</v>
      </c>
      <c r="O35" s="26">
        <v>0.30760999999999999</v>
      </c>
      <c r="P35" s="26">
        <v>0.34670000000000001</v>
      </c>
      <c r="Q35" s="47"/>
      <c r="R35" s="21" t="s">
        <v>581</v>
      </c>
      <c r="S35" s="26">
        <v>1.0573999999999999</v>
      </c>
      <c r="T35" s="26">
        <v>0.81415999999999999</v>
      </c>
      <c r="U35" s="47"/>
      <c r="V35" s="21" t="s">
        <v>581</v>
      </c>
      <c r="W35" s="26">
        <v>8.1019999999999995E-2</v>
      </c>
      <c r="X35" s="26">
        <v>0.45261000000000001</v>
      </c>
    </row>
    <row r="36" spans="2:24" x14ac:dyDescent="0.25">
      <c r="B36" s="21" t="s">
        <v>860</v>
      </c>
      <c r="C36" s="26">
        <v>4.5395500000000003E-5</v>
      </c>
      <c r="D36" s="26">
        <v>0</v>
      </c>
      <c r="E36" s="47"/>
      <c r="F36" s="21" t="s">
        <v>860</v>
      </c>
      <c r="G36" s="26">
        <v>1.57943E-7</v>
      </c>
      <c r="H36" s="26">
        <v>0</v>
      </c>
      <c r="I36" s="47"/>
      <c r="J36" s="21" t="s">
        <v>860</v>
      </c>
      <c r="K36" s="26">
        <v>0.27199000000000001</v>
      </c>
      <c r="L36" s="26">
        <v>0.35215999999999997</v>
      </c>
      <c r="M36" s="47"/>
      <c r="N36" s="21" t="s">
        <v>860</v>
      </c>
      <c r="O36" s="26">
        <v>5.7459999999999997E-2</v>
      </c>
      <c r="P36" s="26">
        <v>0</v>
      </c>
      <c r="Q36" s="47"/>
      <c r="R36" s="21" t="s">
        <v>860</v>
      </c>
      <c r="S36" s="26">
        <v>0.30075000000000002</v>
      </c>
      <c r="T36" s="26">
        <v>0.24826999999999999</v>
      </c>
      <c r="U36" s="47"/>
      <c r="V36" s="21" t="s">
        <v>860</v>
      </c>
      <c r="W36" s="26">
        <v>9.9729100000000006E-13</v>
      </c>
      <c r="X36" s="26">
        <v>0</v>
      </c>
    </row>
    <row r="37" spans="2:24" x14ac:dyDescent="0.25">
      <c r="B37" s="21" t="s">
        <v>1529</v>
      </c>
      <c r="C37" s="26">
        <v>4.5395500000000003E-5</v>
      </c>
      <c r="D37" s="26">
        <v>5.8887900000000002E-5</v>
      </c>
      <c r="E37" s="47"/>
      <c r="F37" s="21" t="s">
        <v>1529</v>
      </c>
      <c r="G37" s="26">
        <v>1.57943E-7</v>
      </c>
      <c r="H37" s="26">
        <v>5.7158799999999999E-5</v>
      </c>
      <c r="I37" s="47"/>
      <c r="J37" s="21" t="s">
        <v>1529</v>
      </c>
      <c r="K37" s="26">
        <v>0.27199000000000001</v>
      </c>
      <c r="L37" s="26">
        <v>0.35222999999999999</v>
      </c>
      <c r="M37" s="47"/>
      <c r="N37" s="21" t="s">
        <v>1529</v>
      </c>
      <c r="O37" s="26">
        <v>5.7459999999999997E-2</v>
      </c>
      <c r="P37" s="26">
        <v>5.7454999999999998E-5</v>
      </c>
      <c r="Q37" s="47"/>
      <c r="R37" s="21" t="s">
        <v>1529</v>
      </c>
      <c r="S37" s="26">
        <v>0.30075000000000002</v>
      </c>
      <c r="T37" s="26">
        <v>0.24833</v>
      </c>
      <c r="U37" s="47"/>
      <c r="V37" s="21" t="s">
        <v>1529</v>
      </c>
      <c r="W37" s="26">
        <v>9.9729100000000006E-13</v>
      </c>
      <c r="X37" s="26">
        <v>6.2231700000000003E-5</v>
      </c>
    </row>
    <row r="38" spans="2:24" x14ac:dyDescent="0.25">
      <c r="B38" s="21" t="s">
        <v>1787</v>
      </c>
      <c r="C38" s="26">
        <v>5.1000000000000004E-3</v>
      </c>
      <c r="D38" s="26">
        <v>0</v>
      </c>
      <c r="E38" s="47"/>
      <c r="F38" s="21" t="s">
        <v>1787</v>
      </c>
      <c r="G38" s="26">
        <v>8.0240400000000004E-7</v>
      </c>
      <c r="H38" s="26">
        <v>0</v>
      </c>
      <c r="I38" s="47"/>
      <c r="J38" s="21" t="s">
        <v>1787</v>
      </c>
      <c r="K38" s="26">
        <v>1.6590000000000001E-2</v>
      </c>
      <c r="L38" s="26">
        <v>0</v>
      </c>
      <c r="M38" s="47"/>
      <c r="N38" s="21" t="s">
        <v>1787</v>
      </c>
      <c r="O38" s="26">
        <v>8.1869799999999997E-4</v>
      </c>
      <c r="P38" s="26">
        <v>0</v>
      </c>
      <c r="Q38" s="47"/>
      <c r="R38" s="21" t="s">
        <v>1787</v>
      </c>
      <c r="S38" s="26">
        <v>6.0769999999999996E-6</v>
      </c>
      <c r="T38" s="26">
        <v>0</v>
      </c>
      <c r="U38" s="47"/>
      <c r="V38" s="21" t="s">
        <v>1787</v>
      </c>
      <c r="W38" s="26">
        <v>3.4399999999999999E-3</v>
      </c>
      <c r="X38" s="26">
        <v>0</v>
      </c>
    </row>
    <row r="39" spans="2:24" x14ac:dyDescent="0.25">
      <c r="B39" s="21" t="s">
        <v>217</v>
      </c>
      <c r="C39" s="26">
        <v>2.2499999999999998E-3</v>
      </c>
      <c r="D39" s="26">
        <v>0</v>
      </c>
      <c r="E39" s="47"/>
      <c r="F39" s="21" t="s">
        <v>217</v>
      </c>
      <c r="G39" s="26">
        <v>1.4420000000000001E-2</v>
      </c>
      <c r="H39" s="26">
        <v>0</v>
      </c>
      <c r="I39" s="47"/>
      <c r="J39" s="21" t="s">
        <v>217</v>
      </c>
      <c r="K39" s="26">
        <v>1.4109999999999999E-2</v>
      </c>
      <c r="L39" s="26">
        <v>0</v>
      </c>
      <c r="M39" s="47"/>
      <c r="N39" s="21" t="s">
        <v>217</v>
      </c>
      <c r="O39" s="26">
        <v>2.453E-2</v>
      </c>
      <c r="P39" s="26">
        <v>0</v>
      </c>
      <c r="Q39" s="47"/>
      <c r="R39" s="21" t="s">
        <v>217</v>
      </c>
      <c r="S39" s="26">
        <v>8.2299999999999995E-3</v>
      </c>
      <c r="T39" s="26">
        <v>0</v>
      </c>
      <c r="U39" s="47"/>
      <c r="V39" s="21" t="s">
        <v>217</v>
      </c>
      <c r="W39" s="26">
        <v>3.9109999999999999E-2</v>
      </c>
      <c r="X39" s="26">
        <v>0</v>
      </c>
    </row>
    <row r="40" spans="2:24" x14ac:dyDescent="0.25">
      <c r="B40" s="21" t="s">
        <v>886</v>
      </c>
      <c r="C40" s="26">
        <v>0.24129</v>
      </c>
      <c r="D40" s="26">
        <v>0.29802000000000001</v>
      </c>
      <c r="E40" s="47"/>
      <c r="F40" s="21" t="s">
        <v>886</v>
      </c>
      <c r="G40" s="26">
        <v>0.23402000000000001</v>
      </c>
      <c r="H40" s="26">
        <v>0.28927000000000003</v>
      </c>
      <c r="I40" s="47"/>
      <c r="J40" s="21" t="s">
        <v>886</v>
      </c>
      <c r="K40" s="26">
        <v>0.13986999999999999</v>
      </c>
      <c r="L40" s="26">
        <v>0</v>
      </c>
      <c r="M40" s="47"/>
      <c r="N40" s="21" t="s">
        <v>886</v>
      </c>
      <c r="O40" s="26">
        <v>0.24712999999999999</v>
      </c>
      <c r="P40" s="26">
        <v>0.29076999999999997</v>
      </c>
      <c r="Q40" s="47"/>
      <c r="R40" s="21" t="s">
        <v>886</v>
      </c>
      <c r="S40" s="26">
        <v>0.19908999999999999</v>
      </c>
      <c r="T40" s="26">
        <v>0</v>
      </c>
      <c r="U40" s="47"/>
      <c r="V40" s="21" t="s">
        <v>886</v>
      </c>
      <c r="W40" s="26">
        <v>0.29159000000000002</v>
      </c>
      <c r="X40" s="26">
        <v>0.31494</v>
      </c>
    </row>
    <row r="41" spans="2:24" x14ac:dyDescent="0.25">
      <c r="B41" s="21" t="s">
        <v>213</v>
      </c>
      <c r="C41" s="26">
        <v>1.7700000000000001E-3</v>
      </c>
      <c r="D41" s="26">
        <v>0</v>
      </c>
      <c r="E41" s="47"/>
      <c r="F41" s="21" t="s">
        <v>213</v>
      </c>
      <c r="G41" s="26">
        <v>2.0160000000000001E-2</v>
      </c>
      <c r="H41" s="26">
        <v>0</v>
      </c>
      <c r="I41" s="47"/>
      <c r="J41" s="21" t="s">
        <v>213</v>
      </c>
      <c r="K41" s="26">
        <v>8.6819999999999994E-2</v>
      </c>
      <c r="L41" s="26">
        <v>0</v>
      </c>
      <c r="M41" s="47"/>
      <c r="N41" s="21" t="s">
        <v>213</v>
      </c>
      <c r="O41" s="26">
        <v>5.7099999999999998E-3</v>
      </c>
      <c r="P41" s="26">
        <v>0</v>
      </c>
      <c r="Q41" s="47"/>
      <c r="R41" s="21" t="s">
        <v>213</v>
      </c>
      <c r="S41" s="26">
        <v>0.32489000000000001</v>
      </c>
      <c r="T41" s="26">
        <v>0</v>
      </c>
      <c r="U41" s="47"/>
      <c r="V41" s="21" t="s">
        <v>213</v>
      </c>
      <c r="W41" s="26">
        <v>1.0749999999999999E-2</v>
      </c>
      <c r="X41" s="26">
        <v>0</v>
      </c>
    </row>
    <row r="42" spans="2:24" x14ac:dyDescent="0.25">
      <c r="B42" s="21" t="s">
        <v>7521</v>
      </c>
      <c r="C42" s="26">
        <v>0.68572</v>
      </c>
      <c r="D42" s="26">
        <v>0.78325999999999996</v>
      </c>
      <c r="E42" s="47"/>
      <c r="F42" s="21" t="s">
        <v>7521</v>
      </c>
      <c r="G42" s="26">
        <v>0.88009000000000004</v>
      </c>
      <c r="H42" s="26">
        <v>0.79871999999999999</v>
      </c>
      <c r="I42" s="47"/>
      <c r="J42" s="21" t="s">
        <v>7521</v>
      </c>
      <c r="K42" s="26">
        <v>0</v>
      </c>
      <c r="L42" s="26">
        <v>0</v>
      </c>
      <c r="M42" s="47"/>
      <c r="N42" s="21" t="s">
        <v>7521</v>
      </c>
      <c r="O42" s="26">
        <v>0.45577000000000001</v>
      </c>
      <c r="P42" s="26">
        <v>0.79773000000000005</v>
      </c>
      <c r="Q42" s="47"/>
      <c r="R42" s="21" t="s">
        <v>7521</v>
      </c>
      <c r="S42" s="26">
        <v>0.38655</v>
      </c>
      <c r="T42" s="26">
        <v>0</v>
      </c>
      <c r="U42" s="47"/>
      <c r="V42" s="21" t="s">
        <v>7521</v>
      </c>
      <c r="W42" s="26">
        <v>0.74211000000000005</v>
      </c>
      <c r="X42" s="26">
        <v>0.71006000000000002</v>
      </c>
    </row>
    <row r="43" spans="2:24" x14ac:dyDescent="0.25">
      <c r="B43" s="21" t="s">
        <v>459</v>
      </c>
      <c r="C43" s="26">
        <v>0</v>
      </c>
      <c r="D43" s="26">
        <v>0</v>
      </c>
      <c r="E43" s="47"/>
      <c r="F43" s="21" t="s">
        <v>459</v>
      </c>
      <c r="G43" s="26">
        <v>0</v>
      </c>
      <c r="H43" s="26">
        <v>0</v>
      </c>
      <c r="I43" s="47"/>
      <c r="J43" s="21" t="s">
        <v>459</v>
      </c>
      <c r="K43" s="26">
        <v>3.6970000000000003E-2</v>
      </c>
      <c r="L43" s="26">
        <v>5.1000000000000004E-3</v>
      </c>
      <c r="M43" s="47"/>
      <c r="N43" s="21" t="s">
        <v>459</v>
      </c>
      <c r="O43" s="26">
        <v>0</v>
      </c>
      <c r="P43" s="26">
        <v>0</v>
      </c>
      <c r="Q43" s="47"/>
      <c r="R43" s="21" t="s">
        <v>459</v>
      </c>
      <c r="S43" s="26">
        <v>0</v>
      </c>
      <c r="T43" s="26">
        <v>5.0169999999999999E-2</v>
      </c>
      <c r="U43" s="47"/>
      <c r="V43" s="21" t="s">
        <v>459</v>
      </c>
      <c r="W43" s="26">
        <v>0</v>
      </c>
      <c r="X43" s="26">
        <v>0</v>
      </c>
    </row>
    <row r="44" spans="2:24" x14ac:dyDescent="0.25">
      <c r="B44" s="21" t="s">
        <v>8767</v>
      </c>
      <c r="C44" s="26">
        <v>0.72438000000000002</v>
      </c>
      <c r="D44" s="26">
        <v>0.82228999999999997</v>
      </c>
      <c r="E44" s="47"/>
      <c r="F44" s="21" t="s">
        <v>8767</v>
      </c>
      <c r="G44" s="26">
        <v>0.91288000000000002</v>
      </c>
      <c r="H44" s="26">
        <v>0.83658999999999994</v>
      </c>
      <c r="I44" s="47"/>
      <c r="J44" s="21" t="s">
        <v>8767</v>
      </c>
      <c r="K44" s="26">
        <v>1.337E-2</v>
      </c>
      <c r="L44" s="26">
        <v>4.1020000000000001E-2</v>
      </c>
      <c r="M44" s="47"/>
      <c r="N44" s="21" t="s">
        <v>8767</v>
      </c>
      <c r="O44" s="26">
        <v>0.50075000000000003</v>
      </c>
      <c r="P44" s="26">
        <v>0.83581000000000005</v>
      </c>
      <c r="Q44" s="47"/>
      <c r="R44" s="21" t="s">
        <v>8767</v>
      </c>
      <c r="S44" s="26">
        <v>0.41521000000000002</v>
      </c>
      <c r="T44" s="26">
        <v>0</v>
      </c>
      <c r="U44" s="47"/>
      <c r="V44" s="21" t="s">
        <v>8767</v>
      </c>
      <c r="W44" s="26">
        <v>0.78261000000000003</v>
      </c>
      <c r="X44" s="26">
        <v>0.75129999999999997</v>
      </c>
    </row>
    <row r="45" spans="2:24" x14ac:dyDescent="0.25">
      <c r="B45" s="21" t="s">
        <v>8811</v>
      </c>
      <c r="C45" s="26">
        <v>1.51057</v>
      </c>
      <c r="D45" s="26">
        <v>1.65279</v>
      </c>
      <c r="E45" s="47"/>
      <c r="F45" s="21" t="s">
        <v>8811</v>
      </c>
      <c r="G45" s="26">
        <v>1.52518</v>
      </c>
      <c r="H45" s="26">
        <v>1.7035400000000001</v>
      </c>
      <c r="I45" s="47"/>
      <c r="J45" s="21" t="s">
        <v>8811</v>
      </c>
      <c r="K45" s="26">
        <v>2.08222</v>
      </c>
      <c r="L45" s="26">
        <v>2.72437</v>
      </c>
      <c r="M45" s="47"/>
      <c r="N45" s="21" t="s">
        <v>8811</v>
      </c>
      <c r="O45" s="26">
        <v>1.6101799999999999</v>
      </c>
      <c r="P45" s="26">
        <v>1.6915100000000001</v>
      </c>
      <c r="Q45" s="47"/>
      <c r="R45" s="21" t="s">
        <v>8811</v>
      </c>
      <c r="S45" s="26">
        <v>2.99743</v>
      </c>
      <c r="T45" s="26">
        <v>4.56778</v>
      </c>
      <c r="U45" s="47"/>
      <c r="V45" s="21" t="s">
        <v>8811</v>
      </c>
      <c r="W45" s="26">
        <v>1.3379700000000001</v>
      </c>
      <c r="X45" s="26">
        <v>1.86707</v>
      </c>
    </row>
    <row r="46" spans="2:24" x14ac:dyDescent="0.25">
      <c r="B46" s="21" t="s">
        <v>8812</v>
      </c>
      <c r="C46" s="26">
        <v>1.41239</v>
      </c>
      <c r="D46" s="26">
        <v>1.5192399999999999</v>
      </c>
      <c r="E46" s="47"/>
      <c r="F46" s="21" t="s">
        <v>8812</v>
      </c>
      <c r="G46" s="26">
        <v>1.41747</v>
      </c>
      <c r="H46" s="26">
        <v>1.5739099999999999</v>
      </c>
      <c r="I46" s="47"/>
      <c r="J46" s="21" t="s">
        <v>8812</v>
      </c>
      <c r="K46" s="26">
        <v>1.94333</v>
      </c>
      <c r="L46" s="26">
        <v>2.56656</v>
      </c>
      <c r="M46" s="47"/>
      <c r="N46" s="21" t="s">
        <v>8812</v>
      </c>
      <c r="O46" s="26">
        <v>1.4804299999999999</v>
      </c>
      <c r="P46" s="26">
        <v>1.56121</v>
      </c>
      <c r="Q46" s="47"/>
      <c r="R46" s="21" t="s">
        <v>8812</v>
      </c>
      <c r="S46" s="26">
        <v>2.9040900000000001</v>
      </c>
      <c r="T46" s="26">
        <v>4.3961300000000003</v>
      </c>
      <c r="U46" s="47"/>
      <c r="V46" s="21" t="s">
        <v>8812</v>
      </c>
      <c r="W46" s="26">
        <v>1.2255199999999999</v>
      </c>
      <c r="X46" s="26">
        <v>1.72593</v>
      </c>
    </row>
    <row r="47" spans="2:24" x14ac:dyDescent="0.25">
      <c r="B47" s="21" t="s">
        <v>311</v>
      </c>
      <c r="C47" s="26">
        <v>0</v>
      </c>
      <c r="D47" s="26">
        <v>0</v>
      </c>
      <c r="E47" s="47"/>
      <c r="F47" s="21" t="s">
        <v>311</v>
      </c>
      <c r="G47" s="26">
        <v>0</v>
      </c>
      <c r="H47" s="26">
        <v>0</v>
      </c>
      <c r="I47" s="47"/>
      <c r="J47" s="21" t="s">
        <v>311</v>
      </c>
      <c r="K47" s="26">
        <v>0</v>
      </c>
      <c r="L47" s="26">
        <v>0</v>
      </c>
      <c r="M47" s="47"/>
      <c r="N47" s="21" t="s">
        <v>311</v>
      </c>
      <c r="O47" s="26">
        <v>0</v>
      </c>
      <c r="P47" s="26">
        <v>0</v>
      </c>
      <c r="Q47" s="47"/>
      <c r="R47" s="21" t="s">
        <v>311</v>
      </c>
      <c r="S47" s="26">
        <v>0.85616999999999999</v>
      </c>
      <c r="T47" s="26">
        <v>0</v>
      </c>
      <c r="U47" s="47"/>
      <c r="V47" s="21" t="s">
        <v>311</v>
      </c>
      <c r="W47" s="26">
        <v>0</v>
      </c>
      <c r="X47" s="26">
        <v>0</v>
      </c>
    </row>
  </sheetData>
  <mergeCells count="24">
    <mergeCell ref="B10:B12"/>
    <mergeCell ref="C10:D10"/>
    <mergeCell ref="C11:D11"/>
    <mergeCell ref="O9:P9"/>
    <mergeCell ref="N10:N12"/>
    <mergeCell ref="O10:P10"/>
    <mergeCell ref="O11:P11"/>
    <mergeCell ref="G9:H9"/>
    <mergeCell ref="G10:H10"/>
    <mergeCell ref="G11:H11"/>
    <mergeCell ref="F10:F12"/>
    <mergeCell ref="K9:L9"/>
    <mergeCell ref="J10:J12"/>
    <mergeCell ref="K10:L10"/>
    <mergeCell ref="K11:L11"/>
    <mergeCell ref="W9:X9"/>
    <mergeCell ref="V10:V12"/>
    <mergeCell ref="W10:X10"/>
    <mergeCell ref="W11:X11"/>
    <mergeCell ref="C9:D9"/>
    <mergeCell ref="S9:T9"/>
    <mergeCell ref="R10:R12"/>
    <mergeCell ref="S10:T10"/>
    <mergeCell ref="S11:T11"/>
  </mergeCells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activeCell="E19" sqref="E19"/>
    </sheetView>
  </sheetViews>
  <sheetFormatPr defaultColWidth="11.42578125" defaultRowHeight="15" x14ac:dyDescent="0.25"/>
  <cols>
    <col min="2" max="2" width="18.7109375" bestFit="1" customWidth="1"/>
    <col min="3" max="3" width="12.85546875" bestFit="1" customWidth="1"/>
    <col min="4" max="4" width="9.5703125" bestFit="1" customWidth="1"/>
    <col min="5" max="5" width="12.85546875" bestFit="1" customWidth="1"/>
    <col min="6" max="6" width="9.5703125" bestFit="1" customWidth="1"/>
    <col min="7" max="7" width="20.140625" bestFit="1" customWidth="1"/>
  </cols>
  <sheetData>
    <row r="1" spans="1:8" x14ac:dyDescent="0.25">
      <c r="A1" s="1" t="s">
        <v>8744</v>
      </c>
      <c r="B1" s="47"/>
      <c r="C1" s="47"/>
      <c r="D1" s="47"/>
      <c r="E1" s="47"/>
      <c r="F1" s="47"/>
      <c r="G1" s="47"/>
      <c r="H1" s="47"/>
    </row>
    <row r="2" spans="1:8" x14ac:dyDescent="0.25">
      <c r="A2" s="47" t="s">
        <v>8745</v>
      </c>
      <c r="B2" s="47"/>
      <c r="C2" s="47"/>
      <c r="D2" s="47"/>
      <c r="E2" s="47"/>
      <c r="F2" s="47"/>
      <c r="G2" s="47"/>
      <c r="H2" s="47"/>
    </row>
    <row r="4" spans="1:8" x14ac:dyDescent="0.25">
      <c r="A4" s="2" t="s">
        <v>8746</v>
      </c>
      <c r="B4" s="47"/>
      <c r="C4" s="47"/>
      <c r="D4" s="47"/>
      <c r="E4" s="47"/>
      <c r="F4" s="47"/>
      <c r="G4" s="47"/>
      <c r="H4" s="47"/>
    </row>
    <row r="5" spans="1:8" x14ac:dyDescent="0.25">
      <c r="A5" s="3" t="s">
        <v>8813</v>
      </c>
      <c r="B5" s="47"/>
      <c r="C5" s="47"/>
      <c r="D5" s="47"/>
      <c r="E5" s="47"/>
      <c r="F5" s="47"/>
      <c r="G5" s="47"/>
      <c r="H5" s="47"/>
    </row>
    <row r="8" spans="1:8" x14ac:dyDescent="0.25">
      <c r="A8" s="47"/>
      <c r="B8" s="72" t="s">
        <v>8748</v>
      </c>
      <c r="C8" s="77" t="s">
        <v>8722</v>
      </c>
      <c r="D8" s="77"/>
      <c r="E8" s="77" t="s">
        <v>8749</v>
      </c>
      <c r="F8" s="77"/>
      <c r="G8" s="77" t="s">
        <v>8750</v>
      </c>
      <c r="H8" s="77"/>
    </row>
    <row r="9" spans="1:8" x14ac:dyDescent="0.25">
      <c r="A9" s="47"/>
      <c r="B9" s="72"/>
      <c r="C9" s="78" t="s">
        <v>8731</v>
      </c>
      <c r="D9" s="78"/>
      <c r="E9" s="78" t="s">
        <v>8732</v>
      </c>
      <c r="F9" s="78"/>
      <c r="G9" s="78" t="s">
        <v>8732</v>
      </c>
      <c r="H9" s="78"/>
    </row>
    <row r="10" spans="1:8" x14ac:dyDescent="0.25">
      <c r="A10" s="47"/>
      <c r="B10" s="73"/>
      <c r="C10" s="4" t="s">
        <v>8751</v>
      </c>
      <c r="D10" s="4" t="s">
        <v>8752</v>
      </c>
      <c r="E10" s="4" t="s">
        <v>8751</v>
      </c>
      <c r="F10" s="4" t="s">
        <v>8752</v>
      </c>
      <c r="G10" s="4" t="s">
        <v>8751</v>
      </c>
      <c r="H10" s="35" t="s">
        <v>8752</v>
      </c>
    </row>
    <row r="11" spans="1:8" x14ac:dyDescent="0.25">
      <c r="A11" s="47"/>
      <c r="B11" s="47" t="s">
        <v>8679</v>
      </c>
      <c r="C11" s="5">
        <v>0.65</v>
      </c>
      <c r="D11" s="5">
        <v>0.66949999999999998</v>
      </c>
      <c r="E11" s="5">
        <v>6.83</v>
      </c>
      <c r="F11" s="5">
        <v>7.0205599999999997</v>
      </c>
      <c r="G11" s="5">
        <v>9.65</v>
      </c>
      <c r="H11" s="64">
        <v>9.82</v>
      </c>
    </row>
    <row r="12" spans="1:8" x14ac:dyDescent="0.25">
      <c r="A12" s="47"/>
      <c r="B12" s="47" t="s">
        <v>8700</v>
      </c>
      <c r="C12" s="5">
        <v>0.49</v>
      </c>
      <c r="D12" s="5">
        <v>0.66822000000000004</v>
      </c>
      <c r="E12" s="5">
        <v>3.33</v>
      </c>
      <c r="F12" s="5">
        <v>6.0133299999999998</v>
      </c>
      <c r="G12" s="5">
        <v>8.33</v>
      </c>
      <c r="H12" s="5">
        <v>9.61</v>
      </c>
    </row>
    <row r="13" spans="1:8" x14ac:dyDescent="0.25">
      <c r="A13" s="47"/>
      <c r="B13" s="47" t="s">
        <v>8753</v>
      </c>
      <c r="C13" s="5">
        <v>0.18</v>
      </c>
      <c r="D13" s="5">
        <v>0.63514999999999999</v>
      </c>
      <c r="E13" s="5">
        <v>0</v>
      </c>
      <c r="F13" s="5">
        <v>6.4569200000000002</v>
      </c>
      <c r="G13" s="5">
        <v>1.9690000000000001</v>
      </c>
      <c r="H13" s="5">
        <v>9.39</v>
      </c>
    </row>
    <row r="14" spans="1:8" x14ac:dyDescent="0.25">
      <c r="A14" s="47"/>
      <c r="B14" s="47" t="s">
        <v>8682</v>
      </c>
      <c r="C14" s="5">
        <v>0.28999999999999998</v>
      </c>
      <c r="D14" s="5">
        <v>0.36762</v>
      </c>
      <c r="E14" s="5" t="s">
        <v>8772</v>
      </c>
      <c r="F14" s="5">
        <v>0</v>
      </c>
      <c r="G14" s="5">
        <v>13.58</v>
      </c>
      <c r="H14" s="5">
        <v>18.440000000000001</v>
      </c>
    </row>
    <row r="15" spans="1:8" x14ac:dyDescent="0.25">
      <c r="A15" s="47"/>
      <c r="B15" s="47" t="s">
        <v>8685</v>
      </c>
      <c r="C15" s="5">
        <v>0.49</v>
      </c>
      <c r="D15" s="5">
        <v>0.67793999999999999</v>
      </c>
      <c r="E15" s="5">
        <v>0.6</v>
      </c>
      <c r="F15" s="5">
        <v>2.3480300000000001</v>
      </c>
      <c r="G15" s="5">
        <v>4.9400000000000004</v>
      </c>
      <c r="H15" s="5">
        <v>14.89</v>
      </c>
    </row>
    <row r="16" spans="1:8" x14ac:dyDescent="0.25">
      <c r="A16" s="47"/>
      <c r="B16" s="47" t="s">
        <v>8755</v>
      </c>
      <c r="C16" s="5">
        <v>0.59</v>
      </c>
      <c r="D16" s="5">
        <v>0.60392000000000001</v>
      </c>
      <c r="E16" s="5">
        <v>5</v>
      </c>
      <c r="F16" s="5">
        <v>5.8758600000000003</v>
      </c>
      <c r="G16" s="5">
        <v>7.28</v>
      </c>
      <c r="H16" s="5">
        <v>9.52</v>
      </c>
    </row>
    <row r="17" spans="2:8" x14ac:dyDescent="0.25">
      <c r="B17" s="47" t="s">
        <v>8686</v>
      </c>
      <c r="C17" s="5">
        <v>0.39</v>
      </c>
      <c r="D17" s="5">
        <v>0.61426999999999998</v>
      </c>
      <c r="E17" s="5">
        <v>11.91</v>
      </c>
      <c r="F17" s="5">
        <v>39.832659999999997</v>
      </c>
      <c r="G17" s="5">
        <v>26.71</v>
      </c>
      <c r="H17" s="5">
        <v>53</v>
      </c>
    </row>
    <row r="18" spans="2:8" x14ac:dyDescent="0.25">
      <c r="B18" s="47" t="s">
        <v>8699</v>
      </c>
      <c r="C18" s="5">
        <v>0.51</v>
      </c>
      <c r="D18" s="5">
        <v>0.69540000000000002</v>
      </c>
      <c r="E18" s="5">
        <v>3.32</v>
      </c>
      <c r="F18" s="5">
        <v>14.748659999999999</v>
      </c>
      <c r="G18" s="5">
        <v>15.9</v>
      </c>
      <c r="H18" s="5">
        <v>24.02</v>
      </c>
    </row>
    <row r="19" spans="2:8" x14ac:dyDescent="0.25">
      <c r="B19" s="47" t="s">
        <v>8696</v>
      </c>
      <c r="C19" s="5">
        <v>0.55000000000000004</v>
      </c>
      <c r="D19" s="5">
        <v>0.58250000000000002</v>
      </c>
      <c r="E19" s="5" t="s">
        <v>8772</v>
      </c>
      <c r="F19" s="5">
        <v>15.88378</v>
      </c>
      <c r="G19" s="5" t="s">
        <v>8754</v>
      </c>
      <c r="H19" s="5">
        <v>14.19</v>
      </c>
    </row>
    <row r="20" spans="2:8" x14ac:dyDescent="0.25">
      <c r="B20" s="47" t="s">
        <v>8697</v>
      </c>
      <c r="C20" s="5">
        <v>0.47</v>
      </c>
      <c r="D20" s="5">
        <v>0.47206999999999999</v>
      </c>
      <c r="E20" s="5" t="s">
        <v>8772</v>
      </c>
      <c r="F20" s="5">
        <v>2.5985100000000001</v>
      </c>
      <c r="G20" s="5" t="s">
        <v>8754</v>
      </c>
      <c r="H20" s="5">
        <v>6.44</v>
      </c>
    </row>
    <row r="21" spans="2:8" x14ac:dyDescent="0.25">
      <c r="B21" s="47" t="s">
        <v>8684</v>
      </c>
      <c r="C21" s="5">
        <v>0.46</v>
      </c>
      <c r="D21" s="5">
        <v>0.66073999999999999</v>
      </c>
      <c r="E21" s="5" t="s">
        <v>8772</v>
      </c>
      <c r="F21" s="5">
        <v>5.7816599999999996</v>
      </c>
      <c r="G21" s="5" t="s">
        <v>8754</v>
      </c>
      <c r="H21" s="5">
        <v>9.4600000000000009</v>
      </c>
    </row>
    <row r="22" spans="2:8" x14ac:dyDescent="0.25">
      <c r="B22" s="47" t="s">
        <v>8683</v>
      </c>
      <c r="C22" s="5">
        <v>0.42</v>
      </c>
      <c r="D22" s="5">
        <v>0.69418999999999997</v>
      </c>
      <c r="E22" s="5" t="s">
        <v>8772</v>
      </c>
      <c r="F22" s="5">
        <v>17.254860000000001</v>
      </c>
      <c r="G22" s="5" t="s">
        <v>8754</v>
      </c>
      <c r="H22" s="5">
        <v>26.51</v>
      </c>
    </row>
    <row r="23" spans="2:8" x14ac:dyDescent="0.25">
      <c r="B23" s="47" t="s">
        <v>8756</v>
      </c>
      <c r="C23" s="5">
        <v>0.33</v>
      </c>
      <c r="D23" s="5">
        <v>0.46143000000000001</v>
      </c>
      <c r="E23" s="5">
        <v>7.3</v>
      </c>
      <c r="F23" s="5">
        <v>7.1961000000000004</v>
      </c>
      <c r="G23" s="5">
        <v>13.1</v>
      </c>
      <c r="H23" s="5">
        <v>20.29</v>
      </c>
    </row>
    <row r="24" spans="2:8" x14ac:dyDescent="0.25">
      <c r="B24" s="47" t="s">
        <v>8757</v>
      </c>
      <c r="C24" s="5">
        <v>0.13</v>
      </c>
      <c r="D24" s="5">
        <v>0.33645000000000003</v>
      </c>
      <c r="E24" s="5">
        <v>5.5</v>
      </c>
      <c r="F24" s="5">
        <v>4.6793399999999998</v>
      </c>
      <c r="G24" s="5">
        <v>10.8</v>
      </c>
      <c r="H24" s="5">
        <v>26.56</v>
      </c>
    </row>
  </sheetData>
  <mergeCells count="7">
    <mergeCell ref="G8:H8"/>
    <mergeCell ref="G9:H9"/>
    <mergeCell ref="B8:B10"/>
    <mergeCell ref="C8:D8"/>
    <mergeCell ref="E8:F8"/>
    <mergeCell ref="C9:D9"/>
    <mergeCell ref="E9:F9"/>
  </mergeCells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/>
  </sheetViews>
  <sheetFormatPr defaultColWidth="11.42578125" defaultRowHeight="15" x14ac:dyDescent="0.25"/>
  <cols>
    <col min="7" max="7" width="20.7109375" bestFit="1" customWidth="1"/>
    <col min="9" max="9" width="20.7109375" bestFit="1" customWidth="1"/>
    <col min="11" max="11" width="28.7109375" customWidth="1"/>
  </cols>
  <sheetData>
    <row r="1" spans="1:11" x14ac:dyDescent="0.25">
      <c r="A1" s="1" t="s">
        <v>8779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x14ac:dyDescent="0.25">
      <c r="A2" s="31" t="s">
        <v>8780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4" spans="1:11" x14ac:dyDescent="0.25">
      <c r="A4" s="2" t="s">
        <v>8746</v>
      </c>
      <c r="B4" s="47"/>
      <c r="C4" s="47"/>
      <c r="D4" s="47"/>
      <c r="E4" s="47"/>
      <c r="F4" s="47"/>
      <c r="G4" s="47"/>
      <c r="H4" s="47"/>
      <c r="I4" s="47"/>
      <c r="J4" s="47"/>
      <c r="K4" s="47"/>
    </row>
    <row r="5" spans="1:11" x14ac:dyDescent="0.25">
      <c r="A5" s="3" t="s">
        <v>8770</v>
      </c>
      <c r="B5" s="47"/>
      <c r="C5" s="47"/>
      <c r="D5" s="47"/>
      <c r="E5" s="47"/>
      <c r="F5" s="47"/>
      <c r="G5" s="47"/>
      <c r="H5" s="47"/>
      <c r="I5" s="47"/>
      <c r="J5" s="47"/>
      <c r="K5" s="47"/>
    </row>
    <row r="6" spans="1:11" x14ac:dyDescent="0.25">
      <c r="A6" s="3" t="s">
        <v>8781</v>
      </c>
      <c r="B6" s="47"/>
      <c r="C6" s="47"/>
      <c r="D6" s="47"/>
      <c r="E6" s="47"/>
      <c r="F6" s="47"/>
      <c r="G6" s="47"/>
      <c r="H6" s="47"/>
      <c r="I6" s="47"/>
      <c r="J6" s="47"/>
      <c r="K6" s="47"/>
    </row>
    <row r="7" spans="1:11" x14ac:dyDescent="0.25">
      <c r="A7" s="3" t="s">
        <v>8760</v>
      </c>
      <c r="B7" s="47"/>
      <c r="C7" s="47"/>
      <c r="D7" s="47"/>
      <c r="E7" s="47"/>
      <c r="F7" s="47"/>
      <c r="G7" s="47"/>
      <c r="H7" s="47"/>
      <c r="I7" s="47"/>
      <c r="J7" s="47"/>
      <c r="K7" s="47"/>
    </row>
    <row r="10" spans="1:11" x14ac:dyDescent="0.25">
      <c r="A10" s="47"/>
      <c r="B10" s="79" t="s">
        <v>8782</v>
      </c>
      <c r="C10" s="77"/>
      <c r="D10" s="77"/>
      <c r="E10" s="29"/>
      <c r="F10" s="29"/>
      <c r="G10" s="77"/>
      <c r="H10" s="77"/>
      <c r="I10" s="29"/>
      <c r="J10" s="29"/>
      <c r="K10" s="47"/>
    </row>
    <row r="11" spans="1:11" x14ac:dyDescent="0.25">
      <c r="A11" s="47"/>
      <c r="B11" s="72"/>
      <c r="C11" s="77" t="s">
        <v>8751</v>
      </c>
      <c r="D11" s="77"/>
      <c r="E11" s="77" t="s">
        <v>8752</v>
      </c>
      <c r="F11" s="77"/>
      <c r="G11" s="77" t="s">
        <v>8751</v>
      </c>
      <c r="H11" s="77"/>
      <c r="I11" s="77" t="s">
        <v>8752</v>
      </c>
      <c r="J11" s="77"/>
      <c r="K11" s="95" t="s">
        <v>8730</v>
      </c>
    </row>
    <row r="12" spans="1:11" x14ac:dyDescent="0.25">
      <c r="A12" s="47"/>
      <c r="B12" s="72"/>
      <c r="C12" s="7" t="s">
        <v>8722</v>
      </c>
      <c r="D12" s="65" t="s">
        <v>8783</v>
      </c>
      <c r="E12" s="7" t="s">
        <v>8722</v>
      </c>
      <c r="F12" s="65" t="s">
        <v>8783</v>
      </c>
      <c r="G12" s="7" t="s">
        <v>8726</v>
      </c>
      <c r="H12" s="65" t="s">
        <v>8783</v>
      </c>
      <c r="I12" s="7" t="s">
        <v>8726</v>
      </c>
      <c r="J12" s="65" t="s">
        <v>8783</v>
      </c>
      <c r="K12" s="95"/>
    </row>
    <row r="13" spans="1:11" x14ac:dyDescent="0.25">
      <c r="A13" s="47"/>
      <c r="B13" s="73"/>
      <c r="C13" s="83" t="s">
        <v>8731</v>
      </c>
      <c r="D13" s="83"/>
      <c r="E13" s="83" t="s">
        <v>8731</v>
      </c>
      <c r="F13" s="83"/>
      <c r="G13" s="83" t="s">
        <v>8732</v>
      </c>
      <c r="H13" s="83"/>
      <c r="I13" s="83" t="s">
        <v>8732</v>
      </c>
      <c r="J13" s="83"/>
      <c r="K13" s="73"/>
    </row>
    <row r="14" spans="1:11" x14ac:dyDescent="0.25">
      <c r="A14" s="47"/>
      <c r="B14" s="12" t="s">
        <v>8784</v>
      </c>
      <c r="C14" s="13">
        <v>0.63258000000000003</v>
      </c>
      <c r="D14" s="13">
        <v>9.4000000000000004E-3</v>
      </c>
      <c r="E14" s="13">
        <v>0.66949999999999998</v>
      </c>
      <c r="F14" s="13">
        <v>0</v>
      </c>
      <c r="G14" s="13">
        <v>6.0506200000000003</v>
      </c>
      <c r="H14" s="13">
        <v>0.15282999999999999</v>
      </c>
      <c r="I14" s="13">
        <v>7.0205599999999997</v>
      </c>
      <c r="J14" s="13">
        <v>0</v>
      </c>
      <c r="K14" s="86" t="s">
        <v>8785</v>
      </c>
    </row>
    <row r="15" spans="1:11" x14ac:dyDescent="0.25">
      <c r="A15" s="47"/>
      <c r="B15" s="40" t="s">
        <v>8786</v>
      </c>
      <c r="C15" s="14">
        <v>0.43723000000000001</v>
      </c>
      <c r="D15" s="14">
        <v>8.8100000000000001E-3</v>
      </c>
      <c r="E15" s="14">
        <v>0.66949999999999998</v>
      </c>
      <c r="F15" s="14">
        <v>0</v>
      </c>
      <c r="G15" s="14">
        <v>3.1191300000000002</v>
      </c>
      <c r="H15" s="14">
        <v>0.11960999999999999</v>
      </c>
      <c r="I15" s="14">
        <v>7.0206299999999997</v>
      </c>
      <c r="J15" s="14">
        <v>0</v>
      </c>
      <c r="K15" s="87"/>
    </row>
    <row r="16" spans="1:11" x14ac:dyDescent="0.25">
      <c r="A16" s="47"/>
      <c r="B16" s="40" t="s">
        <v>8787</v>
      </c>
      <c r="C16" s="14">
        <v>0.56430000000000002</v>
      </c>
      <c r="D16" s="14">
        <v>1.507E-2</v>
      </c>
      <c r="E16" s="14">
        <v>0.66949999999999998</v>
      </c>
      <c r="F16" s="14">
        <v>0</v>
      </c>
      <c r="G16" s="14">
        <v>6.8053800000000004</v>
      </c>
      <c r="H16" s="14">
        <v>0.21002000000000001</v>
      </c>
      <c r="I16" s="14">
        <v>7.0206299999999997</v>
      </c>
      <c r="J16" s="14">
        <v>0</v>
      </c>
      <c r="K16" s="87"/>
    </row>
    <row r="17" spans="2:11" x14ac:dyDescent="0.25">
      <c r="B17" s="40" t="s">
        <v>8788</v>
      </c>
      <c r="C17" s="14">
        <v>0.5736</v>
      </c>
      <c r="D17" s="14">
        <v>9.7800000000000005E-3</v>
      </c>
      <c r="E17" s="14">
        <v>0.66068000000000005</v>
      </c>
      <c r="F17" s="14">
        <v>0</v>
      </c>
      <c r="G17" s="14">
        <v>6.8369799999999996</v>
      </c>
      <c r="H17" s="14">
        <v>0.17449000000000001</v>
      </c>
      <c r="I17" s="14">
        <v>7.09232</v>
      </c>
      <c r="J17" s="14">
        <v>0</v>
      </c>
      <c r="K17" s="87"/>
    </row>
    <row r="18" spans="2:11" x14ac:dyDescent="0.25">
      <c r="B18" s="40" t="s">
        <v>8789</v>
      </c>
      <c r="C18" s="14">
        <v>0.52839999999999998</v>
      </c>
      <c r="D18" s="14">
        <v>9.5399999999999999E-3</v>
      </c>
      <c r="E18" s="14">
        <v>0.66515000000000002</v>
      </c>
      <c r="F18" s="14">
        <v>0</v>
      </c>
      <c r="G18" s="14">
        <v>7.5818599999999998</v>
      </c>
      <c r="H18" s="14">
        <v>0.36096</v>
      </c>
      <c r="I18" s="14">
        <v>6.6919599999999999</v>
      </c>
      <c r="J18" s="14">
        <v>0</v>
      </c>
      <c r="K18" s="87"/>
    </row>
    <row r="19" spans="2:11" x14ac:dyDescent="0.25">
      <c r="B19" s="40" t="s">
        <v>8790</v>
      </c>
      <c r="C19" s="14">
        <v>0.29966999999999999</v>
      </c>
      <c r="D19" s="14">
        <v>2.0979999999999999E-2</v>
      </c>
      <c r="E19" s="14">
        <v>0.66800999999999999</v>
      </c>
      <c r="F19" s="14">
        <v>0</v>
      </c>
      <c r="G19" s="14">
        <v>2.5449600000000001</v>
      </c>
      <c r="H19" s="14">
        <v>0.21829999999999999</v>
      </c>
      <c r="I19" s="14">
        <v>6.7081600000000003</v>
      </c>
      <c r="J19" s="14">
        <v>0</v>
      </c>
      <c r="K19" s="87"/>
    </row>
    <row r="20" spans="2:11" x14ac:dyDescent="0.25">
      <c r="B20" s="40" t="s">
        <v>8791</v>
      </c>
      <c r="C20" s="14">
        <v>0.58460000000000001</v>
      </c>
      <c r="D20" s="14">
        <v>1.175E-2</v>
      </c>
      <c r="E20" s="14">
        <v>0.66949999999999998</v>
      </c>
      <c r="F20" s="14">
        <v>0</v>
      </c>
      <c r="G20" s="14">
        <v>5.8475400000000004</v>
      </c>
      <c r="H20" s="14">
        <v>0.20576</v>
      </c>
      <c r="I20" s="14">
        <v>7.0206</v>
      </c>
      <c r="J20" s="14">
        <v>0</v>
      </c>
      <c r="K20" s="87"/>
    </row>
    <row r="21" spans="2:11" x14ac:dyDescent="0.25">
      <c r="B21" s="40" t="s">
        <v>8792</v>
      </c>
      <c r="C21" s="14">
        <v>0.55123</v>
      </c>
      <c r="D21" s="14">
        <v>5.8500000000000002E-3</v>
      </c>
      <c r="E21" s="14">
        <v>0.66949999999999998</v>
      </c>
      <c r="F21" s="14">
        <v>0</v>
      </c>
      <c r="G21" s="14">
        <v>7.2819900000000004</v>
      </c>
      <c r="H21" s="14">
        <v>0.20549999999999999</v>
      </c>
      <c r="I21" s="14">
        <v>7.0206600000000003</v>
      </c>
      <c r="J21" s="14">
        <v>0</v>
      </c>
      <c r="K21" s="87"/>
    </row>
    <row r="22" spans="2:11" x14ac:dyDescent="0.25">
      <c r="B22" s="40" t="s">
        <v>8793</v>
      </c>
      <c r="C22" s="14">
        <v>0.19092999999999999</v>
      </c>
      <c r="D22" s="14">
        <v>2.99E-3</v>
      </c>
      <c r="E22" s="14">
        <v>0.66100999999999999</v>
      </c>
      <c r="F22" s="14">
        <v>0</v>
      </c>
      <c r="G22" s="14">
        <v>3.524E-2</v>
      </c>
      <c r="H22" s="14">
        <v>8.9313700000000001E-4</v>
      </c>
      <c r="I22" s="14">
        <v>6.7906000000000004</v>
      </c>
      <c r="J22" s="14">
        <v>0</v>
      </c>
      <c r="K22" s="87"/>
    </row>
    <row r="23" spans="2:11" x14ac:dyDescent="0.25">
      <c r="B23" s="41" t="s">
        <v>8794</v>
      </c>
      <c r="C23" s="15">
        <v>0.16647000000000001</v>
      </c>
      <c r="D23" s="15">
        <v>1.0630000000000001E-2</v>
      </c>
      <c r="E23" s="15">
        <v>0.65900000000000003</v>
      </c>
      <c r="F23" s="15">
        <v>0</v>
      </c>
      <c r="G23" s="15">
        <v>0.92227999999999999</v>
      </c>
      <c r="H23" s="15">
        <v>6.3109999999999999E-2</v>
      </c>
      <c r="I23" s="15">
        <v>6.3779599999999999</v>
      </c>
      <c r="J23" s="15">
        <v>0</v>
      </c>
      <c r="K23" s="88"/>
    </row>
    <row r="24" spans="2:11" x14ac:dyDescent="0.25">
      <c r="B24" s="47" t="s">
        <v>8784</v>
      </c>
      <c r="C24" s="5">
        <v>0.63</v>
      </c>
      <c r="D24" s="5">
        <v>0.03</v>
      </c>
      <c r="E24" s="5">
        <v>0.66949999999999998</v>
      </c>
      <c r="F24" s="5">
        <v>0</v>
      </c>
      <c r="G24" s="5">
        <v>4.5</v>
      </c>
      <c r="H24" s="5">
        <v>0.7</v>
      </c>
      <c r="I24" s="5">
        <v>7.0205599999999997</v>
      </c>
      <c r="J24" s="5">
        <v>0</v>
      </c>
      <c r="K24" s="84" t="s">
        <v>8795</v>
      </c>
    </row>
    <row r="25" spans="2:11" x14ac:dyDescent="0.25">
      <c r="B25" s="38" t="s">
        <v>8793</v>
      </c>
      <c r="C25" s="5">
        <v>0.17</v>
      </c>
      <c r="D25" s="5">
        <v>0</v>
      </c>
      <c r="E25" s="5">
        <v>0.66100999999999999</v>
      </c>
      <c r="F25" s="5">
        <v>0</v>
      </c>
      <c r="G25" s="5">
        <v>0.1</v>
      </c>
      <c r="H25" s="5">
        <v>0.1</v>
      </c>
      <c r="I25" s="5">
        <v>6.7906000000000004</v>
      </c>
      <c r="J25" s="5">
        <v>0</v>
      </c>
      <c r="K25" s="85"/>
    </row>
    <row r="26" spans="2:11" x14ac:dyDescent="0.25">
      <c r="B26" s="38" t="s">
        <v>8796</v>
      </c>
      <c r="C26" s="5">
        <v>0.22</v>
      </c>
      <c r="D26" s="5">
        <v>0.01</v>
      </c>
      <c r="E26" s="5">
        <v>0.66337999999999997</v>
      </c>
      <c r="F26" s="5">
        <v>0</v>
      </c>
      <c r="G26" s="5">
        <v>1.1000000000000001</v>
      </c>
      <c r="H26" s="5">
        <v>0</v>
      </c>
      <c r="I26" s="5">
        <v>6.84483</v>
      </c>
      <c r="J26" s="5">
        <v>0</v>
      </c>
      <c r="K26" s="85"/>
    </row>
    <row r="27" spans="2:11" x14ac:dyDescent="0.25">
      <c r="B27" s="38" t="s">
        <v>8797</v>
      </c>
      <c r="C27" s="5">
        <v>0.18</v>
      </c>
      <c r="D27" s="5">
        <v>0.02</v>
      </c>
      <c r="E27" s="5">
        <v>0.65900000000000003</v>
      </c>
      <c r="F27" s="5">
        <v>0</v>
      </c>
      <c r="G27" s="5">
        <v>0.2</v>
      </c>
      <c r="H27" s="5">
        <v>0.1</v>
      </c>
      <c r="I27" s="5">
        <v>6.3779599999999999</v>
      </c>
      <c r="J27" s="5">
        <v>0</v>
      </c>
      <c r="K27" s="85"/>
    </row>
  </sheetData>
  <mergeCells count="14">
    <mergeCell ref="B10:B13"/>
    <mergeCell ref="C10:D10"/>
    <mergeCell ref="G10:H10"/>
    <mergeCell ref="C11:D11"/>
    <mergeCell ref="E11:F11"/>
    <mergeCell ref="G11:H11"/>
    <mergeCell ref="K24:K27"/>
    <mergeCell ref="K11:K13"/>
    <mergeCell ref="I11:J11"/>
    <mergeCell ref="C13:D13"/>
    <mergeCell ref="E13:F13"/>
    <mergeCell ref="G13:H13"/>
    <mergeCell ref="I13:J13"/>
    <mergeCell ref="K14:K23"/>
  </mergeCells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/>
  </sheetViews>
  <sheetFormatPr defaultColWidth="11.42578125" defaultRowHeight="15" x14ac:dyDescent="0.25"/>
  <cols>
    <col min="7" max="7" width="20.7109375" bestFit="1" customWidth="1"/>
    <col min="9" max="9" width="20.7109375" bestFit="1" customWidth="1"/>
    <col min="11" max="11" width="28.7109375" customWidth="1"/>
  </cols>
  <sheetData>
    <row r="1" spans="1:11" x14ac:dyDescent="0.25">
      <c r="A1" s="1" t="s">
        <v>8814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x14ac:dyDescent="0.25">
      <c r="A2" s="31"/>
      <c r="B2" s="47"/>
      <c r="C2" s="47"/>
      <c r="D2" s="47"/>
      <c r="E2" s="47"/>
      <c r="F2" s="47"/>
      <c r="G2" s="47"/>
      <c r="H2" s="47"/>
      <c r="I2" s="47"/>
      <c r="J2" s="47"/>
      <c r="K2" s="47"/>
    </row>
    <row r="4" spans="1:11" x14ac:dyDescent="0.25">
      <c r="A4" s="2" t="s">
        <v>8746</v>
      </c>
      <c r="B4" s="47"/>
      <c r="C4" s="47"/>
      <c r="D4" s="47"/>
      <c r="E4" s="47"/>
      <c r="F4" s="47"/>
      <c r="G4" s="47"/>
      <c r="H4" s="47"/>
      <c r="I4" s="47"/>
      <c r="J4" s="47"/>
      <c r="K4" s="47"/>
    </row>
    <row r="5" spans="1:11" x14ac:dyDescent="0.25">
      <c r="A5" s="3" t="s">
        <v>8815</v>
      </c>
      <c r="B5" s="47"/>
      <c r="C5" s="47"/>
      <c r="D5" s="47"/>
      <c r="E5" s="47"/>
      <c r="F5" s="47"/>
      <c r="G5" s="47"/>
      <c r="H5" s="47"/>
      <c r="I5" s="47"/>
      <c r="J5" s="47"/>
      <c r="K5" s="47"/>
    </row>
    <row r="6" spans="1:11" x14ac:dyDescent="0.25">
      <c r="A6" s="3" t="s">
        <v>8781</v>
      </c>
      <c r="B6" s="47"/>
      <c r="C6" s="47"/>
      <c r="D6" s="47"/>
      <c r="E6" s="47"/>
      <c r="F6" s="47"/>
      <c r="G6" s="47"/>
      <c r="H6" s="47"/>
      <c r="I6" s="47"/>
      <c r="J6" s="47"/>
      <c r="K6" s="47"/>
    </row>
    <row r="7" spans="1:11" x14ac:dyDescent="0.25">
      <c r="A7" s="3" t="s">
        <v>8760</v>
      </c>
      <c r="B7" s="47"/>
      <c r="C7" s="47"/>
      <c r="D7" s="47"/>
      <c r="E7" s="47"/>
      <c r="F7" s="47"/>
      <c r="G7" s="47"/>
      <c r="H7" s="47"/>
      <c r="I7" s="47"/>
      <c r="J7" s="47"/>
      <c r="K7" s="47"/>
    </row>
    <row r="8" spans="1:11" x14ac:dyDescent="0.25">
      <c r="A8" s="3" t="s">
        <v>8816</v>
      </c>
      <c r="B8" s="47"/>
      <c r="C8" s="47"/>
      <c r="D8" s="47"/>
      <c r="E8" s="47"/>
      <c r="F8" s="47"/>
      <c r="G8" s="47"/>
      <c r="H8" s="47"/>
      <c r="I8" s="47"/>
      <c r="J8" s="47"/>
      <c r="K8" s="47"/>
    </row>
    <row r="10" spans="1:11" x14ac:dyDescent="0.25">
      <c r="A10" s="47"/>
      <c r="B10" s="79" t="s">
        <v>8782</v>
      </c>
      <c r="C10" s="77"/>
      <c r="D10" s="77"/>
      <c r="E10" s="29"/>
      <c r="F10" s="29"/>
      <c r="G10" s="77"/>
      <c r="H10" s="77"/>
      <c r="I10" s="29"/>
      <c r="J10" s="29"/>
      <c r="K10" s="47"/>
    </row>
    <row r="11" spans="1:11" x14ac:dyDescent="0.25">
      <c r="A11" s="47"/>
      <c r="B11" s="72"/>
      <c r="C11" s="77" t="s">
        <v>8817</v>
      </c>
      <c r="D11" s="77"/>
      <c r="E11" s="77" t="s">
        <v>8818</v>
      </c>
      <c r="F11" s="77"/>
      <c r="G11" s="77" t="s">
        <v>8817</v>
      </c>
      <c r="H11" s="77"/>
      <c r="I11" s="77" t="s">
        <v>8818</v>
      </c>
      <c r="J11" s="77"/>
      <c r="K11" s="95" t="s">
        <v>8730</v>
      </c>
    </row>
    <row r="12" spans="1:11" x14ac:dyDescent="0.25">
      <c r="A12" s="47"/>
      <c r="B12" s="72"/>
      <c r="C12" s="7" t="s">
        <v>8722</v>
      </c>
      <c r="D12" s="65" t="s">
        <v>8783</v>
      </c>
      <c r="E12" s="7" t="s">
        <v>8722</v>
      </c>
      <c r="F12" s="65" t="s">
        <v>8783</v>
      </c>
      <c r="G12" s="7" t="s">
        <v>8726</v>
      </c>
      <c r="H12" s="65" t="s">
        <v>8783</v>
      </c>
      <c r="I12" s="7" t="s">
        <v>8726</v>
      </c>
      <c r="J12" s="65" t="s">
        <v>8783</v>
      </c>
      <c r="K12" s="95"/>
    </row>
    <row r="13" spans="1:11" x14ac:dyDescent="0.25">
      <c r="A13" s="47"/>
      <c r="B13" s="73"/>
      <c r="C13" s="83" t="s">
        <v>8731</v>
      </c>
      <c r="D13" s="83"/>
      <c r="E13" s="83" t="s">
        <v>8731</v>
      </c>
      <c r="F13" s="83"/>
      <c r="G13" s="83" t="s">
        <v>8732</v>
      </c>
      <c r="H13" s="83"/>
      <c r="I13" s="83" t="s">
        <v>8732</v>
      </c>
      <c r="J13" s="83"/>
      <c r="K13" s="73"/>
    </row>
    <row r="14" spans="1:11" x14ac:dyDescent="0.25">
      <c r="A14" s="47"/>
      <c r="B14" s="12" t="s">
        <v>8784</v>
      </c>
      <c r="C14" s="13">
        <v>0.58577999999999997</v>
      </c>
      <c r="D14" s="13">
        <v>1.3129999999999999E-2</v>
      </c>
      <c r="E14" s="13">
        <v>0.58577999999999997</v>
      </c>
      <c r="F14" s="13">
        <v>1.3129999999999999E-2</v>
      </c>
      <c r="G14" s="13">
        <v>5.5232000000000001</v>
      </c>
      <c r="H14" s="13">
        <v>0.23482</v>
      </c>
      <c r="I14" s="13">
        <v>5.5232000000000001</v>
      </c>
      <c r="J14" s="13">
        <v>0.23482</v>
      </c>
      <c r="K14" s="86" t="s">
        <v>8785</v>
      </c>
    </row>
    <row r="15" spans="1:11" x14ac:dyDescent="0.25">
      <c r="A15" s="47"/>
      <c r="B15" s="40" t="s">
        <v>8786</v>
      </c>
      <c r="C15" s="14">
        <v>0.38425999999999999</v>
      </c>
      <c r="D15" s="14">
        <v>1.14E-2</v>
      </c>
      <c r="E15" s="14">
        <v>0.38425999999999999</v>
      </c>
      <c r="F15" s="14">
        <v>1.14E-2</v>
      </c>
      <c r="G15" s="14">
        <v>1.9265300000000001</v>
      </c>
      <c r="H15" s="14">
        <v>0.20296</v>
      </c>
      <c r="I15" s="14">
        <v>1.9265699999999999</v>
      </c>
      <c r="J15" s="14">
        <v>0.20297000000000001</v>
      </c>
      <c r="K15" s="87"/>
    </row>
    <row r="16" spans="1:11" x14ac:dyDescent="0.25">
      <c r="A16" s="47"/>
      <c r="B16" s="40" t="s">
        <v>8787</v>
      </c>
      <c r="C16" s="14">
        <v>0.60172999999999999</v>
      </c>
      <c r="D16" s="14">
        <v>1.601E-2</v>
      </c>
      <c r="E16" s="14">
        <v>0.60172999999999999</v>
      </c>
      <c r="F16" s="14">
        <v>1.601E-2</v>
      </c>
      <c r="G16" s="14">
        <v>5.8084300000000004</v>
      </c>
      <c r="H16" s="14">
        <v>0.28638999999999998</v>
      </c>
      <c r="I16" s="14">
        <v>5.8085599999999999</v>
      </c>
      <c r="J16" s="14">
        <v>0.28638999999999998</v>
      </c>
      <c r="K16" s="87"/>
    </row>
    <row r="17" spans="2:11" x14ac:dyDescent="0.25">
      <c r="B17" s="40" t="s">
        <v>8788</v>
      </c>
      <c r="C17" s="14">
        <v>0.6048</v>
      </c>
      <c r="D17" s="14">
        <v>1.255E-2</v>
      </c>
      <c r="E17" s="14">
        <v>0.59792000000000001</v>
      </c>
      <c r="F17" s="14">
        <v>1.217E-2</v>
      </c>
      <c r="G17" s="14">
        <v>5.86341</v>
      </c>
      <c r="H17" s="14">
        <v>0.22439999999999999</v>
      </c>
      <c r="I17" s="14">
        <v>5.92394</v>
      </c>
      <c r="J17" s="14">
        <v>0.22659000000000001</v>
      </c>
      <c r="K17" s="87"/>
    </row>
    <row r="18" spans="2:11" x14ac:dyDescent="0.25">
      <c r="B18" s="40" t="s">
        <v>8789</v>
      </c>
      <c r="C18" s="14">
        <v>0.55708000000000002</v>
      </c>
      <c r="D18" s="14">
        <v>2.2710000000000001E-2</v>
      </c>
      <c r="E18" s="14">
        <v>0.55386999999999997</v>
      </c>
      <c r="F18" s="14">
        <v>2.248E-2</v>
      </c>
      <c r="G18" s="14">
        <v>5.0098200000000004</v>
      </c>
      <c r="H18" s="14">
        <v>0.40614</v>
      </c>
      <c r="I18" s="14">
        <v>4.8561699999999997</v>
      </c>
      <c r="J18" s="14">
        <v>0.37080000000000002</v>
      </c>
      <c r="K18" s="87"/>
    </row>
    <row r="19" spans="2:11" x14ac:dyDescent="0.25">
      <c r="B19" s="40" t="s">
        <v>8790</v>
      </c>
      <c r="C19" s="14">
        <v>0.32361000000000001</v>
      </c>
      <c r="D19" s="14">
        <v>2.256E-2</v>
      </c>
      <c r="E19" s="14">
        <v>0.32351000000000002</v>
      </c>
      <c r="F19" s="14">
        <v>2.256E-2</v>
      </c>
      <c r="G19" s="14">
        <v>0.84638999999999998</v>
      </c>
      <c r="H19" s="14">
        <v>0.40183000000000002</v>
      </c>
      <c r="I19" s="14">
        <v>0.85428000000000004</v>
      </c>
      <c r="J19" s="14">
        <v>0.40238000000000002</v>
      </c>
      <c r="K19" s="87"/>
    </row>
    <row r="20" spans="2:11" x14ac:dyDescent="0.25">
      <c r="B20" s="40" t="s">
        <v>8791</v>
      </c>
      <c r="C20" s="14">
        <v>0.53998999999999997</v>
      </c>
      <c r="D20" s="14">
        <v>1.6209999999999999E-2</v>
      </c>
      <c r="E20" s="14">
        <v>0.53998999999999997</v>
      </c>
      <c r="F20" s="14">
        <v>1.6209999999999999E-2</v>
      </c>
      <c r="G20" s="14">
        <v>4.7040499999999996</v>
      </c>
      <c r="H20" s="14">
        <v>0.28986000000000001</v>
      </c>
      <c r="I20" s="14">
        <v>4.7041599999999999</v>
      </c>
      <c r="J20" s="14">
        <v>0.28986000000000001</v>
      </c>
      <c r="K20" s="87"/>
    </row>
    <row r="21" spans="2:11" x14ac:dyDescent="0.25">
      <c r="B21" s="40" t="s">
        <v>8792</v>
      </c>
      <c r="C21" s="14">
        <v>0.59855000000000003</v>
      </c>
      <c r="D21" s="14">
        <v>1.4330000000000001E-2</v>
      </c>
      <c r="E21" s="14">
        <v>0.59855000000000003</v>
      </c>
      <c r="F21" s="14">
        <v>1.4330000000000001E-2</v>
      </c>
      <c r="G21" s="14">
        <v>5.7515299999999998</v>
      </c>
      <c r="H21" s="14">
        <v>0.25635000000000002</v>
      </c>
      <c r="I21" s="14">
        <v>5.7516400000000001</v>
      </c>
      <c r="J21" s="14">
        <v>0.25635000000000002</v>
      </c>
      <c r="K21" s="87"/>
    </row>
    <row r="22" spans="2:11" x14ac:dyDescent="0.25">
      <c r="B22" s="40" t="s">
        <v>8793</v>
      </c>
      <c r="C22" s="14">
        <v>0.16098000000000001</v>
      </c>
      <c r="D22" s="14">
        <v>4.4999999999999997E-3</v>
      </c>
      <c r="E22" s="14">
        <v>0.16012000000000001</v>
      </c>
      <c r="F22" s="14">
        <v>4.4799999999999996E-3</v>
      </c>
      <c r="G22" s="14">
        <v>0</v>
      </c>
      <c r="H22" s="14">
        <v>0</v>
      </c>
      <c r="I22" s="14">
        <v>0</v>
      </c>
      <c r="J22" s="14">
        <v>0</v>
      </c>
      <c r="K22" s="87"/>
    </row>
    <row r="23" spans="2:11" x14ac:dyDescent="0.25">
      <c r="B23" s="41" t="s">
        <v>8794</v>
      </c>
      <c r="C23" s="15">
        <v>0.17795</v>
      </c>
      <c r="D23" s="15">
        <v>1.357E-2</v>
      </c>
      <c r="E23" s="15">
        <v>0.17127000000000001</v>
      </c>
      <c r="F23" s="15">
        <v>1.2880000000000001E-2</v>
      </c>
      <c r="G23" s="15">
        <v>0</v>
      </c>
      <c r="H23" s="15">
        <v>0</v>
      </c>
      <c r="I23" s="15">
        <v>0</v>
      </c>
      <c r="J23" s="15">
        <v>0</v>
      </c>
      <c r="K23" s="88"/>
    </row>
    <row r="24" spans="2:11" x14ac:dyDescent="0.25">
      <c r="B24" s="47" t="s">
        <v>8784</v>
      </c>
      <c r="C24" s="5">
        <v>0.60585</v>
      </c>
      <c r="D24" s="5">
        <v>3.1199999999999999E-2</v>
      </c>
      <c r="E24" s="5">
        <v>0.60585</v>
      </c>
      <c r="F24" s="5">
        <v>3.1199999999999999E-2</v>
      </c>
      <c r="G24" s="5">
        <v>5.8820899999999998</v>
      </c>
      <c r="H24" s="5">
        <v>0.55808000000000002</v>
      </c>
      <c r="I24" s="5">
        <v>5.8820899999999998</v>
      </c>
      <c r="J24" s="5">
        <v>0.55808000000000002</v>
      </c>
      <c r="K24" s="84" t="s">
        <v>8795</v>
      </c>
    </row>
    <row r="25" spans="2:11" x14ac:dyDescent="0.25">
      <c r="B25" s="38" t="s">
        <v>8793</v>
      </c>
      <c r="C25" s="5">
        <v>0.17576</v>
      </c>
      <c r="D25" s="5">
        <v>8.5900000000000004E-3</v>
      </c>
      <c r="E25" s="5">
        <v>0.17485000000000001</v>
      </c>
      <c r="F25" s="5">
        <v>8.5500000000000003E-3</v>
      </c>
      <c r="G25" s="5">
        <v>0</v>
      </c>
      <c r="H25" s="5">
        <v>0</v>
      </c>
      <c r="I25" s="5">
        <v>0</v>
      </c>
      <c r="J25" s="5">
        <v>0</v>
      </c>
      <c r="K25" s="85"/>
    </row>
    <row r="26" spans="2:11" x14ac:dyDescent="0.25">
      <c r="B26" s="38" t="s">
        <v>8796</v>
      </c>
      <c r="C26" s="5">
        <v>0.23576</v>
      </c>
      <c r="D26" s="5">
        <v>0</v>
      </c>
      <c r="E26" s="5">
        <v>0.23576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85"/>
    </row>
    <row r="27" spans="2:11" x14ac:dyDescent="0.25">
      <c r="B27" s="38" t="s">
        <v>8797</v>
      </c>
      <c r="C27" s="5">
        <v>0.21007999999999999</v>
      </c>
      <c r="D27" s="5">
        <v>0</v>
      </c>
      <c r="E27" s="5">
        <v>0.20169000000000001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85"/>
    </row>
  </sheetData>
  <mergeCells count="14">
    <mergeCell ref="B10:B13"/>
    <mergeCell ref="C10:D10"/>
    <mergeCell ref="G10:H10"/>
    <mergeCell ref="C11:D11"/>
    <mergeCell ref="E11:F11"/>
    <mergeCell ref="G11:H11"/>
    <mergeCell ref="K14:K23"/>
    <mergeCell ref="K24:K27"/>
    <mergeCell ref="I11:J11"/>
    <mergeCell ref="K11:K13"/>
    <mergeCell ref="C13:D13"/>
    <mergeCell ref="E13:F13"/>
    <mergeCell ref="G13:H13"/>
    <mergeCell ref="I13:J13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/>
  </sheetViews>
  <sheetFormatPr defaultColWidth="11.42578125" defaultRowHeight="15" x14ac:dyDescent="0.25"/>
  <cols>
    <col min="2" max="2" width="18.7109375" bestFit="1" customWidth="1"/>
    <col min="3" max="3" width="12.85546875" bestFit="1" customWidth="1"/>
    <col min="5" max="5" width="12.85546875" bestFit="1" customWidth="1"/>
    <col min="6" max="6" width="13.7109375" customWidth="1"/>
    <col min="7" max="7" width="12.85546875" bestFit="1" customWidth="1"/>
    <col min="8" max="8" width="9.5703125" bestFit="1" customWidth="1"/>
    <col min="9" max="9" width="39.7109375" customWidth="1"/>
  </cols>
  <sheetData>
    <row r="1" spans="1:9" x14ac:dyDescent="0.25">
      <c r="A1" s="1" t="s">
        <v>8798</v>
      </c>
      <c r="B1" s="47"/>
      <c r="C1" s="47"/>
      <c r="D1" s="47"/>
      <c r="E1" s="47"/>
      <c r="F1" s="47"/>
      <c r="G1" s="47"/>
      <c r="H1" s="47"/>
      <c r="I1" s="47"/>
    </row>
    <row r="3" spans="1:9" x14ac:dyDescent="0.25">
      <c r="A3" s="2" t="s">
        <v>8746</v>
      </c>
      <c r="B3" s="47"/>
      <c r="C3" s="47"/>
      <c r="D3" s="47"/>
      <c r="E3" s="47"/>
      <c r="F3" s="47"/>
      <c r="G3" s="47"/>
      <c r="H3" s="47"/>
      <c r="I3" s="47"/>
    </row>
    <row r="4" spans="1:9" x14ac:dyDescent="0.25">
      <c r="A4" s="44" t="s">
        <v>8819</v>
      </c>
      <c r="B4" s="47"/>
      <c r="C4" s="47"/>
      <c r="D4" s="47"/>
      <c r="E4" s="47"/>
      <c r="F4" s="47"/>
      <c r="G4" s="47"/>
      <c r="H4" s="47"/>
      <c r="I4" s="47"/>
    </row>
    <row r="5" spans="1:9" x14ac:dyDescent="0.25">
      <c r="A5" s="47" t="s">
        <v>8820</v>
      </c>
      <c r="B5" s="47"/>
      <c r="C5" s="47"/>
      <c r="D5" s="47"/>
      <c r="E5" s="47"/>
      <c r="F5" s="47"/>
      <c r="G5" s="47"/>
      <c r="H5" s="47"/>
      <c r="I5" s="47"/>
    </row>
    <row r="6" spans="1:9" x14ac:dyDescent="0.25">
      <c r="A6" s="47" t="s">
        <v>8800</v>
      </c>
      <c r="B6" s="47"/>
      <c r="C6" s="47"/>
      <c r="D6" s="47"/>
      <c r="E6" s="47"/>
      <c r="F6" s="47"/>
      <c r="G6" s="47"/>
      <c r="H6" s="47"/>
      <c r="I6" s="47"/>
    </row>
    <row r="8" spans="1:9" ht="29.25" customHeight="1" x14ac:dyDescent="0.25">
      <c r="A8" s="47"/>
      <c r="B8" s="72" t="s">
        <v>8782</v>
      </c>
      <c r="C8" s="81" t="s">
        <v>8801</v>
      </c>
      <c r="D8" s="77"/>
      <c r="E8" s="81" t="s">
        <v>8802</v>
      </c>
      <c r="F8" s="77"/>
      <c r="G8" s="81" t="s">
        <v>8803</v>
      </c>
      <c r="H8" s="81"/>
      <c r="I8" s="89" t="s">
        <v>8730</v>
      </c>
    </row>
    <row r="9" spans="1:9" x14ac:dyDescent="0.25">
      <c r="A9" s="47"/>
      <c r="B9" s="72"/>
      <c r="C9" s="78" t="s">
        <v>8731</v>
      </c>
      <c r="D9" s="78"/>
      <c r="E9" s="78" t="s">
        <v>8732</v>
      </c>
      <c r="F9" s="78"/>
      <c r="G9" s="78" t="s">
        <v>8732</v>
      </c>
      <c r="H9" s="78"/>
      <c r="I9" s="89"/>
    </row>
    <row r="10" spans="1:9" x14ac:dyDescent="0.25">
      <c r="A10" s="47"/>
      <c r="B10" s="73"/>
      <c r="C10" s="4" t="s">
        <v>8751</v>
      </c>
      <c r="D10" s="4" t="s">
        <v>8752</v>
      </c>
      <c r="E10" s="4" t="s">
        <v>8751</v>
      </c>
      <c r="F10" s="4" t="s">
        <v>8752</v>
      </c>
      <c r="G10" s="4" t="s">
        <v>8751</v>
      </c>
      <c r="H10" s="4" t="s">
        <v>8752</v>
      </c>
      <c r="I10" s="90"/>
    </row>
    <row r="11" spans="1:9" x14ac:dyDescent="0.25">
      <c r="A11" s="47"/>
      <c r="B11" s="38" t="s">
        <v>8793</v>
      </c>
      <c r="C11" s="5">
        <v>0.26984000000000002</v>
      </c>
      <c r="D11" s="5">
        <v>0.35992000000000002</v>
      </c>
      <c r="E11" s="5">
        <v>2.222E-2</v>
      </c>
      <c r="F11" s="5">
        <v>0</v>
      </c>
      <c r="G11" s="5">
        <v>0.26135999999999998</v>
      </c>
      <c r="H11" s="5">
        <v>0.31272</v>
      </c>
      <c r="I11" s="74" t="s">
        <v>8795</v>
      </c>
    </row>
    <row r="12" spans="1:9" x14ac:dyDescent="0.25">
      <c r="A12" s="47"/>
      <c r="B12" s="38" t="s">
        <v>8796</v>
      </c>
      <c r="C12" s="5">
        <v>0.34921000000000002</v>
      </c>
      <c r="D12" s="5">
        <v>0.36176000000000003</v>
      </c>
      <c r="E12" s="5">
        <v>0.24443999999999999</v>
      </c>
      <c r="F12" s="5">
        <v>0</v>
      </c>
      <c r="G12" s="5">
        <v>0.34090999999999999</v>
      </c>
      <c r="H12" s="5">
        <v>0.31272</v>
      </c>
      <c r="I12" s="84"/>
    </row>
    <row r="13" spans="1:9" x14ac:dyDescent="0.25">
      <c r="A13" s="47"/>
      <c r="B13" s="38" t="s">
        <v>8794</v>
      </c>
      <c r="C13" s="5">
        <v>0.28571000000000002</v>
      </c>
      <c r="D13" s="5">
        <v>0.36303000000000002</v>
      </c>
      <c r="E13" s="5">
        <v>4.444E-2</v>
      </c>
      <c r="F13" s="5">
        <v>4.4749999999999998E-2</v>
      </c>
      <c r="G13" s="5">
        <v>0.30681999999999998</v>
      </c>
      <c r="H13" s="5">
        <v>0.35037000000000001</v>
      </c>
      <c r="I13" s="84"/>
    </row>
    <row r="14" spans="1:9" x14ac:dyDescent="0.25">
      <c r="A14" s="47"/>
      <c r="B14" s="42" t="s">
        <v>8804</v>
      </c>
      <c r="C14" s="13">
        <v>0.39888000000000001</v>
      </c>
      <c r="D14" s="13">
        <v>0.43303999999999998</v>
      </c>
      <c r="E14" s="13">
        <v>0</v>
      </c>
      <c r="F14" s="13">
        <v>4.8410000000000002E-2</v>
      </c>
      <c r="G14" s="13">
        <v>0.28860999999999998</v>
      </c>
      <c r="H14" s="13">
        <v>0.38802999999999999</v>
      </c>
      <c r="I14" s="74" t="s">
        <v>8785</v>
      </c>
    </row>
    <row r="15" spans="1:9" x14ac:dyDescent="0.25">
      <c r="A15" s="47"/>
      <c r="B15" s="40" t="s">
        <v>8788</v>
      </c>
      <c r="C15" s="14">
        <v>0.90673000000000004</v>
      </c>
      <c r="D15" s="14">
        <v>0.95270999999999995</v>
      </c>
      <c r="E15" s="14">
        <v>1.1299699999999999</v>
      </c>
      <c r="F15" s="14">
        <v>0.94320000000000004</v>
      </c>
      <c r="G15" s="14">
        <v>1.03596</v>
      </c>
      <c r="H15" s="14">
        <v>0.96043000000000001</v>
      </c>
      <c r="I15" s="96"/>
    </row>
    <row r="16" spans="1:9" x14ac:dyDescent="0.25">
      <c r="A16" s="47"/>
      <c r="B16" s="40" t="s">
        <v>8789</v>
      </c>
      <c r="C16" s="14">
        <v>0.83528000000000002</v>
      </c>
      <c r="D16" s="14">
        <v>0.93764000000000003</v>
      </c>
      <c r="E16" s="14">
        <v>1.25308</v>
      </c>
      <c r="F16" s="14">
        <v>0.93159999999999998</v>
      </c>
      <c r="G16" s="14">
        <v>0.94576000000000005</v>
      </c>
      <c r="H16" s="14">
        <v>0.94537000000000004</v>
      </c>
      <c r="I16" s="96"/>
    </row>
    <row r="17" spans="2:9" x14ac:dyDescent="0.25">
      <c r="B17" s="40" t="s">
        <v>8790</v>
      </c>
      <c r="C17" s="14">
        <v>0.47371000000000002</v>
      </c>
      <c r="D17" s="14">
        <v>0.99383999999999995</v>
      </c>
      <c r="E17" s="14">
        <v>0.42060999999999998</v>
      </c>
      <c r="F17" s="14">
        <v>1.0255300000000001</v>
      </c>
      <c r="G17" s="14">
        <v>0.50555000000000005</v>
      </c>
      <c r="H17" s="14">
        <v>1.00562</v>
      </c>
      <c r="I17" s="96"/>
    </row>
    <row r="18" spans="2:9" x14ac:dyDescent="0.25">
      <c r="B18" s="40" t="s">
        <v>8793</v>
      </c>
      <c r="C18" s="14">
        <v>0.30181999999999998</v>
      </c>
      <c r="D18" s="14">
        <v>0.35992000000000002</v>
      </c>
      <c r="E18" s="14">
        <v>5.8199999999999997E-3</v>
      </c>
      <c r="F18" s="14">
        <v>0</v>
      </c>
      <c r="G18" s="14">
        <v>0.25096000000000002</v>
      </c>
      <c r="H18" s="14">
        <v>0.31272</v>
      </c>
      <c r="I18" s="96"/>
    </row>
    <row r="19" spans="2:9" x14ac:dyDescent="0.25">
      <c r="B19" s="41" t="s">
        <v>8794</v>
      </c>
      <c r="C19" s="15">
        <v>0.26315</v>
      </c>
      <c r="D19" s="15">
        <v>0.36303000000000002</v>
      </c>
      <c r="E19" s="15">
        <v>0.15243000000000001</v>
      </c>
      <c r="F19" s="15">
        <v>4.4749999999999998E-2</v>
      </c>
      <c r="G19" s="15">
        <v>0.27427000000000001</v>
      </c>
      <c r="H19" s="15">
        <v>0.35037000000000001</v>
      </c>
      <c r="I19" s="97"/>
    </row>
    <row r="20" spans="2:9" x14ac:dyDescent="0.25">
      <c r="B20" s="38" t="s">
        <v>8788</v>
      </c>
      <c r="C20" s="36">
        <v>0.90476000000000001</v>
      </c>
      <c r="D20" s="36">
        <v>0.95270999999999995</v>
      </c>
      <c r="E20" s="36">
        <v>0.97407999999999995</v>
      </c>
      <c r="F20" s="36">
        <v>0.94320000000000004</v>
      </c>
      <c r="G20" s="36">
        <v>0.90159999999999996</v>
      </c>
      <c r="H20" s="36">
        <v>0.96043000000000001</v>
      </c>
      <c r="I20" s="84" t="s">
        <v>8805</v>
      </c>
    </row>
    <row r="21" spans="2:9" x14ac:dyDescent="0.25">
      <c r="B21" s="38" t="s">
        <v>8789</v>
      </c>
      <c r="C21" s="36">
        <v>0.88888999999999996</v>
      </c>
      <c r="D21" s="36">
        <v>0.93764000000000003</v>
      </c>
      <c r="E21" s="36">
        <v>1.284</v>
      </c>
      <c r="F21" s="36">
        <v>0.93159999999999998</v>
      </c>
      <c r="G21" s="36">
        <v>1.0188600000000001</v>
      </c>
      <c r="H21" s="36">
        <v>0.94537000000000004</v>
      </c>
      <c r="I21" s="85"/>
    </row>
    <row r="22" spans="2:9" x14ac:dyDescent="0.25">
      <c r="B22" s="38" t="s">
        <v>8790</v>
      </c>
      <c r="C22" s="36">
        <v>0.46032000000000001</v>
      </c>
      <c r="D22" s="36">
        <v>0.99383999999999995</v>
      </c>
      <c r="E22" s="36">
        <v>0.28887000000000002</v>
      </c>
      <c r="F22" s="36">
        <v>1.0255300000000001</v>
      </c>
      <c r="G22" s="36">
        <v>0.41787999999999997</v>
      </c>
      <c r="H22" s="36">
        <v>1.00562</v>
      </c>
      <c r="I22" s="85"/>
    </row>
    <row r="23" spans="2:9" x14ac:dyDescent="0.25">
      <c r="B23" s="38" t="s">
        <v>8793</v>
      </c>
      <c r="C23" s="36">
        <v>0.30159000000000002</v>
      </c>
      <c r="D23" s="36">
        <v>0.35992000000000002</v>
      </c>
      <c r="E23" s="36">
        <v>4.4400000000000004E-3</v>
      </c>
      <c r="F23" s="36">
        <v>0</v>
      </c>
      <c r="G23" s="36">
        <v>0.24060999999999999</v>
      </c>
      <c r="H23" s="36">
        <v>0.31272</v>
      </c>
      <c r="I23" s="85"/>
    </row>
    <row r="24" spans="2:9" x14ac:dyDescent="0.25">
      <c r="B24" s="38" t="s">
        <v>8794</v>
      </c>
      <c r="C24" s="36">
        <v>0.26984000000000002</v>
      </c>
      <c r="D24" s="36">
        <v>0.36303000000000002</v>
      </c>
      <c r="E24" s="36">
        <v>0.21773999999999999</v>
      </c>
      <c r="F24" s="36">
        <v>4.4749999999999998E-2</v>
      </c>
      <c r="G24" s="36">
        <v>0.37986999999999999</v>
      </c>
      <c r="H24" s="36">
        <v>0.35037000000000001</v>
      </c>
      <c r="I24" s="85"/>
    </row>
  </sheetData>
  <mergeCells count="11">
    <mergeCell ref="I11:I13"/>
    <mergeCell ref="I14:I19"/>
    <mergeCell ref="I20:I24"/>
    <mergeCell ref="B8:B10"/>
    <mergeCell ref="C8:D8"/>
    <mergeCell ref="E8:F8"/>
    <mergeCell ref="G8:H8"/>
    <mergeCell ref="I8:I10"/>
    <mergeCell ref="C9:D9"/>
    <mergeCell ref="E9:F9"/>
    <mergeCell ref="G9:H9"/>
  </mergeCells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8"/>
  <sheetViews>
    <sheetView zoomScale="85" zoomScaleNormal="85" workbookViewId="0">
      <selection activeCell="A5" sqref="A5"/>
    </sheetView>
  </sheetViews>
  <sheetFormatPr defaultColWidth="11.42578125" defaultRowHeight="15" x14ac:dyDescent="0.25"/>
  <cols>
    <col min="6" max="6" width="13.5703125" bestFit="1" customWidth="1"/>
    <col min="7" max="7" width="12.85546875" bestFit="1" customWidth="1"/>
    <col min="11" max="11" width="13.28515625" bestFit="1" customWidth="1"/>
    <col min="15" max="15" width="13.28515625" bestFit="1" customWidth="1"/>
    <col min="19" max="19" width="13.28515625" bestFit="1" customWidth="1"/>
    <col min="23" max="23" width="13.28515625" bestFit="1" customWidth="1"/>
  </cols>
  <sheetData>
    <row r="1" spans="1:24" x14ac:dyDescent="0.25">
      <c r="A1" s="1" t="s">
        <v>8806</v>
      </c>
      <c r="B1" s="1"/>
      <c r="C1" s="1"/>
      <c r="D1" s="1"/>
      <c r="E1" s="1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</row>
    <row r="2" spans="1:24" ht="15" customHeight="1" x14ac:dyDescent="0.25">
      <c r="A2" s="31" t="s">
        <v>8807</v>
      </c>
      <c r="B2" s="31"/>
      <c r="C2" s="31"/>
      <c r="D2" s="31"/>
      <c r="E2" s="31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</row>
    <row r="4" spans="1:24" x14ac:dyDescent="0.25">
      <c r="A4" s="2" t="s">
        <v>8746</v>
      </c>
      <c r="B4" s="2"/>
      <c r="C4" s="2"/>
      <c r="D4" s="2"/>
      <c r="E4" s="2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</row>
    <row r="5" spans="1:24" x14ac:dyDescent="0.25">
      <c r="A5" s="43" t="s">
        <v>8819</v>
      </c>
      <c r="B5" s="43"/>
      <c r="C5" s="43"/>
      <c r="D5" s="43"/>
      <c r="E5" s="43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</row>
    <row r="6" spans="1:24" x14ac:dyDescent="0.25">
      <c r="A6" s="47" t="s">
        <v>8799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</row>
    <row r="7" spans="1:24" x14ac:dyDescent="0.25">
      <c r="A7" s="47" t="s">
        <v>8808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</row>
    <row r="10" spans="1:24" ht="15" customHeight="1" x14ac:dyDescent="0.25">
      <c r="A10" s="47"/>
      <c r="B10" s="45"/>
      <c r="C10" s="94" t="s">
        <v>8809</v>
      </c>
      <c r="D10" s="94"/>
      <c r="E10" s="47"/>
      <c r="F10" s="28" t="s">
        <v>8810</v>
      </c>
      <c r="G10" s="91" t="s">
        <v>8789</v>
      </c>
      <c r="H10" s="80"/>
      <c r="I10" s="37"/>
      <c r="J10" s="28"/>
      <c r="K10" s="91" t="s">
        <v>8793</v>
      </c>
      <c r="L10" s="80"/>
      <c r="M10" s="37"/>
      <c r="N10" s="28"/>
      <c r="O10" s="91" t="s">
        <v>8790</v>
      </c>
      <c r="P10" s="80"/>
      <c r="Q10" s="37"/>
      <c r="R10" s="28"/>
      <c r="S10" s="91" t="s">
        <v>8794</v>
      </c>
      <c r="T10" s="80"/>
      <c r="U10" s="37"/>
      <c r="V10" s="28"/>
      <c r="W10" s="91" t="s">
        <v>8788</v>
      </c>
      <c r="X10" s="80"/>
    </row>
    <row r="11" spans="1:24" ht="30" customHeight="1" x14ac:dyDescent="0.25">
      <c r="A11" s="47"/>
      <c r="B11" s="79" t="s">
        <v>8761</v>
      </c>
      <c r="C11" s="72" t="s">
        <v>8765</v>
      </c>
      <c r="D11" s="72"/>
      <c r="E11" s="47"/>
      <c r="F11" s="79" t="s">
        <v>8761</v>
      </c>
      <c r="G11" s="72" t="s">
        <v>8765</v>
      </c>
      <c r="H11" s="72"/>
      <c r="I11" s="47"/>
      <c r="J11" s="79" t="s">
        <v>8761</v>
      </c>
      <c r="K11" s="72" t="s">
        <v>8765</v>
      </c>
      <c r="L11" s="72"/>
      <c r="M11" s="47"/>
      <c r="N11" s="79" t="s">
        <v>8761</v>
      </c>
      <c r="O11" s="72" t="s">
        <v>8765</v>
      </c>
      <c r="P11" s="72"/>
      <c r="Q11" s="47"/>
      <c r="R11" s="79" t="s">
        <v>8761</v>
      </c>
      <c r="S11" s="72" t="s">
        <v>8765</v>
      </c>
      <c r="T11" s="72"/>
      <c r="U11" s="47"/>
      <c r="V11" s="79" t="s">
        <v>8761</v>
      </c>
      <c r="W11" s="72" t="s">
        <v>8765</v>
      </c>
      <c r="X11" s="72"/>
    </row>
    <row r="12" spans="1:24" x14ac:dyDescent="0.25">
      <c r="A12" s="47"/>
      <c r="B12" s="79"/>
      <c r="C12" s="93" t="s">
        <v>8732</v>
      </c>
      <c r="D12" s="93"/>
      <c r="E12" s="47"/>
      <c r="F12" s="79"/>
      <c r="G12" s="93" t="s">
        <v>8732</v>
      </c>
      <c r="H12" s="93"/>
      <c r="I12" s="47"/>
      <c r="J12" s="79"/>
      <c r="K12" s="93" t="s">
        <v>8732</v>
      </c>
      <c r="L12" s="93"/>
      <c r="M12" s="47"/>
      <c r="N12" s="79"/>
      <c r="O12" s="93" t="s">
        <v>8732</v>
      </c>
      <c r="P12" s="93"/>
      <c r="Q12" s="47"/>
      <c r="R12" s="79"/>
      <c r="S12" s="93" t="s">
        <v>8732</v>
      </c>
      <c r="T12" s="93"/>
      <c r="U12" s="47"/>
      <c r="V12" s="79"/>
      <c r="W12" s="93" t="s">
        <v>8732</v>
      </c>
      <c r="X12" s="93"/>
    </row>
    <row r="13" spans="1:24" x14ac:dyDescent="0.25">
      <c r="A13" s="47"/>
      <c r="B13" s="92"/>
      <c r="C13" s="8" t="s">
        <v>8751</v>
      </c>
      <c r="D13" s="8" t="s">
        <v>8752</v>
      </c>
      <c r="E13" s="47"/>
      <c r="F13" s="92"/>
      <c r="G13" s="8" t="s">
        <v>8751</v>
      </c>
      <c r="H13" s="8" t="s">
        <v>8752</v>
      </c>
      <c r="I13" s="47"/>
      <c r="J13" s="92"/>
      <c r="K13" s="8" t="s">
        <v>8751</v>
      </c>
      <c r="L13" s="8" t="s">
        <v>8752</v>
      </c>
      <c r="M13" s="47"/>
      <c r="N13" s="92"/>
      <c r="O13" s="8" t="s">
        <v>8751</v>
      </c>
      <c r="P13" s="8" t="s">
        <v>8752</v>
      </c>
      <c r="Q13" s="47"/>
      <c r="R13" s="92"/>
      <c r="S13" s="8" t="s">
        <v>8751</v>
      </c>
      <c r="T13" s="8" t="s">
        <v>8752</v>
      </c>
      <c r="U13" s="47"/>
      <c r="V13" s="92"/>
      <c r="W13" s="8" t="s">
        <v>8751</v>
      </c>
      <c r="X13" s="8" t="s">
        <v>8752</v>
      </c>
    </row>
    <row r="14" spans="1:24" x14ac:dyDescent="0.25">
      <c r="A14" s="47"/>
      <c r="B14" s="25" t="s">
        <v>3992</v>
      </c>
      <c r="C14" s="26">
        <v>1</v>
      </c>
      <c r="D14" s="26">
        <v>1</v>
      </c>
      <c r="E14" s="47"/>
      <c r="F14" s="25" t="s">
        <v>3992</v>
      </c>
      <c r="G14" s="26">
        <v>1</v>
      </c>
      <c r="H14" s="26">
        <v>1</v>
      </c>
      <c r="I14" s="47"/>
      <c r="J14" s="25" t="s">
        <v>3992</v>
      </c>
      <c r="K14" s="26">
        <v>1</v>
      </c>
      <c r="L14" s="26">
        <v>1</v>
      </c>
      <c r="M14" s="47"/>
      <c r="N14" s="25" t="s">
        <v>3992</v>
      </c>
      <c r="O14" s="26">
        <v>1</v>
      </c>
      <c r="P14" s="26">
        <v>1</v>
      </c>
      <c r="Q14" s="47"/>
      <c r="R14" s="25" t="s">
        <v>3992</v>
      </c>
      <c r="S14" s="26">
        <v>1</v>
      </c>
      <c r="T14" s="26">
        <v>1</v>
      </c>
      <c r="U14" s="47"/>
      <c r="V14" s="25" t="s">
        <v>3992</v>
      </c>
      <c r="W14" s="26">
        <v>1</v>
      </c>
      <c r="X14" s="26">
        <v>1</v>
      </c>
    </row>
    <row r="15" spans="1:24" x14ac:dyDescent="0.25">
      <c r="A15" s="47"/>
      <c r="B15" s="21" t="s">
        <v>319</v>
      </c>
      <c r="C15" s="26">
        <v>0.69155999999999995</v>
      </c>
      <c r="D15" s="26">
        <v>0.68459999999999999</v>
      </c>
      <c r="E15" s="47"/>
      <c r="F15" s="21" t="s">
        <v>319</v>
      </c>
      <c r="G15" s="26">
        <v>0.67147000000000001</v>
      </c>
      <c r="H15" s="26">
        <v>0.98684000000000005</v>
      </c>
      <c r="I15" s="47"/>
      <c r="J15" s="21" t="s">
        <v>319</v>
      </c>
      <c r="K15" s="26">
        <v>-2E-3</v>
      </c>
      <c r="L15" s="26">
        <v>0</v>
      </c>
      <c r="M15" s="47"/>
      <c r="N15" s="21" t="s">
        <v>319</v>
      </c>
      <c r="O15" s="26">
        <v>0.87519000000000002</v>
      </c>
      <c r="P15" s="26">
        <v>0.91007000000000005</v>
      </c>
      <c r="Q15" s="47"/>
      <c r="R15" s="21" t="s">
        <v>319</v>
      </c>
      <c r="S15" s="26">
        <v>0.81327000000000005</v>
      </c>
      <c r="T15" s="26">
        <v>0</v>
      </c>
      <c r="U15" s="47"/>
      <c r="V15" s="21" t="s">
        <v>319</v>
      </c>
      <c r="W15" s="26">
        <v>0.97584000000000004</v>
      </c>
      <c r="X15" s="26">
        <v>0.98634999999999995</v>
      </c>
    </row>
    <row r="16" spans="1:24" x14ac:dyDescent="0.25">
      <c r="A16" s="47"/>
      <c r="B16" s="21" t="s">
        <v>307</v>
      </c>
      <c r="C16" s="26">
        <v>0.80878000000000005</v>
      </c>
      <c r="D16" s="26">
        <v>0.82691000000000003</v>
      </c>
      <c r="E16" s="47"/>
      <c r="F16" s="21" t="s">
        <v>307</v>
      </c>
      <c r="G16" s="26">
        <v>0.62034999999999996</v>
      </c>
      <c r="H16" s="26">
        <v>0.92822000000000005</v>
      </c>
      <c r="I16" s="47"/>
      <c r="J16" s="21" t="s">
        <v>307</v>
      </c>
      <c r="K16" s="26">
        <v>0.50383999999999995</v>
      </c>
      <c r="L16" s="26">
        <v>0.58838999999999997</v>
      </c>
      <c r="M16" s="47"/>
      <c r="N16" s="21" t="s">
        <v>307</v>
      </c>
      <c r="O16" s="26">
        <v>0.86880999999999997</v>
      </c>
      <c r="P16" s="26">
        <v>0.90308999999999995</v>
      </c>
      <c r="Q16" s="47"/>
      <c r="R16" s="21" t="s">
        <v>307</v>
      </c>
      <c r="S16" s="26">
        <v>0.87261999999999995</v>
      </c>
      <c r="T16" s="26">
        <v>0.71543999999999996</v>
      </c>
      <c r="U16" s="47"/>
      <c r="V16" s="21" t="s">
        <v>307</v>
      </c>
      <c r="W16" s="26">
        <v>0.91103000000000001</v>
      </c>
      <c r="X16" s="26">
        <v>0.95072000000000001</v>
      </c>
    </row>
    <row r="17" spans="2:24" x14ac:dyDescent="0.25">
      <c r="B17" s="21" t="s">
        <v>4391</v>
      </c>
      <c r="C17" s="26">
        <v>0.80878000000000005</v>
      </c>
      <c r="D17" s="26">
        <v>0.81584999999999996</v>
      </c>
      <c r="E17" s="47"/>
      <c r="F17" s="21" t="s">
        <v>4391</v>
      </c>
      <c r="G17" s="26">
        <v>0.62034999999999996</v>
      </c>
      <c r="H17" s="26">
        <v>0.91725000000000001</v>
      </c>
      <c r="I17" s="47"/>
      <c r="J17" s="21" t="s">
        <v>4391</v>
      </c>
      <c r="K17" s="26">
        <v>0.50383999999999995</v>
      </c>
      <c r="L17" s="26">
        <v>0.57564000000000004</v>
      </c>
      <c r="M17" s="47"/>
      <c r="N17" s="21" t="s">
        <v>4391</v>
      </c>
      <c r="O17" s="26">
        <v>0.86880999999999997</v>
      </c>
      <c r="P17" s="26">
        <v>0.89219000000000004</v>
      </c>
      <c r="Q17" s="47"/>
      <c r="R17" s="21" t="s">
        <v>4391</v>
      </c>
      <c r="S17" s="26">
        <v>1.6449999999999999E-2</v>
      </c>
      <c r="T17" s="26">
        <v>0</v>
      </c>
      <c r="U17" s="47"/>
      <c r="V17" s="21" t="s">
        <v>4391</v>
      </c>
      <c r="W17" s="26">
        <v>0.91103000000000001</v>
      </c>
      <c r="X17" s="26">
        <v>0.93933</v>
      </c>
    </row>
    <row r="18" spans="2:24" x14ac:dyDescent="0.25">
      <c r="B18" s="21" t="s">
        <v>1771</v>
      </c>
      <c r="C18" s="26">
        <v>1.6746300000000001</v>
      </c>
      <c r="D18" s="26">
        <v>1.7091799999999999</v>
      </c>
      <c r="E18" s="47"/>
      <c r="F18" s="21" t="s">
        <v>1771</v>
      </c>
      <c r="G18" s="26">
        <v>1.5017199999999999</v>
      </c>
      <c r="H18" s="26">
        <v>1.8114600000000001</v>
      </c>
      <c r="I18" s="47"/>
      <c r="J18" s="21" t="s">
        <v>1771</v>
      </c>
      <c r="K18" s="26">
        <v>1.3187800000000001</v>
      </c>
      <c r="L18" s="26">
        <v>1.4527699999999999</v>
      </c>
      <c r="M18" s="47"/>
      <c r="N18" s="21" t="s">
        <v>1771</v>
      </c>
      <c r="O18" s="26">
        <v>1.72801</v>
      </c>
      <c r="P18" s="26">
        <v>1.7871300000000001</v>
      </c>
      <c r="Q18" s="47"/>
      <c r="R18" s="21" t="s">
        <v>1771</v>
      </c>
      <c r="S18" s="26">
        <v>0.92308000000000001</v>
      </c>
      <c r="T18" s="26">
        <v>1.0672699999999999</v>
      </c>
      <c r="U18" s="47"/>
      <c r="V18" s="21" t="s">
        <v>1771</v>
      </c>
      <c r="W18" s="26">
        <v>1.77789</v>
      </c>
      <c r="X18" s="26">
        <v>1.8673599999999999</v>
      </c>
    </row>
    <row r="19" spans="2:24" x14ac:dyDescent="0.25">
      <c r="B19" s="21" t="s">
        <v>303</v>
      </c>
      <c r="C19" s="26">
        <v>1.5406899999999999</v>
      </c>
      <c r="D19" s="26">
        <v>1.7091799999999999</v>
      </c>
      <c r="E19" s="47"/>
      <c r="F19" s="21" t="s">
        <v>303</v>
      </c>
      <c r="G19" s="26">
        <v>1.3937900000000001</v>
      </c>
      <c r="H19" s="26">
        <v>1.8114600000000001</v>
      </c>
      <c r="I19" s="47"/>
      <c r="J19" s="21" t="s">
        <v>303</v>
      </c>
      <c r="K19" s="26">
        <v>1.16648</v>
      </c>
      <c r="L19" s="26">
        <v>1.4527699999999999</v>
      </c>
      <c r="M19" s="47"/>
      <c r="N19" s="21" t="s">
        <v>303</v>
      </c>
      <c r="O19" s="26">
        <v>1.58962</v>
      </c>
      <c r="P19" s="26">
        <v>1.7871300000000001</v>
      </c>
      <c r="Q19" s="47"/>
      <c r="R19" s="21" t="s">
        <v>303</v>
      </c>
      <c r="S19" s="26">
        <v>0.83509999999999995</v>
      </c>
      <c r="T19" s="26">
        <v>1.0672699999999999</v>
      </c>
      <c r="U19" s="47"/>
      <c r="V19" s="21" t="s">
        <v>303</v>
      </c>
      <c r="W19" s="26">
        <v>1.64455</v>
      </c>
      <c r="X19" s="26">
        <v>1.8673599999999999</v>
      </c>
    </row>
    <row r="20" spans="2:24" x14ac:dyDescent="0.25">
      <c r="B20" s="21" t="s">
        <v>257</v>
      </c>
      <c r="C20" s="26">
        <v>0.24065</v>
      </c>
      <c r="D20" s="26">
        <v>0</v>
      </c>
      <c r="E20" s="47"/>
      <c r="F20" s="21" t="s">
        <v>257</v>
      </c>
      <c r="G20" s="26">
        <v>0.13023999999999999</v>
      </c>
      <c r="H20" s="26">
        <v>0</v>
      </c>
      <c r="I20" s="47"/>
      <c r="J20" s="21" t="s">
        <v>257</v>
      </c>
      <c r="K20" s="26">
        <v>3.3939999999999998E-2</v>
      </c>
      <c r="L20" s="26">
        <v>0</v>
      </c>
      <c r="M20" s="47"/>
      <c r="N20" s="21" t="s">
        <v>257</v>
      </c>
      <c r="O20" s="26">
        <v>0.27903</v>
      </c>
      <c r="P20" s="26">
        <v>0</v>
      </c>
      <c r="Q20" s="47"/>
      <c r="R20" s="21" t="s">
        <v>257</v>
      </c>
      <c r="S20" s="26">
        <v>-8.3839999999999998E-2</v>
      </c>
      <c r="T20" s="26">
        <v>0</v>
      </c>
      <c r="U20" s="47"/>
      <c r="V20" s="21" t="s">
        <v>257</v>
      </c>
      <c r="W20" s="26">
        <v>0.30101</v>
      </c>
      <c r="X20" s="26">
        <v>0</v>
      </c>
    </row>
    <row r="21" spans="2:24" x14ac:dyDescent="0.25">
      <c r="B21" s="21" t="s">
        <v>2053</v>
      </c>
      <c r="C21" s="26">
        <v>0.28758</v>
      </c>
      <c r="D21" s="26">
        <v>0.30213000000000001</v>
      </c>
      <c r="E21" s="47"/>
      <c r="F21" s="21" t="s">
        <v>2053</v>
      </c>
      <c r="G21" s="26">
        <v>0.29897000000000001</v>
      </c>
      <c r="H21" s="26">
        <v>0</v>
      </c>
      <c r="I21" s="47"/>
      <c r="J21" s="21" t="s">
        <v>2053</v>
      </c>
      <c r="K21" s="26">
        <v>0.94301000000000001</v>
      </c>
      <c r="L21" s="26">
        <v>0.98472000000000004</v>
      </c>
      <c r="M21" s="47"/>
      <c r="N21" s="21" t="s">
        <v>2053</v>
      </c>
      <c r="O21" s="26">
        <v>0.10075000000000001</v>
      </c>
      <c r="P21" s="26">
        <v>7.6859999999999998E-2</v>
      </c>
      <c r="Q21" s="47"/>
      <c r="R21" s="21" t="s">
        <v>2053</v>
      </c>
      <c r="S21" s="26">
        <v>0.16528999999999999</v>
      </c>
      <c r="T21" s="26">
        <v>1.18326</v>
      </c>
      <c r="U21" s="47"/>
      <c r="V21" s="21" t="s">
        <v>2053</v>
      </c>
      <c r="W21" s="26">
        <v>2.4599999999999999E-3</v>
      </c>
      <c r="X21" s="26">
        <v>0</v>
      </c>
    </row>
    <row r="22" spans="2:24" x14ac:dyDescent="0.25">
      <c r="B22" s="21" t="s">
        <v>1779</v>
      </c>
      <c r="C22" s="26">
        <v>0.27549000000000001</v>
      </c>
      <c r="D22" s="26">
        <v>0.30213000000000001</v>
      </c>
      <c r="E22" s="47"/>
      <c r="F22" s="21" t="s">
        <v>1779</v>
      </c>
      <c r="G22" s="26">
        <v>9.9999999999999998E-13</v>
      </c>
      <c r="H22" s="26">
        <v>0</v>
      </c>
      <c r="I22" s="47"/>
      <c r="J22" s="21" t="s">
        <v>1779</v>
      </c>
      <c r="K22" s="26">
        <v>0.86902999999999997</v>
      </c>
      <c r="L22" s="26">
        <v>0.98472000000000004</v>
      </c>
      <c r="M22" s="47"/>
      <c r="N22" s="21" t="s">
        <v>1779</v>
      </c>
      <c r="O22" s="26">
        <v>9.1200000000000003E-2</v>
      </c>
      <c r="P22" s="26">
        <v>7.6859999999999998E-2</v>
      </c>
      <c r="Q22" s="47"/>
      <c r="R22" s="21" t="s">
        <v>1779</v>
      </c>
      <c r="S22" s="26">
        <v>0.15049000000000001</v>
      </c>
      <c r="T22" s="26">
        <v>1.18326</v>
      </c>
      <c r="U22" s="47"/>
      <c r="V22" s="21" t="s">
        <v>1779</v>
      </c>
      <c r="W22" s="26">
        <v>9.9995400000000008E-13</v>
      </c>
      <c r="X22" s="26">
        <v>3.7769999999999998E-2</v>
      </c>
    </row>
    <row r="23" spans="2:24" x14ac:dyDescent="0.25">
      <c r="B23" s="21" t="s">
        <v>335</v>
      </c>
      <c r="C23" s="26">
        <v>0.12315</v>
      </c>
      <c r="D23" s="26">
        <v>0.14940000000000001</v>
      </c>
      <c r="E23" s="47"/>
      <c r="F23" s="21" t="s">
        <v>335</v>
      </c>
      <c r="G23" s="26">
        <v>0</v>
      </c>
      <c r="H23" s="26">
        <v>0</v>
      </c>
      <c r="I23" s="47"/>
      <c r="J23" s="21" t="s">
        <v>335</v>
      </c>
      <c r="K23" s="26">
        <v>0.51431000000000004</v>
      </c>
      <c r="L23" s="26">
        <v>0.59655000000000002</v>
      </c>
      <c r="M23" s="47"/>
      <c r="N23" s="21" t="s">
        <v>335</v>
      </c>
      <c r="O23" s="26">
        <v>0</v>
      </c>
      <c r="P23" s="26">
        <v>0</v>
      </c>
      <c r="Q23" s="47"/>
      <c r="R23" s="21" t="s">
        <v>335</v>
      </c>
      <c r="S23" s="26">
        <v>6.3640000000000002E-2</v>
      </c>
      <c r="T23" s="26">
        <v>0.72423000000000004</v>
      </c>
      <c r="U23" s="47"/>
      <c r="V23" s="21" t="s">
        <v>335</v>
      </c>
      <c r="W23" s="26">
        <v>0</v>
      </c>
      <c r="X23" s="26">
        <v>0</v>
      </c>
    </row>
    <row r="24" spans="2:24" x14ac:dyDescent="0.25">
      <c r="B24" s="21" t="s">
        <v>7493</v>
      </c>
      <c r="C24" s="26">
        <v>0</v>
      </c>
      <c r="D24" s="26">
        <v>0</v>
      </c>
      <c r="E24" s="47"/>
      <c r="F24" s="21" t="s">
        <v>7493</v>
      </c>
      <c r="G24" s="26">
        <v>4.632E-2</v>
      </c>
      <c r="H24" s="26">
        <v>5.1589999999999997E-2</v>
      </c>
      <c r="I24" s="47"/>
      <c r="J24" s="21" t="s">
        <v>7493</v>
      </c>
      <c r="K24" s="26">
        <v>0</v>
      </c>
      <c r="L24" s="26">
        <v>0</v>
      </c>
      <c r="M24" s="47"/>
      <c r="N24" s="21" t="s">
        <v>7493</v>
      </c>
      <c r="O24" s="26">
        <v>2.7682299999999999E-4</v>
      </c>
      <c r="P24" s="26">
        <v>0</v>
      </c>
      <c r="Q24" s="47"/>
      <c r="R24" s="21" t="s">
        <v>7493</v>
      </c>
      <c r="S24" s="26">
        <v>0</v>
      </c>
      <c r="T24" s="26">
        <v>0</v>
      </c>
      <c r="U24" s="47"/>
      <c r="V24" s="21" t="s">
        <v>7493</v>
      </c>
      <c r="W24" s="26">
        <v>5.8749999999999997E-2</v>
      </c>
      <c r="X24" s="26">
        <v>2.8340000000000001E-2</v>
      </c>
    </row>
    <row r="25" spans="2:24" x14ac:dyDescent="0.25">
      <c r="B25" s="21" t="s">
        <v>4395</v>
      </c>
      <c r="C25" s="26">
        <v>0.15234</v>
      </c>
      <c r="D25" s="26">
        <v>0</v>
      </c>
      <c r="E25" s="47"/>
      <c r="F25" s="21" t="s">
        <v>4395</v>
      </c>
      <c r="G25" s="26">
        <v>4.632E-2</v>
      </c>
      <c r="H25" s="26">
        <v>0</v>
      </c>
      <c r="I25" s="47"/>
      <c r="J25" s="21" t="s">
        <v>4395</v>
      </c>
      <c r="K25" s="26">
        <v>0.35472999999999999</v>
      </c>
      <c r="L25" s="26">
        <v>0</v>
      </c>
      <c r="M25" s="47"/>
      <c r="N25" s="21" t="s">
        <v>4395</v>
      </c>
      <c r="O25" s="26">
        <v>9.1469999999999996E-2</v>
      </c>
      <c r="P25" s="26">
        <v>0</v>
      </c>
      <c r="Q25" s="47"/>
      <c r="R25" s="21" t="s">
        <v>4395</v>
      </c>
      <c r="S25" s="26">
        <v>8.6860000000000007E-2</v>
      </c>
      <c r="T25" s="26">
        <v>0</v>
      </c>
      <c r="U25" s="47"/>
      <c r="V25" s="21" t="s">
        <v>4395</v>
      </c>
      <c r="W25" s="26">
        <v>5.8749999999999997E-2</v>
      </c>
      <c r="X25" s="26">
        <v>0</v>
      </c>
    </row>
    <row r="26" spans="2:24" x14ac:dyDescent="0.25">
      <c r="B26" s="21" t="s">
        <v>544</v>
      </c>
      <c r="C26" s="26">
        <v>1.21E-2</v>
      </c>
      <c r="D26" s="26">
        <v>0</v>
      </c>
      <c r="E26" s="47"/>
      <c r="F26" s="21" t="s">
        <v>544</v>
      </c>
      <c r="G26" s="26">
        <v>0.29897000000000001</v>
      </c>
      <c r="H26" s="26">
        <v>0</v>
      </c>
      <c r="I26" s="47"/>
      <c r="J26" s="21" t="s">
        <v>544</v>
      </c>
      <c r="K26" s="26">
        <v>7.3980000000000004E-2</v>
      </c>
      <c r="L26" s="26">
        <v>0</v>
      </c>
      <c r="M26" s="47"/>
      <c r="N26" s="21" t="s">
        <v>544</v>
      </c>
      <c r="O26" s="26">
        <v>9.5499999999999995E-3</v>
      </c>
      <c r="P26" s="26">
        <v>0</v>
      </c>
      <c r="Q26" s="47"/>
      <c r="R26" s="21" t="s">
        <v>544</v>
      </c>
      <c r="S26" s="26">
        <v>1.4800000000000001E-2</v>
      </c>
      <c r="T26" s="26">
        <v>0</v>
      </c>
      <c r="U26" s="47"/>
      <c r="V26" s="21" t="s">
        <v>544</v>
      </c>
      <c r="W26" s="26">
        <v>2.4599999999999999E-3</v>
      </c>
      <c r="X26" s="26">
        <v>0</v>
      </c>
    </row>
    <row r="27" spans="2:24" x14ac:dyDescent="0.25">
      <c r="B27" s="21" t="s">
        <v>327</v>
      </c>
      <c r="C27" s="26">
        <v>1.21E-2</v>
      </c>
      <c r="D27" s="26">
        <v>0</v>
      </c>
      <c r="E27" s="47"/>
      <c r="F27" s="21" t="s">
        <v>327</v>
      </c>
      <c r="G27" s="26">
        <v>0.29897000000000001</v>
      </c>
      <c r="H27" s="26">
        <v>0</v>
      </c>
      <c r="I27" s="47"/>
      <c r="J27" s="21" t="s">
        <v>327</v>
      </c>
      <c r="K27" s="26">
        <v>7.3980000000000004E-2</v>
      </c>
      <c r="L27" s="26">
        <v>0</v>
      </c>
      <c r="M27" s="47"/>
      <c r="N27" s="21" t="s">
        <v>327</v>
      </c>
      <c r="O27" s="26">
        <v>9.5499999999999995E-3</v>
      </c>
      <c r="P27" s="26">
        <v>0</v>
      </c>
      <c r="Q27" s="47"/>
      <c r="R27" s="21" t="s">
        <v>327</v>
      </c>
      <c r="S27" s="26">
        <v>1.4800000000000001E-2</v>
      </c>
      <c r="T27" s="26">
        <v>0</v>
      </c>
      <c r="U27" s="47"/>
      <c r="V27" s="21" t="s">
        <v>327</v>
      </c>
      <c r="W27" s="26">
        <v>2.4599999999999999E-3</v>
      </c>
      <c r="X27" s="26">
        <v>0</v>
      </c>
    </row>
    <row r="28" spans="2:24" x14ac:dyDescent="0.25">
      <c r="B28" s="21" t="s">
        <v>4241</v>
      </c>
      <c r="C28" s="26">
        <v>1.06999</v>
      </c>
      <c r="D28" s="26">
        <v>1.0450600000000001</v>
      </c>
      <c r="E28" s="47"/>
      <c r="F28" s="21" t="s">
        <v>4241</v>
      </c>
      <c r="G28" s="26">
        <v>1.28172</v>
      </c>
      <c r="H28" s="26">
        <v>1.15282</v>
      </c>
      <c r="I28" s="47"/>
      <c r="J28" s="21" t="s">
        <v>4241</v>
      </c>
      <c r="K28" s="26">
        <v>0.89451999999999998</v>
      </c>
      <c r="L28" s="26">
        <v>1.0417099999999999</v>
      </c>
      <c r="M28" s="47"/>
      <c r="N28" s="21" t="s">
        <v>4241</v>
      </c>
      <c r="O28" s="26">
        <v>1.0946</v>
      </c>
      <c r="P28" s="26">
        <v>1.1329800000000001</v>
      </c>
      <c r="Q28" s="47"/>
      <c r="R28" s="21" t="s">
        <v>4241</v>
      </c>
      <c r="S28" s="26">
        <v>1.65879</v>
      </c>
      <c r="T28" s="26">
        <v>1.32582</v>
      </c>
      <c r="U28" s="47"/>
      <c r="V28" s="21" t="s">
        <v>4241</v>
      </c>
      <c r="W28" s="26">
        <v>1.1487400000000001</v>
      </c>
      <c r="X28" s="26">
        <v>1.1840900000000001</v>
      </c>
    </row>
    <row r="29" spans="2:24" x14ac:dyDescent="0.25">
      <c r="B29" s="21" t="s">
        <v>193</v>
      </c>
      <c r="C29" s="26">
        <v>0.17165</v>
      </c>
      <c r="D29" s="26">
        <v>0.34573999999999999</v>
      </c>
      <c r="E29" s="47"/>
      <c r="F29" s="21" t="s">
        <v>193</v>
      </c>
      <c r="G29" s="26">
        <v>0.20079</v>
      </c>
      <c r="H29" s="26">
        <v>0.46350000000000002</v>
      </c>
      <c r="I29" s="47"/>
      <c r="J29" s="21" t="s">
        <v>193</v>
      </c>
      <c r="K29" s="26">
        <v>0.40920000000000001</v>
      </c>
      <c r="L29" s="26">
        <v>0.7117</v>
      </c>
      <c r="M29" s="47"/>
      <c r="N29" s="21" t="s">
        <v>193</v>
      </c>
      <c r="O29" s="26">
        <v>0.34661999999999998</v>
      </c>
      <c r="P29" s="26">
        <v>0.40887000000000001</v>
      </c>
      <c r="Q29" s="47"/>
      <c r="R29" s="21" t="s">
        <v>193</v>
      </c>
      <c r="S29" s="26">
        <v>0.81061000000000005</v>
      </c>
      <c r="T29" s="26">
        <v>0.85375000000000001</v>
      </c>
      <c r="U29" s="47"/>
      <c r="V29" s="21" t="s">
        <v>193</v>
      </c>
      <c r="W29" s="26">
        <v>0.18515999999999999</v>
      </c>
      <c r="X29" s="26">
        <v>0.46919</v>
      </c>
    </row>
    <row r="30" spans="2:24" x14ac:dyDescent="0.25">
      <c r="B30" s="21" t="s">
        <v>5466</v>
      </c>
      <c r="C30" s="26">
        <v>0.17165</v>
      </c>
      <c r="D30" s="26">
        <v>0.34573999999999999</v>
      </c>
      <c r="E30" s="47"/>
      <c r="F30" s="21" t="s">
        <v>5466</v>
      </c>
      <c r="G30" s="26">
        <v>0.20079</v>
      </c>
      <c r="H30" s="26">
        <v>0.46350000000000002</v>
      </c>
      <c r="I30" s="47"/>
      <c r="J30" s="21" t="s">
        <v>5466</v>
      </c>
      <c r="K30" s="26">
        <v>0.40920000000000001</v>
      </c>
      <c r="L30" s="26">
        <v>0.7117</v>
      </c>
      <c r="M30" s="47"/>
      <c r="N30" s="21" t="s">
        <v>5466</v>
      </c>
      <c r="O30" s="26">
        <v>0.34661999999999998</v>
      </c>
      <c r="P30" s="26">
        <v>0.40887000000000001</v>
      </c>
      <c r="Q30" s="47"/>
      <c r="R30" s="21" t="s">
        <v>5466</v>
      </c>
      <c r="S30" s="26">
        <v>0.81061000000000005</v>
      </c>
      <c r="T30" s="26">
        <v>0.85375000000000001</v>
      </c>
      <c r="U30" s="47"/>
      <c r="V30" s="21" t="s">
        <v>5466</v>
      </c>
      <c r="W30" s="26">
        <v>0.18515999999999999</v>
      </c>
      <c r="X30" s="26">
        <v>0.46919</v>
      </c>
    </row>
    <row r="31" spans="2:24" x14ac:dyDescent="0.25">
      <c r="B31" s="21" t="s">
        <v>1609</v>
      </c>
      <c r="C31" s="26">
        <v>8.7720000000000006E-2</v>
      </c>
      <c r="D31" s="26">
        <v>0</v>
      </c>
      <c r="E31" s="47"/>
      <c r="F31" s="21" t="s">
        <v>1609</v>
      </c>
      <c r="G31" s="26">
        <v>0.13099</v>
      </c>
      <c r="H31" s="26">
        <v>0</v>
      </c>
      <c r="I31" s="47"/>
      <c r="J31" s="21" t="s">
        <v>1609</v>
      </c>
      <c r="K31" s="26">
        <v>3.8100000000000002E-2</v>
      </c>
      <c r="L31" s="26">
        <v>0</v>
      </c>
      <c r="M31" s="47"/>
      <c r="N31" s="21" t="s">
        <v>1609</v>
      </c>
      <c r="O31" s="26">
        <v>0.19192999999999999</v>
      </c>
      <c r="P31" s="26">
        <v>0</v>
      </c>
      <c r="Q31" s="47"/>
      <c r="R31" s="21" t="s">
        <v>1609</v>
      </c>
      <c r="S31" s="26">
        <v>0.46411999999999998</v>
      </c>
      <c r="T31" s="26">
        <v>0</v>
      </c>
      <c r="U31" s="47"/>
      <c r="V31" s="21" t="s">
        <v>1609</v>
      </c>
      <c r="W31" s="26">
        <v>9.6119999999999997E-2</v>
      </c>
      <c r="X31" s="26">
        <v>0</v>
      </c>
    </row>
    <row r="32" spans="2:24" x14ac:dyDescent="0.25">
      <c r="B32" s="21" t="s">
        <v>8295</v>
      </c>
      <c r="C32" s="26">
        <v>4.7550000000000002E-2</v>
      </c>
      <c r="D32" s="26">
        <v>0</v>
      </c>
      <c r="E32" s="47"/>
      <c r="F32" s="21" t="s">
        <v>8295</v>
      </c>
      <c r="G32" s="26">
        <v>9.282E-2</v>
      </c>
      <c r="H32" s="26">
        <v>0</v>
      </c>
      <c r="I32" s="47"/>
      <c r="J32" s="21" t="s">
        <v>8295</v>
      </c>
      <c r="K32" s="26">
        <v>0</v>
      </c>
      <c r="L32" s="26">
        <v>0</v>
      </c>
      <c r="M32" s="47"/>
      <c r="N32" s="21" t="s">
        <v>8295</v>
      </c>
      <c r="O32" s="26">
        <v>0.14580000000000001</v>
      </c>
      <c r="P32" s="26">
        <v>0</v>
      </c>
      <c r="Q32" s="47"/>
      <c r="R32" s="21" t="s">
        <v>8295</v>
      </c>
      <c r="S32" s="26">
        <v>0.41921999999999998</v>
      </c>
      <c r="T32" s="26">
        <v>0</v>
      </c>
      <c r="U32" s="47"/>
      <c r="V32" s="21" t="s">
        <v>8295</v>
      </c>
      <c r="W32" s="26">
        <v>5.8740000000000001E-2</v>
      </c>
      <c r="X32" s="26">
        <v>0</v>
      </c>
    </row>
    <row r="33" spans="2:24" x14ac:dyDescent="0.25">
      <c r="B33" s="21" t="s">
        <v>4337</v>
      </c>
      <c r="C33" s="26">
        <v>0</v>
      </c>
      <c r="D33" s="26">
        <v>0</v>
      </c>
      <c r="E33" s="47"/>
      <c r="F33" s="21" t="s">
        <v>4337</v>
      </c>
      <c r="G33" s="26">
        <v>0</v>
      </c>
      <c r="H33" s="26">
        <v>0</v>
      </c>
      <c r="I33" s="47"/>
      <c r="J33" s="21" t="s">
        <v>4337</v>
      </c>
      <c r="K33" s="26">
        <v>2.0899999999999998E-2</v>
      </c>
      <c r="L33" s="26">
        <v>0</v>
      </c>
      <c r="M33" s="47"/>
      <c r="N33" s="21" t="s">
        <v>4337</v>
      </c>
      <c r="O33" s="26">
        <v>0</v>
      </c>
      <c r="P33" s="26">
        <v>0</v>
      </c>
      <c r="Q33" s="47"/>
      <c r="R33" s="21" t="s">
        <v>4337</v>
      </c>
      <c r="S33" s="26">
        <v>0</v>
      </c>
      <c r="T33" s="26">
        <v>0</v>
      </c>
      <c r="U33" s="47"/>
      <c r="V33" s="21" t="s">
        <v>4337</v>
      </c>
      <c r="W33" s="26">
        <v>0</v>
      </c>
      <c r="X33" s="26">
        <v>0</v>
      </c>
    </row>
    <row r="34" spans="2:24" x14ac:dyDescent="0.25">
      <c r="B34" s="21" t="s">
        <v>5405</v>
      </c>
      <c r="C34" s="26">
        <v>7.9939999999999997E-2</v>
      </c>
      <c r="D34" s="26">
        <v>0.27176</v>
      </c>
      <c r="E34" s="47"/>
      <c r="F34" s="21" t="s">
        <v>5405</v>
      </c>
      <c r="G34" s="26">
        <v>0.12129</v>
      </c>
      <c r="H34" s="26">
        <v>0.39012999999999998</v>
      </c>
      <c r="I34" s="47"/>
      <c r="J34" s="21" t="s">
        <v>5405</v>
      </c>
      <c r="K34" s="26">
        <v>0.29247000000000001</v>
      </c>
      <c r="L34" s="26">
        <v>0.62648000000000004</v>
      </c>
      <c r="M34" s="47"/>
      <c r="N34" s="21" t="s">
        <v>5405</v>
      </c>
      <c r="O34" s="26">
        <v>0.24052999999999999</v>
      </c>
      <c r="P34" s="26">
        <v>0.33600000000000002</v>
      </c>
      <c r="Q34" s="47"/>
      <c r="R34" s="21" t="s">
        <v>5405</v>
      </c>
      <c r="S34" s="26">
        <v>0.74314999999999998</v>
      </c>
      <c r="T34" s="26">
        <v>0.76187000000000005</v>
      </c>
      <c r="U34" s="47"/>
      <c r="V34" s="21" t="s">
        <v>5405</v>
      </c>
      <c r="W34" s="26">
        <v>9.264E-2</v>
      </c>
      <c r="X34" s="26">
        <v>0.39306999999999997</v>
      </c>
    </row>
    <row r="35" spans="2:24" x14ac:dyDescent="0.25">
      <c r="B35" s="21" t="s">
        <v>585</v>
      </c>
      <c r="C35" s="26">
        <v>0.10949</v>
      </c>
      <c r="D35" s="26">
        <v>0.34125</v>
      </c>
      <c r="E35" s="47"/>
      <c r="F35" s="21" t="s">
        <v>585</v>
      </c>
      <c r="G35" s="26">
        <v>0.14723</v>
      </c>
      <c r="H35" s="26">
        <v>0.45904</v>
      </c>
      <c r="I35" s="47"/>
      <c r="J35" s="21" t="s">
        <v>585</v>
      </c>
      <c r="K35" s="26">
        <v>0.33098</v>
      </c>
      <c r="L35" s="26">
        <v>0.70652999999999999</v>
      </c>
      <c r="M35" s="47"/>
      <c r="N35" s="21" t="s">
        <v>585</v>
      </c>
      <c r="O35" s="26">
        <v>0.27549000000000001</v>
      </c>
      <c r="P35" s="26">
        <v>0.40444000000000002</v>
      </c>
      <c r="Q35" s="47"/>
      <c r="R35" s="21" t="s">
        <v>585</v>
      </c>
      <c r="S35" s="26">
        <v>0.76488999999999996</v>
      </c>
      <c r="T35" s="26">
        <v>0.84816999999999998</v>
      </c>
      <c r="U35" s="47"/>
      <c r="V35" s="21" t="s">
        <v>585</v>
      </c>
      <c r="W35" s="26">
        <v>0.12357</v>
      </c>
      <c r="X35" s="26">
        <v>0.46456999999999998</v>
      </c>
    </row>
    <row r="36" spans="2:24" x14ac:dyDescent="0.25">
      <c r="B36" s="21" t="s">
        <v>581</v>
      </c>
      <c r="C36" s="26">
        <v>0.10219</v>
      </c>
      <c r="D36" s="26">
        <v>0.34131</v>
      </c>
      <c r="E36" s="47"/>
      <c r="F36" s="21" t="s">
        <v>581</v>
      </c>
      <c r="G36" s="26">
        <v>0.13281000000000001</v>
      </c>
      <c r="H36" s="26">
        <v>0.45910000000000001</v>
      </c>
      <c r="I36" s="47"/>
      <c r="J36" s="21" t="s">
        <v>581</v>
      </c>
      <c r="K36" s="26">
        <v>0.57226999999999995</v>
      </c>
      <c r="L36" s="26">
        <v>1.0605500000000001</v>
      </c>
      <c r="M36" s="47"/>
      <c r="N36" s="21" t="s">
        <v>581</v>
      </c>
      <c r="O36" s="26">
        <v>0.30760999999999999</v>
      </c>
      <c r="P36" s="26">
        <v>0.40450000000000003</v>
      </c>
      <c r="Q36" s="47"/>
      <c r="R36" s="21" t="s">
        <v>581</v>
      </c>
      <c r="S36" s="26">
        <v>1.0573999999999999</v>
      </c>
      <c r="T36" s="26">
        <v>1.2298199999999999</v>
      </c>
      <c r="U36" s="47"/>
      <c r="V36" s="21" t="s">
        <v>581</v>
      </c>
      <c r="W36" s="26">
        <v>8.1019999999999995E-2</v>
      </c>
      <c r="X36" s="26">
        <v>0.46462999999999999</v>
      </c>
    </row>
    <row r="37" spans="2:24" x14ac:dyDescent="0.25">
      <c r="B37" s="21" t="s">
        <v>860</v>
      </c>
      <c r="C37" s="26">
        <v>4.5395500000000003E-5</v>
      </c>
      <c r="D37" s="26">
        <v>0</v>
      </c>
      <c r="E37" s="47"/>
      <c r="F37" s="21" t="s">
        <v>860</v>
      </c>
      <c r="G37" s="26">
        <v>1.57943E-7</v>
      </c>
      <c r="H37" s="26">
        <v>0</v>
      </c>
      <c r="I37" s="47"/>
      <c r="J37" s="21" t="s">
        <v>860</v>
      </c>
      <c r="K37" s="26">
        <v>0.27199000000000001</v>
      </c>
      <c r="L37" s="26">
        <v>0.35394999999999999</v>
      </c>
      <c r="M37" s="47"/>
      <c r="N37" s="21" t="s">
        <v>860</v>
      </c>
      <c r="O37" s="26">
        <v>5.7459999999999997E-2</v>
      </c>
      <c r="P37" s="26">
        <v>0</v>
      </c>
      <c r="Q37" s="47"/>
      <c r="R37" s="21" t="s">
        <v>860</v>
      </c>
      <c r="S37" s="26">
        <v>0.30075000000000002</v>
      </c>
      <c r="T37" s="26">
        <v>0.38157999999999997</v>
      </c>
      <c r="U37" s="47"/>
      <c r="V37" s="21" t="s">
        <v>860</v>
      </c>
      <c r="W37" s="26">
        <v>9.9729100000000006E-13</v>
      </c>
      <c r="X37" s="26">
        <v>0</v>
      </c>
    </row>
    <row r="38" spans="2:24" x14ac:dyDescent="0.25">
      <c r="B38" s="21" t="s">
        <v>1529</v>
      </c>
      <c r="C38" s="26">
        <v>4.5395500000000003E-5</v>
      </c>
      <c r="D38" s="26">
        <v>6.0715299999999998E-5</v>
      </c>
      <c r="E38" s="47"/>
      <c r="F38" s="21" t="s">
        <v>1529</v>
      </c>
      <c r="G38" s="26">
        <v>1.57943E-7</v>
      </c>
      <c r="H38" s="26">
        <v>6.0214199999999997E-5</v>
      </c>
      <c r="I38" s="47"/>
      <c r="J38" s="21" t="s">
        <v>1529</v>
      </c>
      <c r="K38" s="26">
        <v>0.27199000000000001</v>
      </c>
      <c r="L38" s="26">
        <v>0.35402</v>
      </c>
      <c r="M38" s="47"/>
      <c r="N38" s="21" t="s">
        <v>1529</v>
      </c>
      <c r="O38" s="26">
        <v>5.7459999999999997E-2</v>
      </c>
      <c r="P38" s="26">
        <v>5.9803599999999998E-5</v>
      </c>
      <c r="Q38" s="47"/>
      <c r="R38" s="21" t="s">
        <v>1529</v>
      </c>
      <c r="S38" s="26">
        <v>0.30075000000000002</v>
      </c>
      <c r="T38" s="26">
        <v>0.38164999999999999</v>
      </c>
      <c r="U38" s="47"/>
      <c r="V38" s="21" t="s">
        <v>1529</v>
      </c>
      <c r="W38" s="26">
        <v>9.9729100000000006E-13</v>
      </c>
      <c r="X38" s="26">
        <v>6.2466500000000002E-5</v>
      </c>
    </row>
    <row r="39" spans="2:24" x14ac:dyDescent="0.25">
      <c r="B39" s="21" t="s">
        <v>1787</v>
      </c>
      <c r="C39" s="26">
        <v>5.1000000000000004E-3</v>
      </c>
      <c r="D39" s="26">
        <v>0</v>
      </c>
      <c r="E39" s="47"/>
      <c r="F39" s="21" t="s">
        <v>1787</v>
      </c>
      <c r="G39" s="26">
        <v>8.0240400000000004E-7</v>
      </c>
      <c r="H39" s="26">
        <v>0</v>
      </c>
      <c r="I39" s="47"/>
      <c r="J39" s="21" t="s">
        <v>1787</v>
      </c>
      <c r="K39" s="26">
        <v>1.6590000000000001E-2</v>
      </c>
      <c r="L39" s="26">
        <v>0</v>
      </c>
      <c r="M39" s="47"/>
      <c r="N39" s="21" t="s">
        <v>1787</v>
      </c>
      <c r="O39" s="26">
        <v>8.1869799999999997E-4</v>
      </c>
      <c r="P39" s="26">
        <v>0</v>
      </c>
      <c r="Q39" s="47"/>
      <c r="R39" s="21" t="s">
        <v>1787</v>
      </c>
      <c r="S39" s="26">
        <v>6.0769999999999996E-6</v>
      </c>
      <c r="T39" s="26">
        <v>0</v>
      </c>
      <c r="U39" s="47"/>
      <c r="V39" s="21" t="s">
        <v>1787</v>
      </c>
      <c r="W39" s="26">
        <v>3.4399999999999999E-3</v>
      </c>
      <c r="X39" s="26">
        <v>0</v>
      </c>
    </row>
    <row r="40" spans="2:24" x14ac:dyDescent="0.25">
      <c r="B40" s="21" t="s">
        <v>217</v>
      </c>
      <c r="C40" s="26">
        <v>2.2499999999999998E-3</v>
      </c>
      <c r="D40" s="26">
        <v>0</v>
      </c>
      <c r="E40" s="47"/>
      <c r="F40" s="21" t="s">
        <v>217</v>
      </c>
      <c r="G40" s="26">
        <v>1.4420000000000001E-2</v>
      </c>
      <c r="H40" s="26">
        <v>0</v>
      </c>
      <c r="I40" s="47"/>
      <c r="J40" s="21" t="s">
        <v>217</v>
      </c>
      <c r="K40" s="26">
        <v>1.4109999999999999E-2</v>
      </c>
      <c r="L40" s="26">
        <v>0</v>
      </c>
      <c r="M40" s="47"/>
      <c r="N40" s="21" t="s">
        <v>217</v>
      </c>
      <c r="O40" s="26">
        <v>2.453E-2</v>
      </c>
      <c r="P40" s="26">
        <v>0</v>
      </c>
      <c r="Q40" s="47"/>
      <c r="R40" s="21" t="s">
        <v>217</v>
      </c>
      <c r="S40" s="26">
        <v>8.2299999999999995E-3</v>
      </c>
      <c r="T40" s="26">
        <v>0</v>
      </c>
      <c r="U40" s="47"/>
      <c r="V40" s="21" t="s">
        <v>217</v>
      </c>
      <c r="W40" s="26">
        <v>3.9109999999999999E-2</v>
      </c>
      <c r="X40" s="26">
        <v>0</v>
      </c>
    </row>
    <row r="41" spans="2:24" x14ac:dyDescent="0.25">
      <c r="B41" s="21" t="s">
        <v>886</v>
      </c>
      <c r="C41" s="26">
        <v>0.24129</v>
      </c>
      <c r="D41" s="26">
        <v>0.30726999999999999</v>
      </c>
      <c r="E41" s="47"/>
      <c r="F41" s="21" t="s">
        <v>886</v>
      </c>
      <c r="G41" s="26">
        <v>0.23402000000000001</v>
      </c>
      <c r="H41" s="26">
        <v>0.30473</v>
      </c>
      <c r="I41" s="47"/>
      <c r="J41" s="21" t="s">
        <v>886</v>
      </c>
      <c r="K41" s="26">
        <v>0.13986999999999999</v>
      </c>
      <c r="L41" s="26">
        <v>0</v>
      </c>
      <c r="M41" s="47"/>
      <c r="N41" s="21" t="s">
        <v>886</v>
      </c>
      <c r="O41" s="26">
        <v>0.24712999999999999</v>
      </c>
      <c r="P41" s="26">
        <v>0.30265999999999998</v>
      </c>
      <c r="Q41" s="47"/>
      <c r="R41" s="21" t="s">
        <v>886</v>
      </c>
      <c r="S41" s="26">
        <v>0.19908999999999999</v>
      </c>
      <c r="T41" s="26">
        <v>0</v>
      </c>
      <c r="U41" s="47"/>
      <c r="V41" s="21" t="s">
        <v>886</v>
      </c>
      <c r="W41" s="26">
        <v>0.29159000000000002</v>
      </c>
      <c r="X41" s="26">
        <v>0.31613000000000002</v>
      </c>
    </row>
    <row r="42" spans="2:24" x14ac:dyDescent="0.25">
      <c r="B42" s="21" t="s">
        <v>213</v>
      </c>
      <c r="C42" s="26">
        <v>1.7700000000000001E-3</v>
      </c>
      <c r="D42" s="26">
        <v>0</v>
      </c>
      <c r="E42" s="47"/>
      <c r="F42" s="21" t="s">
        <v>213</v>
      </c>
      <c r="G42" s="26">
        <v>2.0160000000000001E-2</v>
      </c>
      <c r="H42" s="26">
        <v>0</v>
      </c>
      <c r="I42" s="47"/>
      <c r="J42" s="21" t="s">
        <v>213</v>
      </c>
      <c r="K42" s="26">
        <v>8.6819999999999994E-2</v>
      </c>
      <c r="L42" s="26">
        <v>0</v>
      </c>
      <c r="M42" s="47"/>
      <c r="N42" s="21" t="s">
        <v>213</v>
      </c>
      <c r="O42" s="26">
        <v>5.7099999999999998E-3</v>
      </c>
      <c r="P42" s="26">
        <v>0</v>
      </c>
      <c r="Q42" s="47"/>
      <c r="R42" s="21" t="s">
        <v>213</v>
      </c>
      <c r="S42" s="26">
        <v>0.32489000000000001</v>
      </c>
      <c r="T42" s="26">
        <v>0</v>
      </c>
      <c r="U42" s="47"/>
      <c r="V42" s="21" t="s">
        <v>213</v>
      </c>
      <c r="W42" s="26">
        <v>1.0749999999999999E-2</v>
      </c>
      <c r="X42" s="26">
        <v>0</v>
      </c>
    </row>
    <row r="43" spans="2:24" x14ac:dyDescent="0.25">
      <c r="B43" s="21" t="s">
        <v>7521</v>
      </c>
      <c r="C43" s="26">
        <v>0.68572</v>
      </c>
      <c r="D43" s="26">
        <v>0.67988000000000004</v>
      </c>
      <c r="E43" s="47"/>
      <c r="F43" s="21" t="s">
        <v>7521</v>
      </c>
      <c r="G43" s="26">
        <v>0.88009000000000004</v>
      </c>
      <c r="H43" s="26">
        <v>0.67003999999999997</v>
      </c>
      <c r="I43" s="47"/>
      <c r="J43" s="21" t="s">
        <v>7521</v>
      </c>
      <c r="K43" s="26">
        <v>0</v>
      </c>
      <c r="L43" s="26">
        <v>0</v>
      </c>
      <c r="M43" s="47"/>
      <c r="N43" s="21" t="s">
        <v>7521</v>
      </c>
      <c r="O43" s="26">
        <v>0.45577000000000001</v>
      </c>
      <c r="P43" s="26">
        <v>0.70494999999999997</v>
      </c>
      <c r="Q43" s="47"/>
      <c r="R43" s="21" t="s">
        <v>7521</v>
      </c>
      <c r="S43" s="26">
        <v>0.38655</v>
      </c>
      <c r="T43" s="26">
        <v>6.6350000000000006E-2</v>
      </c>
      <c r="U43" s="47"/>
      <c r="V43" s="21" t="s">
        <v>7521</v>
      </c>
      <c r="W43" s="26">
        <v>0.74211000000000005</v>
      </c>
      <c r="X43" s="26">
        <v>0.69489000000000001</v>
      </c>
    </row>
    <row r="44" spans="2:24" x14ac:dyDescent="0.25">
      <c r="B44" s="21" t="s">
        <v>459</v>
      </c>
      <c r="C44" s="26">
        <v>0</v>
      </c>
      <c r="D44" s="26">
        <v>0</v>
      </c>
      <c r="E44" s="47"/>
      <c r="F44" s="21" t="s">
        <v>459</v>
      </c>
      <c r="G44" s="26">
        <v>0</v>
      </c>
      <c r="H44" s="26">
        <v>0</v>
      </c>
      <c r="I44" s="47"/>
      <c r="J44" s="21" t="s">
        <v>459</v>
      </c>
      <c r="K44" s="26">
        <v>3.6970000000000003E-2</v>
      </c>
      <c r="L44" s="26">
        <v>4.6350000000000002E-2</v>
      </c>
      <c r="M44" s="47"/>
      <c r="N44" s="21" t="s">
        <v>459</v>
      </c>
      <c r="O44" s="26">
        <v>0</v>
      </c>
      <c r="P44" s="26">
        <v>0</v>
      </c>
      <c r="Q44" s="47"/>
      <c r="R44" s="21" t="s">
        <v>459</v>
      </c>
      <c r="S44" s="26">
        <v>0</v>
      </c>
      <c r="T44" s="26">
        <v>0</v>
      </c>
      <c r="U44" s="47"/>
      <c r="V44" s="21" t="s">
        <v>459</v>
      </c>
      <c r="W44" s="26">
        <v>0</v>
      </c>
      <c r="X44" s="26">
        <v>0</v>
      </c>
    </row>
    <row r="45" spans="2:24" x14ac:dyDescent="0.25">
      <c r="B45" s="21" t="s">
        <v>8767</v>
      </c>
      <c r="C45" s="26">
        <v>0.72438000000000002</v>
      </c>
      <c r="D45" s="26">
        <v>0.72011000000000003</v>
      </c>
      <c r="E45" s="47"/>
      <c r="F45" s="21" t="s">
        <v>8767</v>
      </c>
      <c r="G45" s="26">
        <v>0.91288000000000002</v>
      </c>
      <c r="H45" s="26">
        <v>0.70994000000000002</v>
      </c>
      <c r="I45" s="47"/>
      <c r="J45" s="21" t="s">
        <v>8767</v>
      </c>
      <c r="K45" s="26">
        <v>1.337E-2</v>
      </c>
      <c r="L45" s="26">
        <v>0</v>
      </c>
      <c r="M45" s="47"/>
      <c r="N45" s="21" t="s">
        <v>8767</v>
      </c>
      <c r="O45" s="26">
        <v>0.50075000000000003</v>
      </c>
      <c r="P45" s="26">
        <v>0.74458000000000002</v>
      </c>
      <c r="Q45" s="47"/>
      <c r="R45" s="21" t="s">
        <v>8767</v>
      </c>
      <c r="S45" s="26">
        <v>0.41521000000000002</v>
      </c>
      <c r="T45" s="26">
        <v>0.11631</v>
      </c>
      <c r="U45" s="47"/>
      <c r="V45" s="21" t="s">
        <v>8767</v>
      </c>
      <c r="W45" s="26">
        <v>0.78261000000000003</v>
      </c>
      <c r="X45" s="26">
        <v>0.73628000000000005</v>
      </c>
    </row>
    <row r="46" spans="2:24" x14ac:dyDescent="0.25">
      <c r="B46" s="21" t="s">
        <v>8811</v>
      </c>
      <c r="C46" s="26">
        <v>1.51057</v>
      </c>
      <c r="D46" s="26">
        <v>1.77328</v>
      </c>
      <c r="E46" s="47"/>
      <c r="F46" s="21" t="s">
        <v>8811</v>
      </c>
      <c r="G46" s="26">
        <v>1.52518</v>
      </c>
      <c r="H46" s="26">
        <v>1.8166199999999999</v>
      </c>
      <c r="I46" s="47"/>
      <c r="J46" s="21" t="s">
        <v>8811</v>
      </c>
      <c r="K46" s="26">
        <v>2.08222</v>
      </c>
      <c r="L46" s="26">
        <v>2.7901600000000002</v>
      </c>
      <c r="M46" s="47"/>
      <c r="N46" s="21" t="s">
        <v>8811</v>
      </c>
      <c r="O46" s="26">
        <v>1.6101799999999999</v>
      </c>
      <c r="P46" s="26">
        <v>1.76617</v>
      </c>
      <c r="Q46" s="47"/>
      <c r="R46" s="21" t="s">
        <v>8811</v>
      </c>
      <c r="S46" s="26">
        <v>2.99743</v>
      </c>
      <c r="T46" s="26">
        <v>3.50542</v>
      </c>
      <c r="U46" s="47"/>
      <c r="V46" s="21" t="s">
        <v>8811</v>
      </c>
      <c r="W46" s="26">
        <v>1.3379700000000001</v>
      </c>
      <c r="X46" s="26">
        <v>1.8871899999999999</v>
      </c>
    </row>
    <row r="47" spans="2:24" x14ac:dyDescent="0.25">
      <c r="B47" s="21" t="s">
        <v>8812</v>
      </c>
      <c r="C47" s="26">
        <v>1.41239</v>
      </c>
      <c r="D47" s="26">
        <v>1.63558</v>
      </c>
      <c r="E47" s="47"/>
      <c r="F47" s="21" t="s">
        <v>8812</v>
      </c>
      <c r="G47" s="26">
        <v>1.41747</v>
      </c>
      <c r="H47" s="26">
        <v>1.6800600000000001</v>
      </c>
      <c r="I47" s="47"/>
      <c r="J47" s="21" t="s">
        <v>8812</v>
      </c>
      <c r="K47" s="26">
        <v>1.94333</v>
      </c>
      <c r="L47" s="26">
        <v>2.6315400000000002</v>
      </c>
      <c r="M47" s="47"/>
      <c r="N47" s="21" t="s">
        <v>8812</v>
      </c>
      <c r="O47" s="26">
        <v>1.4804299999999999</v>
      </c>
      <c r="P47" s="26">
        <v>1.6305400000000001</v>
      </c>
      <c r="Q47" s="47"/>
      <c r="R47" s="21" t="s">
        <v>8812</v>
      </c>
      <c r="S47" s="26">
        <v>2.9040900000000001</v>
      </c>
      <c r="T47" s="26">
        <v>3.3344200000000002</v>
      </c>
      <c r="U47" s="47"/>
      <c r="V47" s="21" t="s">
        <v>8812</v>
      </c>
      <c r="W47" s="26">
        <v>1.2255199999999999</v>
      </c>
      <c r="X47" s="26">
        <v>1.7455099999999999</v>
      </c>
    </row>
    <row r="48" spans="2:24" x14ac:dyDescent="0.25">
      <c r="B48" s="21" t="s">
        <v>311</v>
      </c>
      <c r="C48" s="26">
        <v>0</v>
      </c>
      <c r="D48" s="26">
        <v>0</v>
      </c>
      <c r="E48" s="47"/>
      <c r="F48" s="21" t="s">
        <v>311</v>
      </c>
      <c r="G48" s="26">
        <v>0</v>
      </c>
      <c r="H48" s="26">
        <v>0</v>
      </c>
      <c r="I48" s="47"/>
      <c r="J48" s="21" t="s">
        <v>311</v>
      </c>
      <c r="K48" s="26">
        <v>0</v>
      </c>
      <c r="L48" s="26">
        <v>0</v>
      </c>
      <c r="M48" s="47"/>
      <c r="N48" s="21" t="s">
        <v>311</v>
      </c>
      <c r="O48" s="26">
        <v>0</v>
      </c>
      <c r="P48" s="26">
        <v>0</v>
      </c>
      <c r="Q48" s="47"/>
      <c r="R48" s="21" t="s">
        <v>311</v>
      </c>
      <c r="S48" s="26">
        <v>0.85616999999999999</v>
      </c>
      <c r="T48" s="26">
        <v>0.70169000000000004</v>
      </c>
      <c r="U48" s="47"/>
      <c r="V48" s="21" t="s">
        <v>311</v>
      </c>
      <c r="W48" s="26">
        <v>0</v>
      </c>
      <c r="X48" s="26">
        <v>0</v>
      </c>
    </row>
  </sheetData>
  <mergeCells count="24">
    <mergeCell ref="S10:T10"/>
    <mergeCell ref="W10:X10"/>
    <mergeCell ref="F11:F13"/>
    <mergeCell ref="G11:H11"/>
    <mergeCell ref="J11:J13"/>
    <mergeCell ref="K11:L11"/>
    <mergeCell ref="N11:N13"/>
    <mergeCell ref="R11:R13"/>
    <mergeCell ref="S11:T11"/>
    <mergeCell ref="V11:V13"/>
    <mergeCell ref="W11:X11"/>
    <mergeCell ref="G12:H12"/>
    <mergeCell ref="K12:L12"/>
    <mergeCell ref="O12:P12"/>
    <mergeCell ref="S12:T12"/>
    <mergeCell ref="W12:X12"/>
    <mergeCell ref="C10:D10"/>
    <mergeCell ref="B11:B13"/>
    <mergeCell ref="C11:D11"/>
    <mergeCell ref="C12:D12"/>
    <mergeCell ref="O11:P11"/>
    <mergeCell ref="G10:H10"/>
    <mergeCell ref="K10:L10"/>
    <mergeCell ref="O10:P10"/>
  </mergeCells>
  <pageMargins left="0.7" right="0.7" top="0.78740157499999996" bottom="0.78740157499999996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50"/>
  <sheetViews>
    <sheetView workbookViewId="0">
      <selection activeCell="C7" sqref="C7"/>
    </sheetView>
  </sheetViews>
  <sheetFormatPr defaultColWidth="11.42578125" defaultRowHeight="15" x14ac:dyDescent="0.25"/>
  <cols>
    <col min="1" max="1" width="11.42578125" style="47"/>
    <col min="2" max="2" width="25.42578125" style="47" bestFit="1" customWidth="1"/>
    <col min="3" max="3" width="30.140625" style="59" bestFit="1" customWidth="1"/>
    <col min="4" max="16384" width="11.42578125" style="47"/>
  </cols>
  <sheetData>
    <row r="1" spans="1:3" x14ac:dyDescent="0.25">
      <c r="A1" s="47" t="s">
        <v>6</v>
      </c>
      <c r="B1" s="64"/>
      <c r="C1" s="64"/>
    </row>
    <row r="2" spans="1:3" x14ac:dyDescent="0.25">
      <c r="A2" s="47" t="s">
        <v>8821</v>
      </c>
      <c r="B2" s="64"/>
      <c r="C2" s="64"/>
    </row>
    <row r="3" spans="1:3" x14ac:dyDescent="0.25">
      <c r="A3" s="47" t="s">
        <v>8822</v>
      </c>
      <c r="B3" s="64"/>
      <c r="C3" s="64"/>
    </row>
    <row r="4" spans="1:3" x14ac:dyDescent="0.25">
      <c r="B4" s="64"/>
      <c r="C4" s="64"/>
    </row>
    <row r="5" spans="1:3" x14ac:dyDescent="0.25">
      <c r="B5" s="64"/>
      <c r="C5" s="64"/>
    </row>
    <row r="6" spans="1:3" x14ac:dyDescent="0.25">
      <c r="B6" s="64" t="s">
        <v>32</v>
      </c>
      <c r="C6" s="64" t="s">
        <v>8823</v>
      </c>
    </row>
    <row r="7" spans="1:3" x14ac:dyDescent="0.25">
      <c r="A7" s="67" t="s">
        <v>33</v>
      </c>
      <c r="B7" s="67" t="s">
        <v>38</v>
      </c>
      <c r="C7" s="60" t="s">
        <v>8824</v>
      </c>
    </row>
    <row r="8" spans="1:3" x14ac:dyDescent="0.25">
      <c r="A8" s="47" t="s">
        <v>39</v>
      </c>
      <c r="B8" s="64">
        <v>6.8624999999999998</v>
      </c>
      <c r="C8" s="61">
        <v>2.5834700000000002</v>
      </c>
    </row>
    <row r="9" spans="1:3" x14ac:dyDescent="0.25">
      <c r="A9" s="47" t="s">
        <v>43</v>
      </c>
      <c r="B9" s="64">
        <v>0.45</v>
      </c>
      <c r="C9" s="61">
        <v>0.34</v>
      </c>
    </row>
    <row r="10" spans="1:3" x14ac:dyDescent="0.25">
      <c r="A10" s="47" t="s">
        <v>47</v>
      </c>
      <c r="B10" s="64">
        <v>3.0000000000000001E-3</v>
      </c>
      <c r="C10" s="61">
        <v>0.25</v>
      </c>
    </row>
    <row r="11" spans="1:3" x14ac:dyDescent="0.25">
      <c r="A11" s="47" t="s">
        <v>51</v>
      </c>
      <c r="B11" s="64">
        <v>733.3</v>
      </c>
      <c r="C11" s="61">
        <v>7.19489</v>
      </c>
    </row>
    <row r="12" spans="1:3" x14ac:dyDescent="0.25">
      <c r="A12" s="47" t="s">
        <v>55</v>
      </c>
      <c r="B12" s="64">
        <v>82</v>
      </c>
      <c r="C12" s="61">
        <v>10.738099999999999</v>
      </c>
    </row>
    <row r="13" spans="1:3" x14ac:dyDescent="0.25">
      <c r="A13" s="47" t="s">
        <v>59</v>
      </c>
      <c r="B13" s="64">
        <v>15.7</v>
      </c>
      <c r="C13" s="61">
        <v>14.02374</v>
      </c>
    </row>
    <row r="14" spans="1:3" x14ac:dyDescent="0.25">
      <c r="A14" s="47" t="s">
        <v>63</v>
      </c>
      <c r="B14" s="64">
        <v>15.7</v>
      </c>
      <c r="C14" s="61">
        <v>15.85726</v>
      </c>
    </row>
    <row r="15" spans="1:3" x14ac:dyDescent="0.25">
      <c r="A15" s="47" t="s">
        <v>65</v>
      </c>
      <c r="B15" s="64">
        <v>15.7</v>
      </c>
      <c r="C15" s="61">
        <v>32.521619999999999</v>
      </c>
    </row>
    <row r="16" spans="1:3" x14ac:dyDescent="0.25">
      <c r="A16" s="47" t="s">
        <v>67</v>
      </c>
      <c r="B16" s="64">
        <v>31.0185</v>
      </c>
      <c r="C16" s="61">
        <v>58</v>
      </c>
    </row>
    <row r="17" spans="1:3" x14ac:dyDescent="0.25">
      <c r="A17" s="47" t="s">
        <v>71</v>
      </c>
      <c r="B17" s="64">
        <v>3.6949999999999998</v>
      </c>
      <c r="C17" s="61">
        <v>2.58589</v>
      </c>
    </row>
    <row r="18" spans="1:3" x14ac:dyDescent="0.25">
      <c r="A18" s="47" t="s">
        <v>75</v>
      </c>
      <c r="B18" s="64">
        <v>33.299999999999997</v>
      </c>
      <c r="C18" s="61">
        <v>16.757269999999998</v>
      </c>
    </row>
    <row r="19" spans="1:3" x14ac:dyDescent="0.25">
      <c r="A19" s="47" t="s">
        <v>79</v>
      </c>
      <c r="B19" s="64">
        <v>15.654999999999999</v>
      </c>
      <c r="C19" s="61">
        <v>15.0274</v>
      </c>
    </row>
    <row r="20" spans="1:3" x14ac:dyDescent="0.25">
      <c r="A20" s="47" t="s">
        <v>83</v>
      </c>
      <c r="B20" s="64">
        <v>236.745</v>
      </c>
      <c r="C20" s="61">
        <v>12.806839999999999</v>
      </c>
    </row>
    <row r="21" spans="1:3" x14ac:dyDescent="0.25">
      <c r="A21" s="47" t="s">
        <v>87</v>
      </c>
      <c r="B21" s="64">
        <v>176.85249999999999</v>
      </c>
      <c r="C21" s="61">
        <v>14</v>
      </c>
    </row>
    <row r="22" spans="1:3" x14ac:dyDescent="0.25">
      <c r="A22" s="47" t="s">
        <v>91</v>
      </c>
      <c r="B22" s="64">
        <v>6.8624999999999998</v>
      </c>
      <c r="C22" s="61">
        <v>6.2466799999999996</v>
      </c>
    </row>
    <row r="23" spans="1:3" x14ac:dyDescent="0.25">
      <c r="A23" s="47" t="s">
        <v>94</v>
      </c>
      <c r="B23" s="64">
        <v>1.38</v>
      </c>
      <c r="C23" s="61">
        <v>10.9617</v>
      </c>
    </row>
    <row r="24" spans="1:3" x14ac:dyDescent="0.25">
      <c r="A24" s="47" t="s">
        <v>98</v>
      </c>
      <c r="B24" s="64">
        <v>7.3274999999999997</v>
      </c>
      <c r="C24" s="61">
        <v>0.32</v>
      </c>
    </row>
    <row r="25" spans="1:3" x14ac:dyDescent="0.25">
      <c r="A25" s="47" t="s">
        <v>102</v>
      </c>
      <c r="B25" s="64">
        <v>2.8482799999999999</v>
      </c>
      <c r="C25" s="61">
        <v>0.34</v>
      </c>
    </row>
    <row r="26" spans="1:3" x14ac:dyDescent="0.25">
      <c r="A26" s="47" t="s">
        <v>106</v>
      </c>
      <c r="B26" s="64">
        <v>3.7166700000000001</v>
      </c>
      <c r="C26" s="61">
        <v>0.09</v>
      </c>
    </row>
    <row r="27" spans="1:3" x14ac:dyDescent="0.25">
      <c r="A27" s="47" t="s">
        <v>110</v>
      </c>
      <c r="B27" s="64">
        <v>0.59</v>
      </c>
      <c r="C27" s="61">
        <v>6.5186799999999998</v>
      </c>
    </row>
    <row r="28" spans="1:3" x14ac:dyDescent="0.25">
      <c r="A28" s="47" t="s">
        <v>114</v>
      </c>
      <c r="B28" s="64">
        <v>0.26700000000000002</v>
      </c>
      <c r="C28" s="61">
        <v>0.03</v>
      </c>
    </row>
    <row r="29" spans="1:3" x14ac:dyDescent="0.25">
      <c r="A29" s="47" t="s">
        <v>118</v>
      </c>
      <c r="B29" s="64">
        <v>0.49</v>
      </c>
      <c r="C29" s="61">
        <v>0.12</v>
      </c>
    </row>
    <row r="30" spans="1:3" x14ac:dyDescent="0.25">
      <c r="A30" s="47" t="s">
        <v>122</v>
      </c>
      <c r="B30" s="64">
        <v>0.34499999999999997</v>
      </c>
      <c r="C30" s="61">
        <v>0.12</v>
      </c>
    </row>
    <row r="31" spans="1:3" x14ac:dyDescent="0.25">
      <c r="A31" s="47" t="s">
        <v>125</v>
      </c>
      <c r="B31" s="64">
        <v>500</v>
      </c>
      <c r="C31" s="61">
        <v>1</v>
      </c>
    </row>
    <row r="32" spans="1:3" x14ac:dyDescent="0.25">
      <c r="A32" s="47" t="s">
        <v>129</v>
      </c>
      <c r="B32" s="64">
        <v>0.317</v>
      </c>
      <c r="C32" s="61">
        <v>0.81</v>
      </c>
    </row>
    <row r="33" spans="1:3" x14ac:dyDescent="0.25">
      <c r="A33" s="47" t="s">
        <v>133</v>
      </c>
      <c r="B33" s="64">
        <v>130</v>
      </c>
      <c r="C33" s="61">
        <v>8.4663900000000005</v>
      </c>
    </row>
    <row r="34" spans="1:3" x14ac:dyDescent="0.25">
      <c r="A34" s="47" t="s">
        <v>137</v>
      </c>
      <c r="B34" s="64">
        <v>5105.1071400000001</v>
      </c>
      <c r="C34" s="61">
        <v>9.1</v>
      </c>
    </row>
    <row r="35" spans="1:3" x14ac:dyDescent="0.25">
      <c r="A35" s="47" t="s">
        <v>141</v>
      </c>
      <c r="B35" s="64">
        <v>8.6</v>
      </c>
      <c r="C35" s="61">
        <v>4.7911299999999999</v>
      </c>
    </row>
    <row r="36" spans="1:3" x14ac:dyDescent="0.25">
      <c r="A36" s="47" t="s">
        <v>145</v>
      </c>
      <c r="B36" s="64">
        <v>13</v>
      </c>
      <c r="C36" s="61">
        <v>1.8</v>
      </c>
    </row>
    <row r="37" spans="1:3" x14ac:dyDescent="0.25">
      <c r="A37" s="47" t="s">
        <v>149</v>
      </c>
      <c r="B37" s="64">
        <v>380.5</v>
      </c>
      <c r="C37" s="61">
        <v>11.5608</v>
      </c>
    </row>
    <row r="38" spans="1:3" x14ac:dyDescent="0.25">
      <c r="A38" s="47" t="s">
        <v>153</v>
      </c>
      <c r="B38" s="64">
        <v>2.2000000000000002</v>
      </c>
      <c r="C38" s="61">
        <v>0.09</v>
      </c>
    </row>
    <row r="39" spans="1:3" x14ac:dyDescent="0.25">
      <c r="A39" s="47" t="s">
        <v>157</v>
      </c>
      <c r="B39" s="64">
        <v>16.080249999999999</v>
      </c>
      <c r="C39" s="61">
        <v>0.02</v>
      </c>
    </row>
    <row r="40" spans="1:3" x14ac:dyDescent="0.25">
      <c r="A40" s="47" t="s">
        <v>161</v>
      </c>
      <c r="B40" s="64">
        <v>4.1000000000000003E-3</v>
      </c>
      <c r="C40" s="61">
        <v>5.3954300000000002</v>
      </c>
    </row>
    <row r="41" spans="1:3" x14ac:dyDescent="0.25">
      <c r="A41" s="47" t="s">
        <v>165</v>
      </c>
      <c r="B41" s="64">
        <v>4.1000000000000003E-3</v>
      </c>
      <c r="C41" s="61">
        <v>2.6204499999999999</v>
      </c>
    </row>
    <row r="42" spans="1:3" x14ac:dyDescent="0.25">
      <c r="A42" s="47" t="s">
        <v>168</v>
      </c>
      <c r="B42" s="64">
        <v>4.1000000000000003E-3</v>
      </c>
      <c r="C42" s="61">
        <v>2.7726299999999999</v>
      </c>
    </row>
    <row r="43" spans="1:3" x14ac:dyDescent="0.25">
      <c r="A43" s="47" t="s">
        <v>171</v>
      </c>
      <c r="B43" s="64">
        <v>4.1000000000000003E-3</v>
      </c>
      <c r="C43" s="61">
        <v>2.6553</v>
      </c>
    </row>
    <row r="44" spans="1:3" x14ac:dyDescent="0.25">
      <c r="A44" s="47" t="s">
        <v>174</v>
      </c>
      <c r="B44" s="64">
        <v>131</v>
      </c>
      <c r="C44" s="61">
        <v>2.8999700000000002</v>
      </c>
    </row>
    <row r="45" spans="1:3" x14ac:dyDescent="0.25">
      <c r="A45" s="47" t="s">
        <v>178</v>
      </c>
      <c r="B45" s="64">
        <v>83.4</v>
      </c>
      <c r="C45" s="61">
        <v>4.9071800000000003</v>
      </c>
    </row>
    <row r="46" spans="1:3" x14ac:dyDescent="0.25">
      <c r="A46" s="47" t="s">
        <v>181</v>
      </c>
      <c r="B46" s="64">
        <v>571.5</v>
      </c>
      <c r="C46" s="61">
        <v>2.7402500000000001</v>
      </c>
    </row>
    <row r="47" spans="1:3" x14ac:dyDescent="0.25">
      <c r="A47" s="47" t="s">
        <v>185</v>
      </c>
      <c r="B47" s="64">
        <v>1.71</v>
      </c>
      <c r="C47" s="61">
        <v>10.35162</v>
      </c>
    </row>
    <row r="48" spans="1:3" x14ac:dyDescent="0.25">
      <c r="A48" s="47" t="s">
        <v>189</v>
      </c>
      <c r="B48" s="64">
        <v>42</v>
      </c>
      <c r="C48" s="61">
        <v>24</v>
      </c>
    </row>
    <row r="49" spans="1:3" x14ac:dyDescent="0.25">
      <c r="A49" s="47" t="s">
        <v>193</v>
      </c>
      <c r="B49" s="64">
        <v>51</v>
      </c>
      <c r="C49" s="61">
        <v>29</v>
      </c>
    </row>
    <row r="50" spans="1:3" x14ac:dyDescent="0.25">
      <c r="A50" s="47" t="s">
        <v>197</v>
      </c>
      <c r="B50" s="64">
        <v>11.1</v>
      </c>
      <c r="C50" s="61">
        <v>11</v>
      </c>
    </row>
    <row r="51" spans="1:3" x14ac:dyDescent="0.25">
      <c r="A51" s="47" t="s">
        <v>201</v>
      </c>
      <c r="B51" s="64">
        <v>15.7</v>
      </c>
      <c r="C51" s="61">
        <v>96.621750000000006</v>
      </c>
    </row>
    <row r="52" spans="1:3" x14ac:dyDescent="0.25">
      <c r="A52" s="47" t="s">
        <v>205</v>
      </c>
      <c r="B52" s="64">
        <v>66.599999999999994</v>
      </c>
      <c r="C52" s="61">
        <v>8.8968900000000009</v>
      </c>
    </row>
    <row r="53" spans="1:3" x14ac:dyDescent="0.25">
      <c r="A53" s="47" t="s">
        <v>209</v>
      </c>
      <c r="B53" s="64">
        <v>390</v>
      </c>
      <c r="C53" s="61">
        <v>84.261849999999995</v>
      </c>
    </row>
    <row r="54" spans="1:3" x14ac:dyDescent="0.25">
      <c r="A54" s="47" t="s">
        <v>213</v>
      </c>
      <c r="B54" s="64">
        <v>38</v>
      </c>
      <c r="C54" s="61">
        <v>26.961539999999999</v>
      </c>
    </row>
    <row r="55" spans="1:3" x14ac:dyDescent="0.25">
      <c r="A55" s="47" t="s">
        <v>217</v>
      </c>
      <c r="B55" s="64">
        <v>134.4</v>
      </c>
      <c r="C55" s="61">
        <v>16.927810000000001</v>
      </c>
    </row>
    <row r="56" spans="1:3" x14ac:dyDescent="0.25">
      <c r="A56" s="47" t="s">
        <v>221</v>
      </c>
      <c r="B56" s="64">
        <v>27.6</v>
      </c>
      <c r="C56" s="61">
        <v>31.657699999999998</v>
      </c>
    </row>
    <row r="57" spans="1:3" x14ac:dyDescent="0.25">
      <c r="A57" s="47" t="s">
        <v>225</v>
      </c>
      <c r="B57" s="64">
        <v>17.100000000000001</v>
      </c>
      <c r="C57" s="61">
        <v>17.544360000000001</v>
      </c>
    </row>
    <row r="58" spans="1:3" x14ac:dyDescent="0.25">
      <c r="A58" s="47" t="s">
        <v>229</v>
      </c>
      <c r="B58" s="64">
        <v>3308.46</v>
      </c>
      <c r="C58" s="61">
        <v>6.8893000000000004</v>
      </c>
    </row>
    <row r="59" spans="1:3" x14ac:dyDescent="0.25">
      <c r="A59" s="47" t="s">
        <v>233</v>
      </c>
      <c r="B59" s="64">
        <v>9.1666699999999999</v>
      </c>
      <c r="C59" s="61">
        <v>16.486429999999999</v>
      </c>
    </row>
    <row r="60" spans="1:3" x14ac:dyDescent="0.25">
      <c r="A60" s="47" t="s">
        <v>237</v>
      </c>
      <c r="B60" s="64">
        <v>4900</v>
      </c>
      <c r="C60" s="61">
        <v>12.68623</v>
      </c>
    </row>
    <row r="61" spans="1:3" x14ac:dyDescent="0.25">
      <c r="A61" s="47" t="s">
        <v>241</v>
      </c>
      <c r="B61" s="64">
        <v>173</v>
      </c>
      <c r="C61" s="61">
        <v>44.144210000000001</v>
      </c>
    </row>
    <row r="62" spans="1:3" x14ac:dyDescent="0.25">
      <c r="A62" s="47" t="s">
        <v>245</v>
      </c>
      <c r="B62" s="64">
        <v>404</v>
      </c>
      <c r="C62" s="61">
        <v>3.8671199999999999</v>
      </c>
    </row>
    <row r="63" spans="1:3" x14ac:dyDescent="0.25">
      <c r="A63" s="47" t="s">
        <v>249</v>
      </c>
      <c r="B63" s="64">
        <v>19.3</v>
      </c>
      <c r="C63" s="61">
        <v>76.22063</v>
      </c>
    </row>
    <row r="64" spans="1:3" x14ac:dyDescent="0.25">
      <c r="A64" s="47" t="s">
        <v>253</v>
      </c>
      <c r="B64" s="64">
        <v>370</v>
      </c>
      <c r="C64" s="61">
        <v>5.2304500000000003</v>
      </c>
    </row>
    <row r="65" spans="1:3" x14ac:dyDescent="0.25">
      <c r="A65" s="47" t="s">
        <v>257</v>
      </c>
      <c r="B65" s="64">
        <v>135.5</v>
      </c>
      <c r="C65" s="61">
        <v>118.73466000000001</v>
      </c>
    </row>
    <row r="66" spans="1:3" x14ac:dyDescent="0.25">
      <c r="A66" s="47" t="s">
        <v>261</v>
      </c>
      <c r="B66" s="64">
        <v>10.5</v>
      </c>
      <c r="C66" s="61">
        <v>15.43032</v>
      </c>
    </row>
    <row r="67" spans="1:3" x14ac:dyDescent="0.25">
      <c r="A67" s="47" t="s">
        <v>265</v>
      </c>
      <c r="B67" s="64">
        <v>10</v>
      </c>
      <c r="C67" s="61">
        <v>6.4597499999999997</v>
      </c>
    </row>
    <row r="68" spans="1:3" x14ac:dyDescent="0.25">
      <c r="A68" s="47" t="s">
        <v>269</v>
      </c>
      <c r="B68" s="64">
        <v>33</v>
      </c>
      <c r="C68" s="61">
        <v>18.62913</v>
      </c>
    </row>
    <row r="69" spans="1:3" x14ac:dyDescent="0.25">
      <c r="A69" s="47" t="s">
        <v>273</v>
      </c>
      <c r="B69" s="64">
        <v>38.94</v>
      </c>
      <c r="C69" s="61">
        <v>66.993700000000004</v>
      </c>
    </row>
    <row r="70" spans="1:3" x14ac:dyDescent="0.25">
      <c r="A70" s="47" t="s">
        <v>276</v>
      </c>
      <c r="B70" s="64">
        <v>24.628589999999999</v>
      </c>
      <c r="C70" s="61">
        <v>21</v>
      </c>
    </row>
    <row r="71" spans="1:3" x14ac:dyDescent="0.25">
      <c r="A71" s="47" t="s">
        <v>280</v>
      </c>
      <c r="B71" s="64">
        <v>383</v>
      </c>
      <c r="C71" s="61">
        <v>4.8686100000000003</v>
      </c>
    </row>
    <row r="72" spans="1:3" x14ac:dyDescent="0.25">
      <c r="A72" s="47" t="s">
        <v>284</v>
      </c>
      <c r="B72" s="64">
        <v>4.4000000000000004</v>
      </c>
      <c r="C72" s="61">
        <v>5</v>
      </c>
    </row>
    <row r="73" spans="1:3" x14ac:dyDescent="0.25">
      <c r="A73" s="47" t="s">
        <v>288</v>
      </c>
      <c r="B73" s="64">
        <v>233450</v>
      </c>
      <c r="C73" s="61">
        <v>34.193930000000002</v>
      </c>
    </row>
    <row r="74" spans="1:3" x14ac:dyDescent="0.25">
      <c r="A74" s="47" t="s">
        <v>292</v>
      </c>
      <c r="B74" s="64">
        <v>29</v>
      </c>
      <c r="C74" s="61">
        <v>42</v>
      </c>
    </row>
    <row r="75" spans="1:3" x14ac:dyDescent="0.25">
      <c r="A75" s="47" t="s">
        <v>296</v>
      </c>
      <c r="B75" s="64">
        <v>9.3000000000000007</v>
      </c>
      <c r="C75" s="61">
        <v>5</v>
      </c>
    </row>
    <row r="76" spans="1:3" x14ac:dyDescent="0.25">
      <c r="A76" s="47" t="s">
        <v>300</v>
      </c>
      <c r="B76" s="64">
        <v>380.5</v>
      </c>
      <c r="C76" s="61">
        <v>10.16499</v>
      </c>
    </row>
    <row r="77" spans="1:3" x14ac:dyDescent="0.25">
      <c r="A77" s="47" t="s">
        <v>303</v>
      </c>
      <c r="B77" s="64">
        <v>141.4</v>
      </c>
      <c r="C77" s="61">
        <v>24</v>
      </c>
    </row>
    <row r="78" spans="1:3" x14ac:dyDescent="0.25">
      <c r="A78" s="47" t="s">
        <v>307</v>
      </c>
      <c r="B78" s="64">
        <v>10.8</v>
      </c>
      <c r="C78" s="61">
        <v>10.40165</v>
      </c>
    </row>
    <row r="79" spans="1:3" x14ac:dyDescent="0.25">
      <c r="A79" s="47" t="s">
        <v>311</v>
      </c>
      <c r="B79" s="64">
        <v>220</v>
      </c>
      <c r="C79" s="61">
        <v>2.8032300000000001</v>
      </c>
    </row>
    <row r="80" spans="1:3" x14ac:dyDescent="0.25">
      <c r="A80" s="47" t="s">
        <v>315</v>
      </c>
      <c r="B80" s="64">
        <v>0.33</v>
      </c>
      <c r="C80" s="61">
        <v>103.02471</v>
      </c>
    </row>
    <row r="81" spans="1:3" x14ac:dyDescent="0.25">
      <c r="A81" s="47" t="s">
        <v>319</v>
      </c>
      <c r="B81" s="64">
        <v>923.75</v>
      </c>
      <c r="C81" s="61">
        <v>71</v>
      </c>
    </row>
    <row r="82" spans="1:3" x14ac:dyDescent="0.25">
      <c r="A82" s="47" t="s">
        <v>323</v>
      </c>
      <c r="B82" s="64">
        <v>1480</v>
      </c>
      <c r="C82" s="61">
        <v>22.670190000000002</v>
      </c>
    </row>
    <row r="83" spans="1:3" x14ac:dyDescent="0.25">
      <c r="A83" s="47" t="s">
        <v>327</v>
      </c>
      <c r="B83" s="64">
        <v>149.93</v>
      </c>
      <c r="C83" s="61">
        <v>12.31598</v>
      </c>
    </row>
    <row r="84" spans="1:3" x14ac:dyDescent="0.25">
      <c r="A84" s="47" t="s">
        <v>331</v>
      </c>
      <c r="B84" s="64">
        <v>570.20000000000005</v>
      </c>
      <c r="C84" s="61">
        <v>184</v>
      </c>
    </row>
    <row r="85" spans="1:3" x14ac:dyDescent="0.25">
      <c r="A85" s="47" t="s">
        <v>335</v>
      </c>
      <c r="B85" s="64">
        <v>873.3</v>
      </c>
      <c r="C85" s="61">
        <v>55.148110000000003</v>
      </c>
    </row>
    <row r="86" spans="1:3" x14ac:dyDescent="0.25">
      <c r="A86" s="47" t="s">
        <v>339</v>
      </c>
      <c r="B86" s="64">
        <v>13</v>
      </c>
      <c r="C86" s="61">
        <v>13.871589999999999</v>
      </c>
    </row>
    <row r="87" spans="1:3" x14ac:dyDescent="0.25">
      <c r="A87" s="47" t="s">
        <v>343</v>
      </c>
      <c r="B87" s="64">
        <v>4.2437500000000004</v>
      </c>
      <c r="C87" s="61">
        <v>50.806699999999999</v>
      </c>
    </row>
    <row r="88" spans="1:3" x14ac:dyDescent="0.25">
      <c r="A88" s="47" t="s">
        <v>347</v>
      </c>
      <c r="B88" s="64">
        <v>72.933329999999998</v>
      </c>
      <c r="C88" s="61">
        <v>42.006740000000001</v>
      </c>
    </row>
    <row r="89" spans="1:3" x14ac:dyDescent="0.25">
      <c r="A89" s="47" t="s">
        <v>351</v>
      </c>
      <c r="B89" s="64">
        <v>352.2</v>
      </c>
      <c r="C89" s="61">
        <v>18.16337</v>
      </c>
    </row>
    <row r="90" spans="1:3" x14ac:dyDescent="0.25">
      <c r="A90" s="47" t="s">
        <v>355</v>
      </c>
      <c r="B90" s="64">
        <v>53.5</v>
      </c>
      <c r="C90" s="61">
        <v>6.1369899999999999</v>
      </c>
    </row>
    <row r="91" spans="1:3" x14ac:dyDescent="0.25">
      <c r="A91" s="47" t="s">
        <v>359</v>
      </c>
      <c r="B91" s="64">
        <v>224</v>
      </c>
      <c r="C91" s="61">
        <v>9.6913800000000005</v>
      </c>
    </row>
    <row r="92" spans="1:3" x14ac:dyDescent="0.25">
      <c r="A92" s="47" t="s">
        <v>363</v>
      </c>
      <c r="B92" s="64">
        <v>370</v>
      </c>
      <c r="C92" s="61">
        <v>0.09</v>
      </c>
    </row>
    <row r="93" spans="1:3" x14ac:dyDescent="0.25">
      <c r="A93" s="47" t="s">
        <v>367</v>
      </c>
      <c r="B93" s="64">
        <v>19.3</v>
      </c>
      <c r="C93" s="61">
        <v>2.9550000000000001</v>
      </c>
    </row>
    <row r="94" spans="1:3" x14ac:dyDescent="0.25">
      <c r="A94" s="47" t="s">
        <v>371</v>
      </c>
      <c r="B94" s="64">
        <v>0.90458000000000005</v>
      </c>
      <c r="C94" s="61">
        <v>2.5851999999999999</v>
      </c>
    </row>
    <row r="95" spans="1:3" x14ac:dyDescent="0.25">
      <c r="A95" s="47" t="s">
        <v>375</v>
      </c>
      <c r="B95" s="64">
        <v>0.25417000000000001</v>
      </c>
      <c r="C95" s="61">
        <v>4.4243800000000002</v>
      </c>
    </row>
    <row r="96" spans="1:3" x14ac:dyDescent="0.25">
      <c r="A96" s="47" t="s">
        <v>379</v>
      </c>
      <c r="B96" s="64">
        <v>571.5</v>
      </c>
      <c r="C96" s="61">
        <v>2.73766</v>
      </c>
    </row>
    <row r="97" spans="1:3" x14ac:dyDescent="0.25">
      <c r="A97" s="47" t="s">
        <v>382</v>
      </c>
      <c r="B97" s="64">
        <v>571.5</v>
      </c>
      <c r="C97" s="61">
        <v>4.21441</v>
      </c>
    </row>
    <row r="98" spans="1:3" x14ac:dyDescent="0.25">
      <c r="A98" s="47" t="s">
        <v>385</v>
      </c>
      <c r="B98" s="64">
        <v>150</v>
      </c>
      <c r="C98" s="61">
        <v>12.492430000000001</v>
      </c>
    </row>
    <row r="99" spans="1:3" x14ac:dyDescent="0.25">
      <c r="A99" s="47" t="s">
        <v>389</v>
      </c>
      <c r="B99" s="64">
        <v>39.965000000000003</v>
      </c>
      <c r="C99" s="61">
        <v>8.8667300000000004</v>
      </c>
    </row>
    <row r="100" spans="1:3" x14ac:dyDescent="0.25">
      <c r="A100" s="47" t="s">
        <v>393</v>
      </c>
      <c r="B100" s="64">
        <v>278</v>
      </c>
      <c r="C100" s="61">
        <v>10.034940000000001</v>
      </c>
    </row>
    <row r="101" spans="1:3" x14ac:dyDescent="0.25">
      <c r="A101" s="47" t="s">
        <v>397</v>
      </c>
      <c r="B101" s="64">
        <v>25.35</v>
      </c>
      <c r="C101" s="61">
        <v>3.6617700000000002</v>
      </c>
    </row>
    <row r="102" spans="1:3" x14ac:dyDescent="0.25">
      <c r="A102" s="47" t="s">
        <v>401</v>
      </c>
      <c r="B102" s="64">
        <v>5.4</v>
      </c>
      <c r="C102" s="61">
        <v>6.6415100000000002</v>
      </c>
    </row>
    <row r="103" spans="1:3" x14ac:dyDescent="0.25">
      <c r="A103" s="47" t="s">
        <v>405</v>
      </c>
      <c r="B103" s="64">
        <v>660.35539000000006</v>
      </c>
      <c r="C103" s="61">
        <v>9.4726300000000005</v>
      </c>
    </row>
    <row r="104" spans="1:3" x14ac:dyDescent="0.25">
      <c r="A104" s="47" t="s">
        <v>409</v>
      </c>
      <c r="B104" s="64">
        <v>700</v>
      </c>
      <c r="C104" s="61">
        <v>8.0153800000000004</v>
      </c>
    </row>
    <row r="105" spans="1:3" x14ac:dyDescent="0.25">
      <c r="A105" s="47" t="s">
        <v>413</v>
      </c>
      <c r="B105" s="64">
        <v>80.900000000000006</v>
      </c>
      <c r="C105" s="61">
        <v>9.3671100000000003</v>
      </c>
    </row>
    <row r="106" spans="1:3" x14ac:dyDescent="0.25">
      <c r="A106" s="47" t="s">
        <v>417</v>
      </c>
      <c r="B106" s="64">
        <v>1.4650000000000001</v>
      </c>
      <c r="C106" s="61">
        <v>2.6310099999999998</v>
      </c>
    </row>
    <row r="107" spans="1:3" x14ac:dyDescent="0.25">
      <c r="A107" s="47" t="s">
        <v>420</v>
      </c>
      <c r="B107" s="64">
        <v>48</v>
      </c>
      <c r="C107" s="61">
        <v>6.1749099999999997</v>
      </c>
    </row>
    <row r="108" spans="1:3" x14ac:dyDescent="0.25">
      <c r="A108" s="47" t="s">
        <v>423</v>
      </c>
      <c r="B108" s="64">
        <v>19</v>
      </c>
      <c r="C108" s="61">
        <v>2.6314199999999999</v>
      </c>
    </row>
    <row r="109" spans="1:3" x14ac:dyDescent="0.25">
      <c r="A109" s="47" t="s">
        <v>426</v>
      </c>
      <c r="B109" s="64">
        <v>1.95</v>
      </c>
      <c r="C109" s="61">
        <v>3.2899799999999999</v>
      </c>
    </row>
    <row r="110" spans="1:3" x14ac:dyDescent="0.25">
      <c r="A110" s="47" t="s">
        <v>430</v>
      </c>
      <c r="B110" s="64">
        <v>4.0960000000000003E-2</v>
      </c>
      <c r="C110" s="61">
        <v>0.01</v>
      </c>
    </row>
    <row r="111" spans="1:3" x14ac:dyDescent="0.25">
      <c r="A111" s="47" t="s">
        <v>433</v>
      </c>
      <c r="B111" s="64">
        <v>11.5</v>
      </c>
      <c r="C111" s="61">
        <v>139</v>
      </c>
    </row>
    <row r="112" spans="1:3" x14ac:dyDescent="0.25">
      <c r="A112" s="47" t="s">
        <v>437</v>
      </c>
      <c r="B112" s="64">
        <v>117</v>
      </c>
      <c r="C112" s="61">
        <v>2.7560199999999999</v>
      </c>
    </row>
    <row r="113" spans="1:3" x14ac:dyDescent="0.25">
      <c r="A113" s="47" t="s">
        <v>441</v>
      </c>
      <c r="B113" s="64">
        <v>770</v>
      </c>
      <c r="C113" s="61">
        <v>18.407060000000001</v>
      </c>
    </row>
    <row r="114" spans="1:3" x14ac:dyDescent="0.25">
      <c r="A114" s="47" t="s">
        <v>445</v>
      </c>
      <c r="B114" s="64">
        <v>250</v>
      </c>
      <c r="C114" s="61">
        <v>11.02928</v>
      </c>
    </row>
    <row r="115" spans="1:3" x14ac:dyDescent="0.25">
      <c r="A115" s="47" t="s">
        <v>449</v>
      </c>
      <c r="B115" s="64">
        <v>250</v>
      </c>
      <c r="C115" s="61">
        <v>11.148759999999999</v>
      </c>
    </row>
    <row r="116" spans="1:3" x14ac:dyDescent="0.25">
      <c r="A116" s="47" t="s">
        <v>451</v>
      </c>
      <c r="B116" s="64">
        <v>167</v>
      </c>
      <c r="C116" s="61">
        <v>3.1810700000000001</v>
      </c>
    </row>
    <row r="117" spans="1:3" x14ac:dyDescent="0.25">
      <c r="A117" s="47" t="s">
        <v>455</v>
      </c>
      <c r="B117" s="64">
        <v>120</v>
      </c>
      <c r="C117" s="61">
        <v>152.17271</v>
      </c>
    </row>
    <row r="118" spans="1:3" x14ac:dyDescent="0.25">
      <c r="A118" s="47" t="s">
        <v>459</v>
      </c>
      <c r="B118" s="64">
        <v>908</v>
      </c>
      <c r="C118" s="61">
        <v>46.895350000000001</v>
      </c>
    </row>
    <row r="119" spans="1:3" x14ac:dyDescent="0.25">
      <c r="A119" s="47" t="s">
        <v>463</v>
      </c>
      <c r="B119" s="64">
        <v>2.8666700000000001</v>
      </c>
      <c r="C119" s="61">
        <v>59</v>
      </c>
    </row>
    <row r="120" spans="1:3" x14ac:dyDescent="0.25">
      <c r="A120" s="47" t="s">
        <v>467</v>
      </c>
      <c r="B120" s="64">
        <v>2.1762000000000001</v>
      </c>
      <c r="C120" s="61">
        <v>0.14000000000000001</v>
      </c>
    </row>
    <row r="121" spans="1:3" x14ac:dyDescent="0.25">
      <c r="A121" s="47" t="s">
        <v>471</v>
      </c>
      <c r="B121" s="64">
        <v>90.131770000000003</v>
      </c>
      <c r="C121" s="61">
        <v>5.6875299999999998</v>
      </c>
    </row>
    <row r="122" spans="1:3" x14ac:dyDescent="0.25">
      <c r="A122" s="47" t="s">
        <v>475</v>
      </c>
      <c r="B122" s="64">
        <v>18.3185</v>
      </c>
      <c r="C122" s="61">
        <v>52</v>
      </c>
    </row>
    <row r="123" spans="1:3" x14ac:dyDescent="0.25">
      <c r="A123" s="47" t="s">
        <v>479</v>
      </c>
      <c r="B123" s="64">
        <v>2.4</v>
      </c>
      <c r="C123" s="61">
        <v>7.4679799999999998</v>
      </c>
    </row>
    <row r="124" spans="1:3" x14ac:dyDescent="0.25">
      <c r="A124" s="47" t="s">
        <v>483</v>
      </c>
      <c r="B124" s="64">
        <v>2.5499999999999998</v>
      </c>
      <c r="C124" s="61">
        <v>8.1161300000000001</v>
      </c>
    </row>
    <row r="125" spans="1:3" x14ac:dyDescent="0.25">
      <c r="A125" s="47" t="s">
        <v>487</v>
      </c>
      <c r="B125" s="64">
        <v>2.5499999999999998</v>
      </c>
      <c r="C125" s="61">
        <v>2.82565</v>
      </c>
    </row>
    <row r="126" spans="1:3" x14ac:dyDescent="0.25">
      <c r="A126" s="47" t="s">
        <v>490</v>
      </c>
      <c r="B126" s="64">
        <v>4000</v>
      </c>
      <c r="C126" s="61">
        <v>7.83331</v>
      </c>
    </row>
    <row r="127" spans="1:3" x14ac:dyDescent="0.25">
      <c r="A127" s="47" t="s">
        <v>494</v>
      </c>
      <c r="B127" s="64">
        <v>4000</v>
      </c>
      <c r="C127" s="61">
        <v>16.320810000000002</v>
      </c>
    </row>
    <row r="128" spans="1:3" x14ac:dyDescent="0.25">
      <c r="A128" s="47" t="s">
        <v>496</v>
      </c>
      <c r="B128" s="64">
        <v>69</v>
      </c>
      <c r="C128" s="61">
        <v>4.9000000000000004</v>
      </c>
    </row>
    <row r="129" spans="1:3" x14ac:dyDescent="0.25">
      <c r="A129" s="47" t="s">
        <v>500</v>
      </c>
      <c r="B129" s="64">
        <v>15.6</v>
      </c>
      <c r="C129" s="61">
        <v>3.33229</v>
      </c>
    </row>
    <row r="130" spans="1:3" x14ac:dyDescent="0.25">
      <c r="A130" s="47" t="s">
        <v>504</v>
      </c>
      <c r="B130" s="64">
        <v>7</v>
      </c>
      <c r="C130" s="61">
        <v>15</v>
      </c>
    </row>
    <row r="131" spans="1:3" x14ac:dyDescent="0.25">
      <c r="A131" s="47" t="s">
        <v>508</v>
      </c>
      <c r="B131" s="64">
        <v>6200</v>
      </c>
      <c r="C131" s="61">
        <v>5.2157999999999998</v>
      </c>
    </row>
    <row r="132" spans="1:3" x14ac:dyDescent="0.25">
      <c r="A132" s="47" t="s">
        <v>512</v>
      </c>
      <c r="B132" s="64">
        <v>44.93</v>
      </c>
      <c r="C132" s="61">
        <v>5.4462799999999998</v>
      </c>
    </row>
    <row r="133" spans="1:3" x14ac:dyDescent="0.25">
      <c r="A133" s="47" t="s">
        <v>515</v>
      </c>
      <c r="B133" s="64">
        <v>44.93</v>
      </c>
      <c r="C133" s="61">
        <v>5.3162200000000004</v>
      </c>
    </row>
    <row r="134" spans="1:3" x14ac:dyDescent="0.25">
      <c r="A134" s="47" t="s">
        <v>518</v>
      </c>
      <c r="B134" s="64">
        <v>8.1150000000000002</v>
      </c>
      <c r="C134" s="61">
        <v>2.74525</v>
      </c>
    </row>
    <row r="135" spans="1:3" x14ac:dyDescent="0.25">
      <c r="A135" s="47" t="s">
        <v>522</v>
      </c>
      <c r="B135" s="64">
        <v>8.1150000000000002</v>
      </c>
      <c r="C135" s="61">
        <v>3.4906899999999998</v>
      </c>
    </row>
    <row r="136" spans="1:3" x14ac:dyDescent="0.25">
      <c r="A136" s="47" t="s">
        <v>525</v>
      </c>
      <c r="B136" s="64">
        <v>8.1150000000000002</v>
      </c>
      <c r="C136" s="61">
        <v>3.0165199999999999</v>
      </c>
    </row>
    <row r="137" spans="1:3" x14ac:dyDescent="0.25">
      <c r="A137" s="47" t="s">
        <v>528</v>
      </c>
      <c r="B137" s="64">
        <v>3.11</v>
      </c>
      <c r="C137" s="61">
        <v>7.4</v>
      </c>
    </row>
    <row r="138" spans="1:3" x14ac:dyDescent="0.25">
      <c r="A138" s="47" t="s">
        <v>532</v>
      </c>
      <c r="B138" s="64">
        <v>2</v>
      </c>
      <c r="C138" s="61">
        <v>2.77319</v>
      </c>
    </row>
    <row r="139" spans="1:3" x14ac:dyDescent="0.25">
      <c r="A139" s="47" t="s">
        <v>536</v>
      </c>
      <c r="B139" s="64">
        <v>2.9</v>
      </c>
      <c r="C139" s="61">
        <v>0.15</v>
      </c>
    </row>
    <row r="140" spans="1:3" x14ac:dyDescent="0.25">
      <c r="A140" s="47" t="s">
        <v>540</v>
      </c>
      <c r="B140" s="64">
        <v>111.86944</v>
      </c>
      <c r="C140" s="61">
        <v>3.1315400000000002</v>
      </c>
    </row>
    <row r="141" spans="1:3" x14ac:dyDescent="0.25">
      <c r="A141" s="47" t="s">
        <v>544</v>
      </c>
      <c r="B141" s="64">
        <v>368.48649999999998</v>
      </c>
      <c r="C141" s="61">
        <v>13.424659999999999</v>
      </c>
    </row>
    <row r="142" spans="1:3" x14ac:dyDescent="0.25">
      <c r="A142" s="47" t="s">
        <v>548</v>
      </c>
      <c r="B142" s="64">
        <v>215</v>
      </c>
      <c r="C142" s="61">
        <v>59</v>
      </c>
    </row>
    <row r="143" spans="1:3" x14ac:dyDescent="0.25">
      <c r="A143" s="47" t="s">
        <v>552</v>
      </c>
      <c r="B143" s="64">
        <v>44.93</v>
      </c>
      <c r="C143" s="61">
        <v>4.9318</v>
      </c>
    </row>
    <row r="144" spans="1:3" x14ac:dyDescent="0.25">
      <c r="A144" s="47" t="s">
        <v>555</v>
      </c>
      <c r="B144" s="64">
        <v>44.93</v>
      </c>
      <c r="C144" s="61">
        <v>4.5503299999999998</v>
      </c>
    </row>
    <row r="145" spans="1:3" x14ac:dyDescent="0.25">
      <c r="A145" s="47" t="s">
        <v>558</v>
      </c>
      <c r="B145" s="64">
        <v>44.93</v>
      </c>
      <c r="C145" s="61">
        <v>4.4559199999999999</v>
      </c>
    </row>
    <row r="146" spans="1:3" x14ac:dyDescent="0.25">
      <c r="A146" s="47" t="s">
        <v>561</v>
      </c>
      <c r="B146" s="64">
        <v>8.3000000000000004E-2</v>
      </c>
      <c r="C146" s="61">
        <v>7.3116099999999999</v>
      </c>
    </row>
    <row r="147" spans="1:3" x14ac:dyDescent="0.25">
      <c r="A147" s="47" t="s">
        <v>565</v>
      </c>
      <c r="B147" s="64">
        <v>11.5</v>
      </c>
      <c r="C147" s="61">
        <v>420</v>
      </c>
    </row>
    <row r="148" spans="1:3" x14ac:dyDescent="0.25">
      <c r="A148" s="47" t="s">
        <v>568</v>
      </c>
      <c r="B148" s="64">
        <v>368.48649999999998</v>
      </c>
      <c r="C148" s="61">
        <v>3.3233199999999998</v>
      </c>
    </row>
    <row r="149" spans="1:3" x14ac:dyDescent="0.25">
      <c r="A149" s="47" t="s">
        <v>571</v>
      </c>
      <c r="B149" s="64">
        <v>33.299999999999997</v>
      </c>
      <c r="C149" s="61">
        <v>26.960750000000001</v>
      </c>
    </row>
    <row r="150" spans="1:3" x14ac:dyDescent="0.25">
      <c r="A150" s="47" t="s">
        <v>574</v>
      </c>
      <c r="B150" s="64">
        <v>8.9</v>
      </c>
      <c r="C150" s="61">
        <v>2.8592900000000001</v>
      </c>
    </row>
    <row r="151" spans="1:3" x14ac:dyDescent="0.25">
      <c r="A151" s="47" t="s">
        <v>578</v>
      </c>
      <c r="B151" s="64">
        <v>8.9</v>
      </c>
      <c r="C151" s="61">
        <v>6.0208399999999997</v>
      </c>
    </row>
    <row r="152" spans="1:3" x14ac:dyDescent="0.25">
      <c r="A152" s="47" t="s">
        <v>581</v>
      </c>
      <c r="B152" s="64">
        <v>138.5</v>
      </c>
      <c r="C152" s="61">
        <v>7.2</v>
      </c>
    </row>
    <row r="153" spans="1:3" x14ac:dyDescent="0.25">
      <c r="A153" s="47" t="s">
        <v>585</v>
      </c>
      <c r="B153" s="64">
        <v>60</v>
      </c>
      <c r="C153" s="61">
        <v>28.981919999999999</v>
      </c>
    </row>
    <row r="154" spans="1:3" x14ac:dyDescent="0.25">
      <c r="A154" s="47" t="s">
        <v>589</v>
      </c>
      <c r="B154" s="64">
        <v>0.3</v>
      </c>
      <c r="C154" s="61">
        <v>2.5835699999999999</v>
      </c>
    </row>
    <row r="155" spans="1:3" x14ac:dyDescent="0.25">
      <c r="A155" s="47" t="s">
        <v>593</v>
      </c>
      <c r="B155" s="64">
        <v>14.86</v>
      </c>
      <c r="C155" s="61">
        <v>2.5835699999999999</v>
      </c>
    </row>
    <row r="156" spans="1:3" x14ac:dyDescent="0.25">
      <c r="A156" s="47" t="s">
        <v>597</v>
      </c>
      <c r="B156" s="64">
        <v>2.4900000000000002</v>
      </c>
      <c r="C156" s="61">
        <v>1E-3</v>
      </c>
    </row>
    <row r="157" spans="1:3" x14ac:dyDescent="0.25">
      <c r="A157" s="47" t="s">
        <v>601</v>
      </c>
      <c r="B157" s="64">
        <v>0.15</v>
      </c>
      <c r="C157" s="61">
        <v>2.6891600000000002</v>
      </c>
    </row>
    <row r="158" spans="1:3" x14ac:dyDescent="0.25">
      <c r="A158" s="47" t="s">
        <v>605</v>
      </c>
      <c r="B158" s="64">
        <v>284</v>
      </c>
      <c r="C158" s="61">
        <v>3.5952999999999999</v>
      </c>
    </row>
    <row r="159" spans="1:3" x14ac:dyDescent="0.25">
      <c r="A159" s="47" t="s">
        <v>609</v>
      </c>
      <c r="B159" s="64">
        <v>47</v>
      </c>
      <c r="C159" s="61">
        <v>7.4755000000000003</v>
      </c>
    </row>
    <row r="160" spans="1:3" x14ac:dyDescent="0.25">
      <c r="A160" s="47" t="s">
        <v>613</v>
      </c>
      <c r="B160" s="64">
        <v>2.0765400000000001</v>
      </c>
      <c r="C160" s="61">
        <v>2.8601899999999998</v>
      </c>
    </row>
    <row r="161" spans="1:3" x14ac:dyDescent="0.25">
      <c r="A161" s="47" t="s">
        <v>617</v>
      </c>
      <c r="B161" s="64">
        <v>8.7999999999999995E-2</v>
      </c>
      <c r="C161" s="61">
        <v>27.510999999999999</v>
      </c>
    </row>
    <row r="162" spans="1:3" x14ac:dyDescent="0.25">
      <c r="A162" s="47" t="s">
        <v>621</v>
      </c>
      <c r="B162" s="64">
        <v>3.2000000000000001E-2</v>
      </c>
      <c r="C162" s="61">
        <v>9.7078000000000007</v>
      </c>
    </row>
    <row r="163" spans="1:3" x14ac:dyDescent="0.25">
      <c r="A163" s="47" t="s">
        <v>625</v>
      </c>
      <c r="B163" s="64">
        <v>2.2966700000000002</v>
      </c>
      <c r="C163" s="61">
        <v>2.8878599999999999</v>
      </c>
    </row>
    <row r="164" spans="1:3" x14ac:dyDescent="0.25">
      <c r="A164" s="47" t="s">
        <v>629</v>
      </c>
      <c r="B164" s="64">
        <v>4.2120800000000003</v>
      </c>
      <c r="C164" s="61">
        <v>2.8</v>
      </c>
    </row>
    <row r="165" spans="1:3" x14ac:dyDescent="0.25">
      <c r="A165" s="47" t="s">
        <v>633</v>
      </c>
      <c r="B165" s="64">
        <v>30.563790000000001</v>
      </c>
      <c r="C165" s="61">
        <v>7.5390899999999998</v>
      </c>
    </row>
    <row r="166" spans="1:3" x14ac:dyDescent="0.25">
      <c r="A166" s="47" t="s">
        <v>637</v>
      </c>
      <c r="B166" s="64">
        <v>0.14000000000000001</v>
      </c>
      <c r="C166" s="61">
        <v>5.7582700000000004</v>
      </c>
    </row>
    <row r="167" spans="1:3" x14ac:dyDescent="0.25">
      <c r="A167" s="47" t="s">
        <v>641</v>
      </c>
      <c r="B167" s="64">
        <v>0.51</v>
      </c>
      <c r="C167" s="61">
        <v>0.09</v>
      </c>
    </row>
    <row r="168" spans="1:3" x14ac:dyDescent="0.25">
      <c r="A168" s="47" t="s">
        <v>645</v>
      </c>
      <c r="B168" s="64">
        <v>12.5</v>
      </c>
      <c r="C168" s="61">
        <v>4.2</v>
      </c>
    </row>
    <row r="169" spans="1:3" x14ac:dyDescent="0.25">
      <c r="A169" s="47" t="s">
        <v>649</v>
      </c>
      <c r="B169" s="64">
        <v>11</v>
      </c>
      <c r="C169" s="61">
        <v>4.84849</v>
      </c>
    </row>
    <row r="170" spans="1:3" x14ac:dyDescent="0.25">
      <c r="A170" s="47" t="s">
        <v>652</v>
      </c>
      <c r="B170" s="64">
        <v>0.81</v>
      </c>
      <c r="C170" s="61">
        <v>15.233750000000001</v>
      </c>
    </row>
    <row r="171" spans="1:3" x14ac:dyDescent="0.25">
      <c r="A171" s="47" t="s">
        <v>656</v>
      </c>
      <c r="B171" s="64">
        <v>368.48649999999998</v>
      </c>
      <c r="C171" s="61">
        <v>19.405139999999999</v>
      </c>
    </row>
    <row r="172" spans="1:3" x14ac:dyDescent="0.25">
      <c r="A172" s="47" t="s">
        <v>660</v>
      </c>
      <c r="B172" s="64">
        <v>196</v>
      </c>
      <c r="C172" s="61">
        <v>23.9331</v>
      </c>
    </row>
    <row r="173" spans="1:3" x14ac:dyDescent="0.25">
      <c r="A173" s="47" t="s">
        <v>664</v>
      </c>
      <c r="B173" s="64">
        <v>0.52</v>
      </c>
      <c r="C173" s="61">
        <v>10.00985</v>
      </c>
    </row>
    <row r="174" spans="1:3" x14ac:dyDescent="0.25">
      <c r="A174" s="47" t="s">
        <v>668</v>
      </c>
      <c r="B174" s="64">
        <v>68.414289999999994</v>
      </c>
      <c r="C174" s="61">
        <v>16</v>
      </c>
    </row>
    <row r="175" spans="1:3" x14ac:dyDescent="0.25">
      <c r="A175" s="47" t="s">
        <v>672</v>
      </c>
      <c r="B175" s="64">
        <v>4.6333299999999999</v>
      </c>
      <c r="C175" s="61">
        <v>3.3</v>
      </c>
    </row>
    <row r="176" spans="1:3" x14ac:dyDescent="0.25">
      <c r="A176" s="47" t="s">
        <v>676</v>
      </c>
      <c r="B176" s="64">
        <v>43.33</v>
      </c>
      <c r="C176" s="61">
        <v>24.560970000000001</v>
      </c>
    </row>
    <row r="177" spans="1:3" x14ac:dyDescent="0.25">
      <c r="A177" s="47" t="s">
        <v>680</v>
      </c>
      <c r="B177" s="64">
        <v>3.625</v>
      </c>
      <c r="C177" s="61">
        <v>15.89143</v>
      </c>
    </row>
    <row r="178" spans="1:3" x14ac:dyDescent="0.25">
      <c r="A178" s="47" t="s">
        <v>684</v>
      </c>
      <c r="B178" s="64">
        <v>5.1650000000000001E-2</v>
      </c>
      <c r="C178" s="61">
        <v>4.9607900000000003</v>
      </c>
    </row>
    <row r="179" spans="1:3" x14ac:dyDescent="0.25">
      <c r="A179" s="47" t="s">
        <v>688</v>
      </c>
      <c r="B179" s="64">
        <v>5.2470000000000003E-2</v>
      </c>
      <c r="C179" s="61">
        <v>6.3210199999999999</v>
      </c>
    </row>
    <row r="180" spans="1:3" x14ac:dyDescent="0.25">
      <c r="A180" s="47" t="s">
        <v>692</v>
      </c>
      <c r="B180" s="64">
        <v>0.35</v>
      </c>
      <c r="C180" s="61">
        <v>13.909509999999999</v>
      </c>
    </row>
    <row r="181" spans="1:3" x14ac:dyDescent="0.25">
      <c r="A181" s="47" t="s">
        <v>696</v>
      </c>
      <c r="B181" s="64">
        <v>229</v>
      </c>
      <c r="C181" s="61">
        <v>11.169219999999999</v>
      </c>
    </row>
    <row r="182" spans="1:3" x14ac:dyDescent="0.25">
      <c r="A182" s="47" t="s">
        <v>700</v>
      </c>
      <c r="B182" s="64">
        <v>0.17</v>
      </c>
      <c r="C182" s="61">
        <v>0.16</v>
      </c>
    </row>
    <row r="183" spans="1:3" x14ac:dyDescent="0.25">
      <c r="A183" s="47" t="s">
        <v>704</v>
      </c>
      <c r="B183" s="64">
        <v>4.7</v>
      </c>
      <c r="C183" s="61">
        <v>0.55000000000000004</v>
      </c>
    </row>
    <row r="184" spans="1:3" x14ac:dyDescent="0.25">
      <c r="A184" s="47" t="s">
        <v>708</v>
      </c>
      <c r="B184" s="64">
        <v>14.3</v>
      </c>
      <c r="C184" s="61">
        <v>8.7585999999999995</v>
      </c>
    </row>
    <row r="185" spans="1:3" x14ac:dyDescent="0.25">
      <c r="A185" s="47" t="s">
        <v>712</v>
      </c>
      <c r="B185" s="64">
        <v>32.25</v>
      </c>
      <c r="C185" s="61">
        <v>3.3</v>
      </c>
    </row>
    <row r="186" spans="1:3" x14ac:dyDescent="0.25">
      <c r="A186" s="47" t="s">
        <v>716</v>
      </c>
      <c r="B186" s="64">
        <v>75.042000000000002</v>
      </c>
      <c r="C186" s="61">
        <v>2.6402700000000001</v>
      </c>
    </row>
    <row r="187" spans="1:3" x14ac:dyDescent="0.25">
      <c r="A187" s="47" t="s">
        <v>720</v>
      </c>
      <c r="B187" s="64">
        <v>5.2470000000000003E-2</v>
      </c>
      <c r="C187" s="61">
        <v>6.6865399999999999</v>
      </c>
    </row>
    <row r="188" spans="1:3" x14ac:dyDescent="0.25">
      <c r="A188" s="47" t="s">
        <v>724</v>
      </c>
      <c r="B188" s="64">
        <v>12.285</v>
      </c>
      <c r="C188" s="61">
        <v>3.2</v>
      </c>
    </row>
    <row r="189" spans="1:3" x14ac:dyDescent="0.25">
      <c r="A189" s="47" t="s">
        <v>728</v>
      </c>
      <c r="B189" s="64">
        <v>82</v>
      </c>
      <c r="C189" s="61">
        <v>20</v>
      </c>
    </row>
    <row r="190" spans="1:3" x14ac:dyDescent="0.25">
      <c r="A190" s="47" t="s">
        <v>731</v>
      </c>
      <c r="B190" s="64">
        <v>842</v>
      </c>
      <c r="C190" s="61">
        <v>2.61687</v>
      </c>
    </row>
    <row r="191" spans="1:3" x14ac:dyDescent="0.25">
      <c r="A191" s="47" t="s">
        <v>735</v>
      </c>
      <c r="B191" s="64">
        <v>14.804830000000001</v>
      </c>
      <c r="C191" s="61">
        <v>10.67404</v>
      </c>
    </row>
    <row r="192" spans="1:3" x14ac:dyDescent="0.25">
      <c r="A192" s="47" t="s">
        <v>739</v>
      </c>
      <c r="B192" s="64">
        <v>47.4</v>
      </c>
      <c r="C192" s="61">
        <v>9.4038799999999991</v>
      </c>
    </row>
    <row r="193" spans="1:3" x14ac:dyDescent="0.25">
      <c r="A193" s="47" t="s">
        <v>743</v>
      </c>
      <c r="B193" s="64">
        <v>45.8</v>
      </c>
      <c r="C193" s="61">
        <v>6.0424899999999999</v>
      </c>
    </row>
    <row r="194" spans="1:3" x14ac:dyDescent="0.25">
      <c r="A194" s="47" t="s">
        <v>747</v>
      </c>
      <c r="B194" s="64">
        <v>180</v>
      </c>
      <c r="C194" s="61">
        <v>5.7150299999999996</v>
      </c>
    </row>
    <row r="195" spans="1:3" x14ac:dyDescent="0.25">
      <c r="A195" s="47" t="s">
        <v>751</v>
      </c>
      <c r="B195" s="64">
        <v>436</v>
      </c>
      <c r="C195" s="61">
        <v>21.89696</v>
      </c>
    </row>
    <row r="196" spans="1:3" x14ac:dyDescent="0.25">
      <c r="A196" s="47" t="s">
        <v>755</v>
      </c>
      <c r="B196" s="64">
        <v>135</v>
      </c>
      <c r="C196" s="61">
        <v>20.719139999999999</v>
      </c>
    </row>
    <row r="197" spans="1:3" x14ac:dyDescent="0.25">
      <c r="A197" s="47" t="s">
        <v>759</v>
      </c>
      <c r="B197" s="64">
        <v>2.8000000000000001E-2</v>
      </c>
      <c r="C197" s="61">
        <v>4.43513</v>
      </c>
    </row>
    <row r="198" spans="1:3" x14ac:dyDescent="0.25">
      <c r="A198" s="47" t="s">
        <v>763</v>
      </c>
      <c r="B198" s="64">
        <v>3.8</v>
      </c>
      <c r="C198" s="61">
        <v>0.75</v>
      </c>
    </row>
    <row r="199" spans="1:3" x14ac:dyDescent="0.25">
      <c r="A199" s="47" t="s">
        <v>766</v>
      </c>
      <c r="B199" s="64">
        <v>30.1</v>
      </c>
      <c r="C199" s="61">
        <v>7.9346899999999998</v>
      </c>
    </row>
    <row r="200" spans="1:3" x14ac:dyDescent="0.25">
      <c r="A200" s="47" t="s">
        <v>770</v>
      </c>
      <c r="B200" s="64">
        <v>90</v>
      </c>
      <c r="C200" s="61">
        <v>1.1000000000000001</v>
      </c>
    </row>
    <row r="201" spans="1:3" x14ac:dyDescent="0.25">
      <c r="A201" s="47" t="s">
        <v>774</v>
      </c>
      <c r="B201" s="64">
        <v>0.35</v>
      </c>
      <c r="C201" s="61">
        <v>6.8760599999999998</v>
      </c>
    </row>
    <row r="202" spans="1:3" x14ac:dyDescent="0.25">
      <c r="A202" s="47" t="s">
        <v>775</v>
      </c>
      <c r="B202" s="64">
        <v>52</v>
      </c>
      <c r="C202" s="61">
        <v>7.09389</v>
      </c>
    </row>
    <row r="203" spans="1:3" x14ac:dyDescent="0.25">
      <c r="A203" s="47" t="s">
        <v>779</v>
      </c>
      <c r="B203" s="64">
        <v>25.3</v>
      </c>
      <c r="C203" s="61">
        <v>4.0527699999999998</v>
      </c>
    </row>
    <row r="204" spans="1:3" x14ac:dyDescent="0.25">
      <c r="A204" s="47" t="s">
        <v>783</v>
      </c>
      <c r="B204" s="64">
        <v>10</v>
      </c>
      <c r="C204" s="61">
        <v>3.8660899999999998</v>
      </c>
    </row>
    <row r="205" spans="1:3" x14ac:dyDescent="0.25">
      <c r="A205" s="47" t="s">
        <v>787</v>
      </c>
      <c r="B205" s="64">
        <v>40.42</v>
      </c>
      <c r="C205" s="61">
        <v>7.3552499999999998</v>
      </c>
    </row>
    <row r="206" spans="1:3" x14ac:dyDescent="0.25">
      <c r="A206" s="47" t="s">
        <v>791</v>
      </c>
      <c r="B206" s="64">
        <v>15.824999999999999</v>
      </c>
      <c r="C206" s="61">
        <v>23.422429999999999</v>
      </c>
    </row>
    <row r="207" spans="1:3" x14ac:dyDescent="0.25">
      <c r="A207" s="47" t="s">
        <v>795</v>
      </c>
      <c r="B207" s="64">
        <v>1.2</v>
      </c>
      <c r="C207" s="61">
        <v>2.7007699999999999</v>
      </c>
    </row>
    <row r="208" spans="1:3" x14ac:dyDescent="0.25">
      <c r="A208" s="47" t="s">
        <v>799</v>
      </c>
      <c r="B208" s="64">
        <v>202</v>
      </c>
      <c r="C208" s="61">
        <v>6.9635199999999999</v>
      </c>
    </row>
    <row r="209" spans="1:3" x14ac:dyDescent="0.25">
      <c r="A209" s="47" t="s">
        <v>802</v>
      </c>
      <c r="B209" s="64">
        <v>0.19500000000000001</v>
      </c>
      <c r="C209" s="61">
        <v>2.8331200000000001</v>
      </c>
    </row>
    <row r="210" spans="1:3" x14ac:dyDescent="0.25">
      <c r="A210" s="47" t="s">
        <v>806</v>
      </c>
      <c r="B210" s="64">
        <v>0.22</v>
      </c>
      <c r="C210" s="61">
        <v>3.9155700000000002</v>
      </c>
    </row>
    <row r="211" spans="1:3" x14ac:dyDescent="0.25">
      <c r="A211" s="47" t="s">
        <v>809</v>
      </c>
      <c r="B211" s="64">
        <v>1088</v>
      </c>
      <c r="C211" s="61">
        <v>2.6548400000000001</v>
      </c>
    </row>
    <row r="212" spans="1:3" x14ac:dyDescent="0.25">
      <c r="A212" s="47" t="s">
        <v>813</v>
      </c>
      <c r="B212" s="64">
        <v>1.52</v>
      </c>
      <c r="C212" s="61">
        <v>8.1583100000000002</v>
      </c>
    </row>
    <row r="213" spans="1:3" x14ac:dyDescent="0.25">
      <c r="A213" s="47" t="s">
        <v>817</v>
      </c>
      <c r="B213" s="64">
        <v>1.25</v>
      </c>
      <c r="C213" s="61">
        <v>6.3049999999999997</v>
      </c>
    </row>
    <row r="214" spans="1:3" x14ac:dyDescent="0.25">
      <c r="A214" s="47" t="s">
        <v>820</v>
      </c>
      <c r="B214" s="64">
        <v>229</v>
      </c>
      <c r="C214" s="61">
        <v>8.7464700000000004</v>
      </c>
    </row>
    <row r="215" spans="1:3" x14ac:dyDescent="0.25">
      <c r="A215" s="47" t="s">
        <v>823</v>
      </c>
      <c r="B215" s="64">
        <v>15</v>
      </c>
      <c r="C215" s="61">
        <v>11.985910000000001</v>
      </c>
    </row>
    <row r="216" spans="1:3" x14ac:dyDescent="0.25">
      <c r="A216" s="47" t="s">
        <v>826</v>
      </c>
      <c r="B216" s="64">
        <v>380.5</v>
      </c>
      <c r="C216" s="61">
        <v>13.47236</v>
      </c>
    </row>
    <row r="217" spans="1:3" x14ac:dyDescent="0.25">
      <c r="A217" s="47" t="s">
        <v>829</v>
      </c>
      <c r="B217" s="64">
        <v>380.5</v>
      </c>
      <c r="C217" s="61">
        <v>12.257160000000001</v>
      </c>
    </row>
    <row r="218" spans="1:3" x14ac:dyDescent="0.25">
      <c r="A218" s="47" t="s">
        <v>832</v>
      </c>
      <c r="B218" s="64">
        <v>628.79999999999995</v>
      </c>
      <c r="C218" s="61">
        <v>18.858709999999999</v>
      </c>
    </row>
    <row r="219" spans="1:3" x14ac:dyDescent="0.25">
      <c r="A219" s="47" t="s">
        <v>836</v>
      </c>
      <c r="B219" s="64">
        <v>2.6</v>
      </c>
      <c r="C219" s="61">
        <v>1.1000000000000001</v>
      </c>
    </row>
    <row r="220" spans="1:3" x14ac:dyDescent="0.25">
      <c r="A220" s="47" t="s">
        <v>840</v>
      </c>
      <c r="B220" s="64">
        <v>14.804830000000001</v>
      </c>
      <c r="C220" s="61">
        <v>1.3</v>
      </c>
    </row>
    <row r="221" spans="1:3" x14ac:dyDescent="0.25">
      <c r="A221" s="47" t="s">
        <v>844</v>
      </c>
      <c r="B221" s="64">
        <v>2.7</v>
      </c>
      <c r="C221" s="61">
        <v>0.09</v>
      </c>
    </row>
    <row r="222" spans="1:3" x14ac:dyDescent="0.25">
      <c r="A222" s="47" t="s">
        <v>848</v>
      </c>
      <c r="B222" s="64">
        <v>11</v>
      </c>
      <c r="C222" s="61">
        <v>47.661479999999997</v>
      </c>
    </row>
    <row r="223" spans="1:3" x14ac:dyDescent="0.25">
      <c r="A223" s="47" t="s">
        <v>852</v>
      </c>
      <c r="B223" s="64">
        <v>4.54</v>
      </c>
      <c r="C223" s="61">
        <v>10.323919999999999</v>
      </c>
    </row>
    <row r="224" spans="1:3" x14ac:dyDescent="0.25">
      <c r="A224" s="47" t="s">
        <v>856</v>
      </c>
      <c r="B224" s="64">
        <v>134.9</v>
      </c>
      <c r="C224" s="61">
        <v>8.0514200000000002</v>
      </c>
    </row>
    <row r="225" spans="1:3" x14ac:dyDescent="0.25">
      <c r="A225" s="47" t="s">
        <v>860</v>
      </c>
      <c r="B225" s="64">
        <v>5.2</v>
      </c>
      <c r="C225" s="61">
        <v>16.243390000000002</v>
      </c>
    </row>
    <row r="226" spans="1:3" x14ac:dyDescent="0.25">
      <c r="A226" s="47" t="s">
        <v>864</v>
      </c>
      <c r="B226" s="64">
        <v>135.5</v>
      </c>
      <c r="C226" s="61">
        <v>10.150639999999999</v>
      </c>
    </row>
    <row r="227" spans="1:3" x14ac:dyDescent="0.25">
      <c r="A227" s="47" t="s">
        <v>868</v>
      </c>
      <c r="B227" s="64">
        <v>0.38</v>
      </c>
      <c r="C227" s="61">
        <v>10.98404</v>
      </c>
    </row>
    <row r="228" spans="1:3" x14ac:dyDescent="0.25">
      <c r="A228" s="47" t="s">
        <v>872</v>
      </c>
      <c r="B228" s="64">
        <v>0.52</v>
      </c>
      <c r="C228" s="61">
        <v>3.7827299999999999</v>
      </c>
    </row>
    <row r="229" spans="1:3" x14ac:dyDescent="0.25">
      <c r="A229" s="47" t="s">
        <v>876</v>
      </c>
      <c r="B229" s="64">
        <v>6300</v>
      </c>
      <c r="C229" s="61">
        <v>20.598179999999999</v>
      </c>
    </row>
    <row r="230" spans="1:3" x14ac:dyDescent="0.25">
      <c r="A230" s="47" t="s">
        <v>880</v>
      </c>
      <c r="B230" s="64">
        <v>72.261750000000006</v>
      </c>
      <c r="C230" s="61">
        <v>8.7133500000000002</v>
      </c>
    </row>
    <row r="231" spans="1:3" x14ac:dyDescent="0.25">
      <c r="A231" s="47" t="s">
        <v>884</v>
      </c>
      <c r="B231" s="64">
        <v>47</v>
      </c>
      <c r="C231" s="61">
        <v>6.6529600000000002</v>
      </c>
    </row>
    <row r="232" spans="1:3" x14ac:dyDescent="0.25">
      <c r="A232" s="47" t="s">
        <v>886</v>
      </c>
      <c r="B232" s="64">
        <v>540</v>
      </c>
      <c r="C232" s="61">
        <v>46</v>
      </c>
    </row>
    <row r="233" spans="1:3" x14ac:dyDescent="0.25">
      <c r="A233" s="47" t="s">
        <v>890</v>
      </c>
      <c r="B233" s="64">
        <v>9.84</v>
      </c>
      <c r="C233" s="61">
        <v>2.7427299999999999</v>
      </c>
    </row>
    <row r="234" spans="1:3" x14ac:dyDescent="0.25">
      <c r="A234" s="47" t="s">
        <v>893</v>
      </c>
      <c r="B234" s="64">
        <v>4.5</v>
      </c>
      <c r="C234" s="61">
        <v>9.5921800000000008</v>
      </c>
    </row>
    <row r="235" spans="1:3" x14ac:dyDescent="0.25">
      <c r="A235" s="47" t="s">
        <v>897</v>
      </c>
      <c r="B235" s="64">
        <v>0.45</v>
      </c>
      <c r="C235" s="61">
        <v>4.64879</v>
      </c>
    </row>
    <row r="236" spans="1:3" x14ac:dyDescent="0.25">
      <c r="A236" s="47" t="s">
        <v>901</v>
      </c>
      <c r="B236" s="64">
        <v>0.45</v>
      </c>
      <c r="C236" s="61">
        <v>4.1362399999999999</v>
      </c>
    </row>
    <row r="237" spans="1:3" x14ac:dyDescent="0.25">
      <c r="A237" s="47" t="s">
        <v>904</v>
      </c>
      <c r="B237" s="64">
        <v>298.35000000000002</v>
      </c>
      <c r="C237" s="61">
        <v>40.176090000000002</v>
      </c>
    </row>
    <row r="238" spans="1:3" x14ac:dyDescent="0.25">
      <c r="A238" s="47" t="s">
        <v>908</v>
      </c>
      <c r="B238" s="64">
        <v>0.75</v>
      </c>
      <c r="C238" s="61">
        <v>2.7839700000000001</v>
      </c>
    </row>
    <row r="239" spans="1:3" x14ac:dyDescent="0.25">
      <c r="A239" s="47" t="s">
        <v>912</v>
      </c>
      <c r="B239" s="64">
        <v>2.15</v>
      </c>
      <c r="C239" s="61">
        <v>2.5836199999999998</v>
      </c>
    </row>
    <row r="240" spans="1:3" x14ac:dyDescent="0.25">
      <c r="A240" s="47" t="s">
        <v>915</v>
      </c>
      <c r="B240" s="64">
        <v>6.4000000000000001E-2</v>
      </c>
      <c r="C240" s="61">
        <v>0.12</v>
      </c>
    </row>
    <row r="241" spans="1:3" x14ac:dyDescent="0.25">
      <c r="A241" s="47" t="s">
        <v>919</v>
      </c>
      <c r="B241" s="64">
        <v>17.026</v>
      </c>
      <c r="C241" s="61">
        <v>28.456060000000001</v>
      </c>
    </row>
    <row r="242" spans="1:3" x14ac:dyDescent="0.25">
      <c r="A242" s="47" t="s">
        <v>923</v>
      </c>
      <c r="B242" s="64">
        <v>213.43394000000001</v>
      </c>
      <c r="C242" s="61">
        <v>3.4792200000000002</v>
      </c>
    </row>
    <row r="243" spans="1:3" x14ac:dyDescent="0.25">
      <c r="A243" s="47" t="s">
        <v>927</v>
      </c>
      <c r="B243" s="64">
        <v>153</v>
      </c>
      <c r="C243" s="61">
        <v>18.608039999999999</v>
      </c>
    </row>
    <row r="244" spans="1:3" x14ac:dyDescent="0.25">
      <c r="A244" s="47" t="s">
        <v>930</v>
      </c>
      <c r="B244" s="64">
        <v>38.299999999999997</v>
      </c>
      <c r="C244" s="61">
        <v>7.1993200000000002</v>
      </c>
    </row>
    <row r="245" spans="1:3" x14ac:dyDescent="0.25">
      <c r="A245" s="47" t="s">
        <v>934</v>
      </c>
      <c r="B245" s="64">
        <v>76.088470000000001</v>
      </c>
      <c r="C245" s="61">
        <v>4.5438200000000002</v>
      </c>
    </row>
    <row r="246" spans="1:3" x14ac:dyDescent="0.25">
      <c r="A246" s="47" t="s">
        <v>938</v>
      </c>
      <c r="B246" s="64">
        <v>31.0185</v>
      </c>
      <c r="C246" s="61">
        <v>7.98055</v>
      </c>
    </row>
    <row r="247" spans="1:3" x14ac:dyDescent="0.25">
      <c r="A247" s="47" t="s">
        <v>941</v>
      </c>
      <c r="B247" s="64">
        <v>76.088470000000001</v>
      </c>
      <c r="C247" s="61">
        <v>6.2302900000000001</v>
      </c>
    </row>
    <row r="248" spans="1:3" x14ac:dyDescent="0.25">
      <c r="A248" s="47" t="s">
        <v>945</v>
      </c>
      <c r="B248" s="64">
        <v>5.38</v>
      </c>
      <c r="C248" s="61">
        <v>8.7118800000000007</v>
      </c>
    </row>
    <row r="249" spans="1:3" x14ac:dyDescent="0.25">
      <c r="A249" s="47" t="s">
        <v>949</v>
      </c>
      <c r="B249" s="64">
        <v>76.088470000000001</v>
      </c>
      <c r="C249" s="61">
        <v>11.81949</v>
      </c>
    </row>
    <row r="250" spans="1:3" x14ac:dyDescent="0.25">
      <c r="A250" s="47" t="s">
        <v>953</v>
      </c>
      <c r="B250" s="64">
        <v>76.088470000000001</v>
      </c>
      <c r="C250" s="61">
        <v>7.9628699999999997</v>
      </c>
    </row>
    <row r="251" spans="1:3" x14ac:dyDescent="0.25">
      <c r="A251" s="47" t="s">
        <v>957</v>
      </c>
      <c r="B251" s="64">
        <v>94</v>
      </c>
      <c r="C251" s="61">
        <v>2.9419</v>
      </c>
    </row>
    <row r="252" spans="1:3" x14ac:dyDescent="0.25">
      <c r="A252" s="47" t="s">
        <v>961</v>
      </c>
      <c r="B252" s="64">
        <v>18.899999999999999</v>
      </c>
      <c r="C252" s="61">
        <v>14.131069999999999</v>
      </c>
    </row>
    <row r="253" spans="1:3" x14ac:dyDescent="0.25">
      <c r="A253" s="47" t="s">
        <v>965</v>
      </c>
      <c r="B253" s="64">
        <v>368.48649999999998</v>
      </c>
      <c r="C253" s="61">
        <v>11.18652</v>
      </c>
    </row>
    <row r="254" spans="1:3" x14ac:dyDescent="0.25">
      <c r="A254" s="47" t="s">
        <v>969</v>
      </c>
      <c r="B254" s="64">
        <v>27.3</v>
      </c>
      <c r="C254" s="61">
        <v>6.8792</v>
      </c>
    </row>
    <row r="255" spans="1:3" x14ac:dyDescent="0.25">
      <c r="A255" s="47" t="s">
        <v>973</v>
      </c>
      <c r="B255" s="64">
        <v>5.1650000000000001E-2</v>
      </c>
      <c r="C255" s="61">
        <v>2.6008300000000002</v>
      </c>
    </row>
    <row r="256" spans="1:3" x14ac:dyDescent="0.25">
      <c r="A256" s="47" t="s">
        <v>976</v>
      </c>
      <c r="B256" s="64">
        <v>131</v>
      </c>
      <c r="C256" s="61">
        <v>3.52549</v>
      </c>
    </row>
    <row r="257" spans="1:3" x14ac:dyDescent="0.25">
      <c r="A257" s="47" t="s">
        <v>980</v>
      </c>
      <c r="B257" s="64">
        <v>46.809010000000001</v>
      </c>
      <c r="C257" s="61">
        <v>6.3076100000000004</v>
      </c>
    </row>
    <row r="258" spans="1:3" x14ac:dyDescent="0.25">
      <c r="A258" s="47" t="s">
        <v>984</v>
      </c>
      <c r="B258" s="64">
        <v>46.809010000000001</v>
      </c>
      <c r="C258" s="61">
        <v>4.6313000000000004</v>
      </c>
    </row>
    <row r="259" spans="1:3" x14ac:dyDescent="0.25">
      <c r="A259" s="47" t="s">
        <v>988</v>
      </c>
      <c r="B259" s="64">
        <v>46.809010000000001</v>
      </c>
      <c r="C259" s="61">
        <v>17.687090000000001</v>
      </c>
    </row>
    <row r="260" spans="1:3" x14ac:dyDescent="0.25">
      <c r="A260" s="47" t="s">
        <v>990</v>
      </c>
      <c r="B260" s="64">
        <v>0.13</v>
      </c>
      <c r="C260" s="61">
        <v>0.46</v>
      </c>
    </row>
    <row r="261" spans="1:3" x14ac:dyDescent="0.25">
      <c r="A261" s="47" t="s">
        <v>994</v>
      </c>
      <c r="B261" s="64">
        <v>229</v>
      </c>
      <c r="C261" s="61">
        <v>10.709</v>
      </c>
    </row>
    <row r="262" spans="1:3" x14ac:dyDescent="0.25">
      <c r="A262" s="47" t="s">
        <v>997</v>
      </c>
      <c r="B262" s="64">
        <v>229</v>
      </c>
      <c r="C262" s="61">
        <v>9.5452999999999992</v>
      </c>
    </row>
    <row r="263" spans="1:3" x14ac:dyDescent="0.25">
      <c r="A263" s="47" t="s">
        <v>1000</v>
      </c>
      <c r="B263" s="64">
        <v>21.94</v>
      </c>
      <c r="C263" s="61">
        <v>2.5833599999999999</v>
      </c>
    </row>
    <row r="264" spans="1:3" x14ac:dyDescent="0.25">
      <c r="A264" s="47" t="s">
        <v>1004</v>
      </c>
      <c r="B264" s="64">
        <v>140</v>
      </c>
      <c r="C264" s="61">
        <v>428</v>
      </c>
    </row>
    <row r="265" spans="1:3" x14ac:dyDescent="0.25">
      <c r="A265" s="47" t="s">
        <v>1008</v>
      </c>
      <c r="B265" s="64">
        <v>79.900000000000006</v>
      </c>
      <c r="C265" s="61">
        <v>14.313219999999999</v>
      </c>
    </row>
    <row r="266" spans="1:3" x14ac:dyDescent="0.25">
      <c r="A266" s="47" t="s">
        <v>1012</v>
      </c>
      <c r="B266" s="64">
        <v>6.7249999999999996</v>
      </c>
      <c r="C266" s="61">
        <v>4.7556700000000003</v>
      </c>
    </row>
    <row r="267" spans="1:3" x14ac:dyDescent="0.25">
      <c r="A267" s="47" t="s">
        <v>1016</v>
      </c>
      <c r="B267" s="64">
        <v>6.7249999999999996</v>
      </c>
      <c r="C267" s="61">
        <v>5.4340000000000002</v>
      </c>
    </row>
    <row r="268" spans="1:3" x14ac:dyDescent="0.25">
      <c r="A268" s="47" t="s">
        <v>1019</v>
      </c>
      <c r="B268" s="64">
        <v>749.81368999999995</v>
      </c>
      <c r="C268" s="61">
        <v>3.9464299999999999</v>
      </c>
    </row>
    <row r="269" spans="1:3" x14ac:dyDescent="0.25">
      <c r="A269" s="47" t="s">
        <v>1023</v>
      </c>
      <c r="B269" s="64">
        <v>11</v>
      </c>
      <c r="C269" s="61">
        <v>2.7014399999999998</v>
      </c>
    </row>
    <row r="270" spans="1:3" x14ac:dyDescent="0.25">
      <c r="A270" s="47" t="s">
        <v>1026</v>
      </c>
      <c r="B270" s="64">
        <v>9.84</v>
      </c>
      <c r="C270" s="61">
        <v>2.5908699999999998</v>
      </c>
    </row>
    <row r="271" spans="1:3" x14ac:dyDescent="0.25">
      <c r="A271" s="47" t="s">
        <v>1029</v>
      </c>
      <c r="B271" s="64">
        <v>9.33</v>
      </c>
      <c r="C271" s="61">
        <v>2.8100900000000002</v>
      </c>
    </row>
    <row r="272" spans="1:3" x14ac:dyDescent="0.25">
      <c r="A272" s="47" t="s">
        <v>1033</v>
      </c>
      <c r="B272" s="64">
        <v>860.5</v>
      </c>
      <c r="C272" s="61">
        <v>31</v>
      </c>
    </row>
    <row r="273" spans="1:3" x14ac:dyDescent="0.25">
      <c r="A273" s="47" t="s">
        <v>1036</v>
      </c>
      <c r="B273" s="64">
        <v>2</v>
      </c>
      <c r="C273" s="61">
        <v>0.3</v>
      </c>
    </row>
    <row r="274" spans="1:3" x14ac:dyDescent="0.25">
      <c r="A274" s="47" t="s">
        <v>1040</v>
      </c>
      <c r="B274" s="64">
        <v>21.94</v>
      </c>
      <c r="C274" s="61">
        <v>2.5833599999999999</v>
      </c>
    </row>
    <row r="275" spans="1:3" x14ac:dyDescent="0.25">
      <c r="A275" s="47" t="s">
        <v>1043</v>
      </c>
      <c r="B275" s="64">
        <v>21.94</v>
      </c>
      <c r="C275" s="61">
        <v>5.7829199999999998</v>
      </c>
    </row>
    <row r="276" spans="1:3" x14ac:dyDescent="0.25">
      <c r="A276" s="47" t="s">
        <v>1046</v>
      </c>
      <c r="B276" s="64">
        <v>21.94</v>
      </c>
      <c r="C276" s="61">
        <v>5.5004099999999996</v>
      </c>
    </row>
    <row r="277" spans="1:3" x14ac:dyDescent="0.25">
      <c r="A277" s="47" t="s">
        <v>1049</v>
      </c>
      <c r="B277" s="64">
        <v>14.804830000000001</v>
      </c>
      <c r="C277" s="61">
        <v>5.2611600000000003</v>
      </c>
    </row>
    <row r="278" spans="1:3" x14ac:dyDescent="0.25">
      <c r="A278" s="47" t="s">
        <v>1053</v>
      </c>
      <c r="B278" s="64">
        <v>6.75</v>
      </c>
      <c r="C278" s="61">
        <v>6.2595000000000001</v>
      </c>
    </row>
    <row r="279" spans="1:3" x14ac:dyDescent="0.25">
      <c r="A279" s="47" t="s">
        <v>1057</v>
      </c>
      <c r="B279" s="64">
        <v>2162.5</v>
      </c>
      <c r="C279" s="61">
        <v>52.983409999999999</v>
      </c>
    </row>
    <row r="280" spans="1:3" x14ac:dyDescent="0.25">
      <c r="A280" s="47" t="s">
        <v>1061</v>
      </c>
      <c r="B280" s="64">
        <v>370</v>
      </c>
      <c r="C280" s="61">
        <v>16.281960000000002</v>
      </c>
    </row>
    <row r="281" spans="1:3" x14ac:dyDescent="0.25">
      <c r="A281" s="47" t="s">
        <v>1065</v>
      </c>
      <c r="B281" s="64">
        <v>79.900000000000006</v>
      </c>
      <c r="C281" s="61">
        <v>26.324590000000001</v>
      </c>
    </row>
    <row r="282" spans="1:3" x14ac:dyDescent="0.25">
      <c r="A282" s="47" t="s">
        <v>1068</v>
      </c>
      <c r="B282" s="64">
        <v>18.3185</v>
      </c>
      <c r="C282" s="61">
        <v>5.5650500000000003</v>
      </c>
    </row>
    <row r="283" spans="1:3" x14ac:dyDescent="0.25">
      <c r="A283" s="47" t="s">
        <v>1072</v>
      </c>
      <c r="B283" s="64">
        <v>14.804830000000001</v>
      </c>
      <c r="C283" s="61">
        <v>7.1106499999999997</v>
      </c>
    </row>
    <row r="284" spans="1:3" x14ac:dyDescent="0.25">
      <c r="A284" s="47" t="s">
        <v>1076</v>
      </c>
      <c r="B284" s="64">
        <v>2</v>
      </c>
      <c r="C284" s="61">
        <v>11.804740000000001</v>
      </c>
    </row>
    <row r="285" spans="1:3" x14ac:dyDescent="0.25">
      <c r="A285" s="47" t="s">
        <v>1080</v>
      </c>
      <c r="B285" s="64">
        <v>0.157</v>
      </c>
      <c r="C285" s="61">
        <v>15.91056</v>
      </c>
    </row>
    <row r="286" spans="1:3" x14ac:dyDescent="0.25">
      <c r="A286" s="47" t="s">
        <v>1084</v>
      </c>
      <c r="B286" s="64">
        <v>47</v>
      </c>
      <c r="C286" s="61">
        <v>7.5675999999999997</v>
      </c>
    </row>
    <row r="287" spans="1:3" x14ac:dyDescent="0.25">
      <c r="A287" s="47" t="s">
        <v>1087</v>
      </c>
      <c r="B287" s="64">
        <v>40</v>
      </c>
      <c r="C287" s="61">
        <v>5.8677999999999999</v>
      </c>
    </row>
    <row r="288" spans="1:3" x14ac:dyDescent="0.25">
      <c r="A288" s="47" t="s">
        <v>1091</v>
      </c>
      <c r="B288" s="64">
        <v>250</v>
      </c>
      <c r="C288" s="61">
        <v>3.0079899999999999</v>
      </c>
    </row>
    <row r="289" spans="1:3" x14ac:dyDescent="0.25">
      <c r="A289" s="47" t="s">
        <v>1095</v>
      </c>
      <c r="B289" s="64">
        <v>1.2</v>
      </c>
      <c r="C289" s="61">
        <v>2.88523</v>
      </c>
    </row>
    <row r="290" spans="1:3" x14ac:dyDescent="0.25">
      <c r="A290" s="47" t="s">
        <v>1099</v>
      </c>
      <c r="B290" s="64">
        <v>18.3185</v>
      </c>
      <c r="C290" s="61">
        <v>64.413269999999997</v>
      </c>
    </row>
    <row r="291" spans="1:3" x14ac:dyDescent="0.25">
      <c r="A291" s="47" t="s">
        <v>1103</v>
      </c>
      <c r="B291" s="64">
        <v>192.40242000000001</v>
      </c>
      <c r="C291" s="61">
        <v>417.24527999999998</v>
      </c>
    </row>
    <row r="292" spans="1:3" x14ac:dyDescent="0.25">
      <c r="A292" s="47" t="s">
        <v>1107</v>
      </c>
      <c r="B292" s="64">
        <v>5.2</v>
      </c>
      <c r="C292" s="61">
        <v>7.34171</v>
      </c>
    </row>
    <row r="293" spans="1:3" x14ac:dyDescent="0.25">
      <c r="A293" s="47" t="s">
        <v>1111</v>
      </c>
      <c r="B293" s="64">
        <v>9</v>
      </c>
      <c r="C293" s="61">
        <v>4.1934399999999998</v>
      </c>
    </row>
    <row r="294" spans="1:3" x14ac:dyDescent="0.25">
      <c r="A294" s="47" t="s">
        <v>1115</v>
      </c>
      <c r="B294" s="64">
        <v>199</v>
      </c>
      <c r="C294" s="61">
        <v>5.4790299999999998</v>
      </c>
    </row>
    <row r="295" spans="1:3" x14ac:dyDescent="0.25">
      <c r="A295" s="47" t="s">
        <v>1119</v>
      </c>
      <c r="B295" s="64">
        <v>68.682329999999993</v>
      </c>
      <c r="C295" s="61">
        <v>24</v>
      </c>
    </row>
    <row r="296" spans="1:3" x14ac:dyDescent="0.25">
      <c r="A296" s="47" t="s">
        <v>1123</v>
      </c>
      <c r="B296" s="64">
        <v>108.5</v>
      </c>
      <c r="C296" s="61">
        <v>7.1528099999999997</v>
      </c>
    </row>
    <row r="297" spans="1:3" x14ac:dyDescent="0.25">
      <c r="A297" s="47" t="s">
        <v>1126</v>
      </c>
      <c r="B297" s="64">
        <v>209</v>
      </c>
      <c r="C297" s="61">
        <v>42</v>
      </c>
    </row>
    <row r="298" spans="1:3" x14ac:dyDescent="0.25">
      <c r="A298" s="47" t="s">
        <v>1130</v>
      </c>
      <c r="B298" s="64">
        <v>229</v>
      </c>
      <c r="C298" s="61">
        <v>10.77239</v>
      </c>
    </row>
    <row r="299" spans="1:3" x14ac:dyDescent="0.25">
      <c r="A299" s="47" t="s">
        <v>1133</v>
      </c>
      <c r="B299" s="64">
        <v>229</v>
      </c>
      <c r="C299" s="61">
        <v>10.8431</v>
      </c>
    </row>
    <row r="300" spans="1:3" x14ac:dyDescent="0.25">
      <c r="A300" s="47" t="s">
        <v>1136</v>
      </c>
      <c r="B300" s="64">
        <v>290</v>
      </c>
      <c r="C300" s="61">
        <v>7.53437</v>
      </c>
    </row>
    <row r="301" spans="1:3" x14ac:dyDescent="0.25">
      <c r="A301" s="47" t="s">
        <v>1140</v>
      </c>
      <c r="B301" s="64">
        <v>290</v>
      </c>
      <c r="C301" s="61">
        <v>13.02722</v>
      </c>
    </row>
    <row r="302" spans="1:3" x14ac:dyDescent="0.25">
      <c r="A302" s="47" t="s">
        <v>1143</v>
      </c>
      <c r="B302" s="64">
        <v>60503.775000000001</v>
      </c>
      <c r="C302" s="61">
        <v>5.5818000000000003</v>
      </c>
    </row>
    <row r="303" spans="1:3" x14ac:dyDescent="0.25">
      <c r="A303" s="47" t="s">
        <v>1146</v>
      </c>
      <c r="B303" s="64">
        <v>12.007999999999999</v>
      </c>
      <c r="C303" s="61">
        <v>2.8889300000000002</v>
      </c>
    </row>
    <row r="304" spans="1:3" x14ac:dyDescent="0.25">
      <c r="A304" s="47" t="s">
        <v>1150</v>
      </c>
      <c r="B304" s="64">
        <v>4.9000000000000004</v>
      </c>
      <c r="C304" s="61">
        <v>6.8550300000000002</v>
      </c>
    </row>
    <row r="305" spans="1:3" x14ac:dyDescent="0.25">
      <c r="A305" s="47" t="s">
        <v>1154</v>
      </c>
      <c r="B305" s="64">
        <v>8.7200000000000006</v>
      </c>
      <c r="C305" s="61">
        <v>181.00728000000001</v>
      </c>
    </row>
    <row r="306" spans="1:3" x14ac:dyDescent="0.25">
      <c r="A306" s="47" t="s">
        <v>1158</v>
      </c>
      <c r="B306" s="64">
        <v>39</v>
      </c>
      <c r="C306" s="61">
        <v>5.1622000000000003</v>
      </c>
    </row>
    <row r="307" spans="1:3" x14ac:dyDescent="0.25">
      <c r="A307" s="47" t="s">
        <v>1162</v>
      </c>
      <c r="B307" s="64">
        <v>29</v>
      </c>
      <c r="C307" s="61">
        <v>3.9689800000000002</v>
      </c>
    </row>
    <row r="308" spans="1:3" x14ac:dyDescent="0.25">
      <c r="A308" s="47" t="s">
        <v>1166</v>
      </c>
      <c r="B308" s="64">
        <v>33.299999999999997</v>
      </c>
      <c r="C308" s="61">
        <v>8.1883999999999997</v>
      </c>
    </row>
    <row r="309" spans="1:3" x14ac:dyDescent="0.25">
      <c r="A309" s="47" t="s">
        <v>1169</v>
      </c>
      <c r="B309" s="64">
        <v>310.85000000000002</v>
      </c>
      <c r="C309" s="61">
        <v>41.736319999999999</v>
      </c>
    </row>
    <row r="310" spans="1:3" x14ac:dyDescent="0.25">
      <c r="A310" s="47" t="s">
        <v>1173</v>
      </c>
      <c r="B310" s="64">
        <v>9.5</v>
      </c>
      <c r="C310" s="61">
        <v>43</v>
      </c>
    </row>
    <row r="311" spans="1:3" x14ac:dyDescent="0.25">
      <c r="A311" s="47" t="s">
        <v>1177</v>
      </c>
      <c r="B311" s="64">
        <v>571.5</v>
      </c>
      <c r="C311" s="61">
        <v>2.7558400000000001</v>
      </c>
    </row>
    <row r="312" spans="1:3" x14ac:dyDescent="0.25">
      <c r="A312" s="47" t="s">
        <v>1180</v>
      </c>
      <c r="B312" s="64">
        <v>27.076329999999999</v>
      </c>
      <c r="C312" s="61">
        <v>2.9056299999999999</v>
      </c>
    </row>
    <row r="313" spans="1:3" x14ac:dyDescent="0.25">
      <c r="A313" s="47" t="s">
        <v>1184</v>
      </c>
      <c r="B313" s="64">
        <v>0.5827</v>
      </c>
      <c r="C313" s="61">
        <v>12.6663</v>
      </c>
    </row>
    <row r="314" spans="1:3" x14ac:dyDescent="0.25">
      <c r="A314" s="47" t="s">
        <v>1188</v>
      </c>
      <c r="B314" s="64">
        <v>35.700000000000003</v>
      </c>
      <c r="C314" s="61">
        <v>78.729740000000007</v>
      </c>
    </row>
    <row r="315" spans="1:3" x14ac:dyDescent="0.25">
      <c r="A315" s="47" t="s">
        <v>1192</v>
      </c>
      <c r="B315" s="64">
        <v>0.44</v>
      </c>
      <c r="C315" s="61">
        <v>9.0374099999999995</v>
      </c>
    </row>
    <row r="316" spans="1:3" x14ac:dyDescent="0.25">
      <c r="A316" s="47" t="s">
        <v>1196</v>
      </c>
      <c r="B316" s="64">
        <v>1.49325</v>
      </c>
      <c r="C316" s="61">
        <v>9.9277499999999996</v>
      </c>
    </row>
    <row r="317" spans="1:3" x14ac:dyDescent="0.25">
      <c r="A317" s="47" t="s">
        <v>1199</v>
      </c>
      <c r="B317" s="64">
        <v>76.110799999999998</v>
      </c>
      <c r="C317" s="61">
        <v>5.9836999999999998</v>
      </c>
    </row>
    <row r="318" spans="1:3" x14ac:dyDescent="0.25">
      <c r="A318" s="47" t="s">
        <v>1203</v>
      </c>
      <c r="B318" s="64">
        <v>76.110799999999998</v>
      </c>
      <c r="C318" s="61">
        <v>6.1292400000000002</v>
      </c>
    </row>
    <row r="319" spans="1:3" x14ac:dyDescent="0.25">
      <c r="A319" s="47" t="s">
        <v>1206</v>
      </c>
      <c r="B319" s="64">
        <v>368.48649999999998</v>
      </c>
      <c r="C319" s="61">
        <v>10.95448</v>
      </c>
    </row>
    <row r="320" spans="1:3" x14ac:dyDescent="0.25">
      <c r="A320" s="47" t="s">
        <v>1210</v>
      </c>
      <c r="B320" s="64">
        <v>36.35</v>
      </c>
      <c r="C320" s="61">
        <v>303</v>
      </c>
    </row>
    <row r="321" spans="1:3" x14ac:dyDescent="0.25">
      <c r="A321" s="47" t="s">
        <v>1214</v>
      </c>
      <c r="B321" s="64">
        <v>127</v>
      </c>
      <c r="C321" s="61">
        <v>6.0899599999999996</v>
      </c>
    </row>
    <row r="322" spans="1:3" x14ac:dyDescent="0.25">
      <c r="A322" s="47" t="s">
        <v>1218</v>
      </c>
      <c r="B322" s="64">
        <v>571.5</v>
      </c>
      <c r="C322" s="61">
        <v>6.8339299999999996</v>
      </c>
    </row>
    <row r="323" spans="1:3" x14ac:dyDescent="0.25">
      <c r="A323" s="47" t="s">
        <v>1221</v>
      </c>
      <c r="B323" s="64">
        <v>571.5</v>
      </c>
      <c r="C323" s="61">
        <v>4.8103300000000004</v>
      </c>
    </row>
    <row r="324" spans="1:3" x14ac:dyDescent="0.25">
      <c r="A324" s="47" t="s">
        <v>1224</v>
      </c>
      <c r="B324" s="64">
        <v>571.5</v>
      </c>
      <c r="C324" s="61">
        <v>3.53878</v>
      </c>
    </row>
    <row r="325" spans="1:3" x14ac:dyDescent="0.25">
      <c r="A325" s="47" t="s">
        <v>1227</v>
      </c>
      <c r="B325" s="64">
        <v>1.2999999999999999E-2</v>
      </c>
      <c r="C325" s="61">
        <v>2.6455700000000002</v>
      </c>
    </row>
    <row r="326" spans="1:3" x14ac:dyDescent="0.25">
      <c r="A326" s="47" t="s">
        <v>1231</v>
      </c>
      <c r="B326" s="64">
        <v>2E-3</v>
      </c>
      <c r="C326" s="61">
        <v>2.6280700000000001</v>
      </c>
    </row>
    <row r="327" spans="1:3" x14ac:dyDescent="0.25">
      <c r="A327" s="47" t="s">
        <v>1234</v>
      </c>
      <c r="B327" s="64">
        <v>1.07</v>
      </c>
      <c r="C327" s="61">
        <v>0.27</v>
      </c>
    </row>
    <row r="328" spans="1:3" x14ac:dyDescent="0.25">
      <c r="A328" s="47" t="s">
        <v>1238</v>
      </c>
      <c r="B328" s="64">
        <v>3.8699999999999998E-2</v>
      </c>
      <c r="C328" s="61">
        <v>0.64</v>
      </c>
    </row>
    <row r="329" spans="1:3" x14ac:dyDescent="0.25">
      <c r="A329" s="47" t="s">
        <v>1242</v>
      </c>
      <c r="B329" s="64">
        <v>14.804830000000001</v>
      </c>
      <c r="C329" s="61">
        <v>3.2063199999999998</v>
      </c>
    </row>
    <row r="330" spans="1:3" x14ac:dyDescent="0.25">
      <c r="A330" s="47" t="s">
        <v>1246</v>
      </c>
      <c r="B330" s="64">
        <v>6.1</v>
      </c>
      <c r="C330" s="61">
        <v>0.72</v>
      </c>
    </row>
    <row r="331" spans="1:3" x14ac:dyDescent="0.25">
      <c r="A331" s="47" t="s">
        <v>1250</v>
      </c>
      <c r="B331" s="64">
        <v>1.1399999999999999</v>
      </c>
      <c r="C331" s="61">
        <v>10</v>
      </c>
    </row>
    <row r="332" spans="1:3" x14ac:dyDescent="0.25">
      <c r="A332" s="47" t="s">
        <v>1254</v>
      </c>
      <c r="B332" s="64">
        <v>0.37325000000000003</v>
      </c>
      <c r="C332" s="61">
        <v>6.6758499999999996</v>
      </c>
    </row>
    <row r="333" spans="1:3" x14ac:dyDescent="0.25">
      <c r="A333" s="47" t="s">
        <v>1258</v>
      </c>
      <c r="B333" s="64">
        <v>111.86944</v>
      </c>
      <c r="C333" s="61">
        <v>21.249590000000001</v>
      </c>
    </row>
    <row r="334" spans="1:3" x14ac:dyDescent="0.25">
      <c r="A334" s="47" t="s">
        <v>1262</v>
      </c>
      <c r="B334" s="64">
        <v>46000</v>
      </c>
      <c r="C334" s="61">
        <v>5.0067000000000004</v>
      </c>
    </row>
    <row r="335" spans="1:3" x14ac:dyDescent="0.25">
      <c r="A335" s="47" t="s">
        <v>1266</v>
      </c>
      <c r="B335" s="64">
        <v>2.1</v>
      </c>
      <c r="C335" s="61">
        <v>16.071570000000001</v>
      </c>
    </row>
    <row r="336" spans="1:3" x14ac:dyDescent="0.25">
      <c r="A336" s="47" t="s">
        <v>1270</v>
      </c>
      <c r="B336" s="64">
        <v>4.2</v>
      </c>
      <c r="C336" s="61">
        <v>13.51844</v>
      </c>
    </row>
    <row r="337" spans="1:3" x14ac:dyDescent="0.25">
      <c r="A337" s="47" t="s">
        <v>1274</v>
      </c>
      <c r="B337" s="64">
        <v>2.7</v>
      </c>
      <c r="C337" s="61">
        <v>39.5199</v>
      </c>
    </row>
    <row r="338" spans="1:3" x14ac:dyDescent="0.25">
      <c r="A338" s="47" t="s">
        <v>1278</v>
      </c>
      <c r="B338" s="64">
        <v>1203</v>
      </c>
      <c r="C338" s="61">
        <v>27.795529999999999</v>
      </c>
    </row>
    <row r="339" spans="1:3" x14ac:dyDescent="0.25">
      <c r="A339" s="47" t="s">
        <v>1281</v>
      </c>
      <c r="B339" s="64">
        <v>1203</v>
      </c>
      <c r="C339" s="61">
        <v>11.72367</v>
      </c>
    </row>
    <row r="340" spans="1:3" x14ac:dyDescent="0.25">
      <c r="A340" s="47" t="s">
        <v>1284</v>
      </c>
      <c r="B340" s="64">
        <v>510</v>
      </c>
      <c r="C340" s="61">
        <v>2.74952</v>
      </c>
    </row>
    <row r="341" spans="1:3" x14ac:dyDescent="0.25">
      <c r="A341" s="47" t="s">
        <v>1287</v>
      </c>
      <c r="B341" s="64">
        <v>3</v>
      </c>
      <c r="C341" s="61">
        <v>18</v>
      </c>
    </row>
    <row r="342" spans="1:3" x14ac:dyDescent="0.25">
      <c r="A342" s="47" t="s">
        <v>1291</v>
      </c>
      <c r="B342" s="64">
        <v>458.5</v>
      </c>
      <c r="C342" s="61">
        <v>6.1238599999999996</v>
      </c>
    </row>
    <row r="343" spans="1:3" x14ac:dyDescent="0.25">
      <c r="A343" s="47" t="s">
        <v>1294</v>
      </c>
      <c r="B343" s="64">
        <v>0.25</v>
      </c>
      <c r="C343" s="61">
        <v>10.006790000000001</v>
      </c>
    </row>
    <row r="344" spans="1:3" x14ac:dyDescent="0.25">
      <c r="A344" s="47" t="s">
        <v>1298</v>
      </c>
      <c r="B344" s="64">
        <v>126.8</v>
      </c>
      <c r="C344" s="61">
        <v>30.988569999999999</v>
      </c>
    </row>
    <row r="345" spans="1:3" x14ac:dyDescent="0.25">
      <c r="A345" s="47" t="s">
        <v>1302</v>
      </c>
      <c r="B345" s="64">
        <v>14.804830000000001</v>
      </c>
      <c r="C345" s="61">
        <v>18.101710000000001</v>
      </c>
    </row>
    <row r="346" spans="1:3" x14ac:dyDescent="0.25">
      <c r="A346" s="47" t="s">
        <v>1306</v>
      </c>
      <c r="B346" s="64">
        <v>0.4</v>
      </c>
      <c r="C346" s="61">
        <v>3.0000000000000001E-3</v>
      </c>
    </row>
    <row r="347" spans="1:3" x14ac:dyDescent="0.25">
      <c r="A347" s="47" t="s">
        <v>1310</v>
      </c>
      <c r="B347" s="64">
        <v>54.25</v>
      </c>
      <c r="C347" s="61">
        <v>6.0297700000000001</v>
      </c>
    </row>
    <row r="348" spans="1:3" x14ac:dyDescent="0.25">
      <c r="A348" s="47" t="s">
        <v>1314</v>
      </c>
      <c r="B348" s="64">
        <v>9201.8125</v>
      </c>
      <c r="C348" s="61">
        <v>66.940569999999994</v>
      </c>
    </row>
    <row r="349" spans="1:3" x14ac:dyDescent="0.25">
      <c r="A349" s="47" t="s">
        <v>1318</v>
      </c>
      <c r="B349" s="64">
        <v>213.43394000000001</v>
      </c>
      <c r="C349" s="61">
        <v>6.3148799999999996</v>
      </c>
    </row>
    <row r="350" spans="1:3" x14ac:dyDescent="0.25">
      <c r="A350" s="47" t="s">
        <v>1322</v>
      </c>
      <c r="B350" s="64">
        <v>49.465000000000003</v>
      </c>
      <c r="C350" s="61">
        <v>5.0120500000000003</v>
      </c>
    </row>
    <row r="351" spans="1:3" x14ac:dyDescent="0.25">
      <c r="A351" s="47" t="s">
        <v>1326</v>
      </c>
      <c r="B351" s="64">
        <v>60.384</v>
      </c>
      <c r="C351" s="61">
        <v>5.8429200000000003</v>
      </c>
    </row>
    <row r="352" spans="1:3" x14ac:dyDescent="0.25">
      <c r="A352" s="47" t="s">
        <v>1328</v>
      </c>
      <c r="B352" s="64">
        <v>845</v>
      </c>
      <c r="C352" s="61">
        <v>13.580410000000001</v>
      </c>
    </row>
    <row r="353" spans="1:3" x14ac:dyDescent="0.25">
      <c r="A353" s="47" t="s">
        <v>1332</v>
      </c>
      <c r="B353" s="64">
        <v>8.3149999999999995</v>
      </c>
      <c r="C353" s="61">
        <v>2.7938700000000001</v>
      </c>
    </row>
    <row r="354" spans="1:3" x14ac:dyDescent="0.25">
      <c r="A354" s="47" t="s">
        <v>1336</v>
      </c>
      <c r="B354" s="64">
        <v>167.9</v>
      </c>
      <c r="C354" s="61">
        <v>26.276250000000001</v>
      </c>
    </row>
    <row r="355" spans="1:3" x14ac:dyDescent="0.25">
      <c r="A355" s="47" t="s">
        <v>1340</v>
      </c>
      <c r="B355" s="64">
        <v>263.20832999999999</v>
      </c>
      <c r="C355" s="61">
        <v>4.90402</v>
      </c>
    </row>
    <row r="356" spans="1:3" x14ac:dyDescent="0.25">
      <c r="A356" s="47" t="s">
        <v>1344</v>
      </c>
      <c r="B356" s="64">
        <v>1</v>
      </c>
      <c r="C356" s="61">
        <v>6.0038</v>
      </c>
    </row>
    <row r="357" spans="1:3" x14ac:dyDescent="0.25">
      <c r="A357" s="47" t="s">
        <v>1348</v>
      </c>
      <c r="B357" s="64">
        <v>0.43</v>
      </c>
      <c r="C357" s="61">
        <v>5</v>
      </c>
    </row>
    <row r="358" spans="1:3" x14ac:dyDescent="0.25">
      <c r="A358" s="47" t="s">
        <v>1352</v>
      </c>
      <c r="B358" s="64">
        <v>60.666670000000003</v>
      </c>
      <c r="C358" s="61">
        <v>6.1976599999999999</v>
      </c>
    </row>
    <row r="359" spans="1:3" x14ac:dyDescent="0.25">
      <c r="A359" s="47" t="s">
        <v>1356</v>
      </c>
      <c r="B359" s="64">
        <v>14.804830000000001</v>
      </c>
      <c r="C359" s="61">
        <v>19.167899999999999</v>
      </c>
    </row>
    <row r="360" spans="1:3" x14ac:dyDescent="0.25">
      <c r="A360" s="47" t="s">
        <v>1359</v>
      </c>
      <c r="B360" s="64">
        <v>0.67</v>
      </c>
      <c r="C360" s="61">
        <v>2.64655</v>
      </c>
    </row>
    <row r="361" spans="1:3" x14ac:dyDescent="0.25">
      <c r="A361" s="47" t="s">
        <v>1363</v>
      </c>
      <c r="B361" s="64">
        <v>0.82</v>
      </c>
      <c r="C361" s="61">
        <v>1.4</v>
      </c>
    </row>
    <row r="362" spans="1:3" x14ac:dyDescent="0.25">
      <c r="A362" s="47" t="s">
        <v>1367</v>
      </c>
      <c r="B362" s="64">
        <v>2.8</v>
      </c>
      <c r="C362" s="61">
        <v>22.759740000000001</v>
      </c>
    </row>
    <row r="363" spans="1:3" x14ac:dyDescent="0.25">
      <c r="A363" s="47" t="s">
        <v>1371</v>
      </c>
      <c r="B363" s="64">
        <v>229</v>
      </c>
      <c r="C363" s="61">
        <v>11.67362</v>
      </c>
    </row>
    <row r="364" spans="1:3" x14ac:dyDescent="0.25">
      <c r="A364" s="47" t="s">
        <v>1374</v>
      </c>
      <c r="B364" s="64">
        <v>0.94</v>
      </c>
      <c r="C364" s="61">
        <v>7.1726999999999999</v>
      </c>
    </row>
    <row r="365" spans="1:3" x14ac:dyDescent="0.25">
      <c r="A365" s="47" t="s">
        <v>1378</v>
      </c>
      <c r="B365" s="64">
        <v>2</v>
      </c>
      <c r="C365" s="61">
        <v>3.6145</v>
      </c>
    </row>
    <row r="366" spans="1:3" x14ac:dyDescent="0.25">
      <c r="A366" s="47" t="s">
        <v>1381</v>
      </c>
      <c r="B366" s="64">
        <v>0.65</v>
      </c>
      <c r="C366" s="61">
        <v>2.8201999999999998</v>
      </c>
    </row>
    <row r="367" spans="1:3" x14ac:dyDescent="0.25">
      <c r="A367" s="47" t="s">
        <v>1385</v>
      </c>
      <c r="B367" s="64">
        <v>3.851</v>
      </c>
      <c r="C367" s="61">
        <v>11</v>
      </c>
    </row>
    <row r="368" spans="1:3" x14ac:dyDescent="0.25">
      <c r="A368" s="47" t="s">
        <v>1389</v>
      </c>
      <c r="B368" s="64">
        <v>5.2</v>
      </c>
      <c r="C368" s="61">
        <v>5.1060400000000001</v>
      </c>
    </row>
    <row r="369" spans="1:3" x14ac:dyDescent="0.25">
      <c r="A369" s="47" t="s">
        <v>1392</v>
      </c>
      <c r="B369" s="64">
        <v>750</v>
      </c>
      <c r="C369" s="61">
        <v>2.6991200000000002</v>
      </c>
    </row>
    <row r="370" spans="1:3" x14ac:dyDescent="0.25">
      <c r="A370" s="47" t="s">
        <v>1395</v>
      </c>
      <c r="B370" s="64">
        <v>5.3150000000000004</v>
      </c>
      <c r="C370" s="61">
        <v>70</v>
      </c>
    </row>
    <row r="371" spans="1:3" x14ac:dyDescent="0.25">
      <c r="A371" s="47" t="s">
        <v>1399</v>
      </c>
      <c r="B371" s="64">
        <v>0.64</v>
      </c>
      <c r="C371" s="61">
        <v>17</v>
      </c>
    </row>
    <row r="372" spans="1:3" x14ac:dyDescent="0.25">
      <c r="A372" s="47" t="s">
        <v>1403</v>
      </c>
      <c r="B372" s="64">
        <v>25.7</v>
      </c>
      <c r="C372" s="61">
        <v>18.665030000000002</v>
      </c>
    </row>
    <row r="373" spans="1:3" x14ac:dyDescent="0.25">
      <c r="A373" s="47" t="s">
        <v>1407</v>
      </c>
      <c r="B373" s="64">
        <v>9201.8125</v>
      </c>
      <c r="C373" s="61">
        <v>10.65178</v>
      </c>
    </row>
    <row r="374" spans="1:3" x14ac:dyDescent="0.25">
      <c r="A374" s="47" t="s">
        <v>1411</v>
      </c>
      <c r="B374" s="64">
        <v>370</v>
      </c>
      <c r="C374" s="61">
        <v>96.759519999999995</v>
      </c>
    </row>
    <row r="375" spans="1:3" x14ac:dyDescent="0.25">
      <c r="A375" s="47" t="s">
        <v>1415</v>
      </c>
      <c r="B375" s="64">
        <v>213.43394000000001</v>
      </c>
      <c r="C375" s="61">
        <v>5.45038</v>
      </c>
    </row>
    <row r="376" spans="1:3" x14ac:dyDescent="0.25">
      <c r="A376" s="47" t="s">
        <v>1419</v>
      </c>
      <c r="B376" s="64">
        <v>7.3274999999999997</v>
      </c>
      <c r="C376" s="61">
        <v>2.7705500000000001</v>
      </c>
    </row>
    <row r="377" spans="1:3" x14ac:dyDescent="0.25">
      <c r="A377" s="47" t="s">
        <v>1422</v>
      </c>
      <c r="B377" s="64">
        <v>27.274999999999999</v>
      </c>
      <c r="C377" s="61">
        <v>5.6985200000000003</v>
      </c>
    </row>
    <row r="378" spans="1:3" x14ac:dyDescent="0.25">
      <c r="A378" s="47" t="s">
        <v>1425</v>
      </c>
      <c r="B378" s="64">
        <v>29.733329999999999</v>
      </c>
      <c r="C378" s="61">
        <v>2.6661800000000002</v>
      </c>
    </row>
    <row r="379" spans="1:3" x14ac:dyDescent="0.25">
      <c r="A379" s="47" t="s">
        <v>1428</v>
      </c>
      <c r="B379" s="64">
        <v>2700</v>
      </c>
      <c r="C379" s="61">
        <v>26</v>
      </c>
    </row>
    <row r="380" spans="1:3" x14ac:dyDescent="0.25">
      <c r="A380" s="47" t="s">
        <v>1432</v>
      </c>
      <c r="B380" s="64">
        <v>11.5</v>
      </c>
      <c r="C380" s="61">
        <v>10.599449999999999</v>
      </c>
    </row>
    <row r="381" spans="1:3" x14ac:dyDescent="0.25">
      <c r="A381" s="47" t="s">
        <v>1436</v>
      </c>
      <c r="B381" s="64">
        <v>1.42</v>
      </c>
      <c r="C381" s="61">
        <v>10.315860000000001</v>
      </c>
    </row>
    <row r="382" spans="1:3" x14ac:dyDescent="0.25">
      <c r="A382" s="47" t="s">
        <v>1439</v>
      </c>
      <c r="B382" s="64">
        <v>141.19999999999999</v>
      </c>
      <c r="C382" s="61">
        <v>26.918109999999999</v>
      </c>
    </row>
    <row r="383" spans="1:3" x14ac:dyDescent="0.25">
      <c r="A383" s="47" t="s">
        <v>1443</v>
      </c>
      <c r="B383" s="64">
        <v>1.59</v>
      </c>
      <c r="C383" s="61">
        <v>3.3</v>
      </c>
    </row>
    <row r="384" spans="1:3" x14ac:dyDescent="0.25">
      <c r="A384" s="47" t="s">
        <v>1447</v>
      </c>
      <c r="B384" s="64">
        <v>95.875</v>
      </c>
      <c r="C384" s="61">
        <v>31.365680000000001</v>
      </c>
    </row>
    <row r="385" spans="1:3" x14ac:dyDescent="0.25">
      <c r="A385" s="47" t="s">
        <v>1451</v>
      </c>
      <c r="B385" s="64">
        <v>24</v>
      </c>
      <c r="C385" s="61">
        <v>3.4124699999999999</v>
      </c>
    </row>
    <row r="386" spans="1:3" x14ac:dyDescent="0.25">
      <c r="A386" s="47" t="s">
        <v>1455</v>
      </c>
      <c r="B386" s="64">
        <v>0.82</v>
      </c>
      <c r="C386" s="61">
        <v>19</v>
      </c>
    </row>
    <row r="387" spans="1:3" x14ac:dyDescent="0.25">
      <c r="A387" s="47" t="s">
        <v>1459</v>
      </c>
      <c r="B387" s="64">
        <v>417</v>
      </c>
      <c r="C387" s="61">
        <v>9.6644199999999998</v>
      </c>
    </row>
    <row r="388" spans="1:3" x14ac:dyDescent="0.25">
      <c r="A388" s="47" t="s">
        <v>1463</v>
      </c>
      <c r="B388" s="64">
        <v>3.7</v>
      </c>
      <c r="C388" s="61">
        <v>0.11</v>
      </c>
    </row>
    <row r="389" spans="1:3" x14ac:dyDescent="0.25">
      <c r="A389" s="47" t="s">
        <v>1467</v>
      </c>
      <c r="B389" s="64">
        <v>9.1</v>
      </c>
      <c r="C389" s="61">
        <v>4.9184799999999997</v>
      </c>
    </row>
    <row r="390" spans="1:3" x14ac:dyDescent="0.25">
      <c r="A390" s="47" t="s">
        <v>1471</v>
      </c>
      <c r="B390" s="64">
        <v>3.7</v>
      </c>
      <c r="C390" s="61">
        <v>0.86</v>
      </c>
    </row>
    <row r="391" spans="1:3" x14ac:dyDescent="0.25">
      <c r="A391" s="47" t="s">
        <v>1474</v>
      </c>
      <c r="B391" s="64">
        <v>128</v>
      </c>
      <c r="C391" s="61">
        <v>84</v>
      </c>
    </row>
    <row r="392" spans="1:3" x14ac:dyDescent="0.25">
      <c r="A392" s="47" t="s">
        <v>1478</v>
      </c>
      <c r="B392" s="64">
        <v>5.35</v>
      </c>
      <c r="C392" s="61">
        <v>14</v>
      </c>
    </row>
    <row r="393" spans="1:3" x14ac:dyDescent="0.25">
      <c r="A393" s="47" t="s">
        <v>1482</v>
      </c>
      <c r="B393" s="64">
        <v>18.3</v>
      </c>
      <c r="C393" s="61">
        <v>81</v>
      </c>
    </row>
    <row r="394" spans="1:3" x14ac:dyDescent="0.25">
      <c r="A394" s="47" t="s">
        <v>1486</v>
      </c>
      <c r="B394" s="64">
        <v>17.136669999999999</v>
      </c>
      <c r="C394" s="61">
        <v>4.8054100000000002</v>
      </c>
    </row>
    <row r="395" spans="1:3" x14ac:dyDescent="0.25">
      <c r="A395" s="47" t="s">
        <v>1490</v>
      </c>
      <c r="B395" s="64">
        <v>5.42</v>
      </c>
      <c r="C395" s="61">
        <v>4</v>
      </c>
    </row>
    <row r="396" spans="1:3" x14ac:dyDescent="0.25">
      <c r="A396" s="47" t="s">
        <v>1494</v>
      </c>
      <c r="B396" s="64">
        <v>25.7</v>
      </c>
      <c r="C396" s="61">
        <v>8</v>
      </c>
    </row>
    <row r="397" spans="1:3" x14ac:dyDescent="0.25">
      <c r="A397" s="47" t="s">
        <v>1498</v>
      </c>
      <c r="B397" s="64">
        <v>48015.625</v>
      </c>
      <c r="C397" s="61">
        <v>12</v>
      </c>
    </row>
    <row r="398" spans="1:3" x14ac:dyDescent="0.25">
      <c r="A398" s="47" t="s">
        <v>1502</v>
      </c>
      <c r="B398" s="64">
        <v>122</v>
      </c>
      <c r="C398" s="61">
        <v>39.088880000000003</v>
      </c>
    </row>
    <row r="399" spans="1:3" x14ac:dyDescent="0.25">
      <c r="A399" s="47" t="s">
        <v>1506</v>
      </c>
      <c r="B399" s="64">
        <v>4.0999999999999996</v>
      </c>
      <c r="C399" s="61">
        <v>6.5669000000000004</v>
      </c>
    </row>
    <row r="400" spans="1:3" x14ac:dyDescent="0.25">
      <c r="A400" s="47" t="s">
        <v>1510</v>
      </c>
      <c r="B400" s="64">
        <v>11.65</v>
      </c>
      <c r="C400" s="61">
        <v>3.1612499999999999</v>
      </c>
    </row>
    <row r="401" spans="1:3" x14ac:dyDescent="0.25">
      <c r="A401" s="47" t="s">
        <v>1514</v>
      </c>
      <c r="B401" s="64">
        <v>5.16</v>
      </c>
      <c r="C401" s="61">
        <v>49.089300000000001</v>
      </c>
    </row>
    <row r="402" spans="1:3" x14ac:dyDescent="0.25">
      <c r="A402" s="47" t="s">
        <v>1518</v>
      </c>
      <c r="B402" s="64">
        <v>8.6999999999999993</v>
      </c>
      <c r="C402" s="61">
        <v>9.0004600000000003</v>
      </c>
    </row>
    <row r="403" spans="1:3" x14ac:dyDescent="0.25">
      <c r="A403" s="47" t="s">
        <v>1522</v>
      </c>
      <c r="B403" s="64">
        <v>8.6999999999999993</v>
      </c>
      <c r="C403" s="61">
        <v>5.1884199999999998</v>
      </c>
    </row>
    <row r="404" spans="1:3" x14ac:dyDescent="0.25">
      <c r="A404" s="47" t="s">
        <v>1525</v>
      </c>
      <c r="B404" s="64">
        <v>32.4876</v>
      </c>
      <c r="C404" s="61">
        <v>7.5381900000000002</v>
      </c>
    </row>
    <row r="405" spans="1:3" x14ac:dyDescent="0.25">
      <c r="A405" s="47" t="s">
        <v>1529</v>
      </c>
      <c r="B405" s="64">
        <v>48.1</v>
      </c>
      <c r="C405" s="61">
        <v>23.464759999999998</v>
      </c>
    </row>
    <row r="406" spans="1:3" x14ac:dyDescent="0.25">
      <c r="A406" s="47" t="s">
        <v>1533</v>
      </c>
      <c r="B406" s="64">
        <v>14.45</v>
      </c>
      <c r="C406" s="61">
        <v>2.6603599999999998</v>
      </c>
    </row>
    <row r="407" spans="1:3" x14ac:dyDescent="0.25">
      <c r="A407" s="47" t="s">
        <v>1537</v>
      </c>
      <c r="B407" s="64">
        <v>11.6</v>
      </c>
      <c r="C407" s="61">
        <v>3.6197499999999998</v>
      </c>
    </row>
    <row r="408" spans="1:3" x14ac:dyDescent="0.25">
      <c r="A408" s="47" t="s">
        <v>1541</v>
      </c>
      <c r="B408" s="64">
        <v>23.65</v>
      </c>
      <c r="C408" s="61">
        <v>12.93277</v>
      </c>
    </row>
    <row r="409" spans="1:3" x14ac:dyDescent="0.25">
      <c r="A409" s="47" t="s">
        <v>1545</v>
      </c>
      <c r="B409" s="64">
        <v>9.5500000000000007</v>
      </c>
      <c r="C409" s="61">
        <v>5.9483499999999996</v>
      </c>
    </row>
    <row r="410" spans="1:3" x14ac:dyDescent="0.25">
      <c r="A410" s="47" t="s">
        <v>1549</v>
      </c>
      <c r="B410" s="64">
        <v>113.1567</v>
      </c>
      <c r="C410" s="61">
        <v>19.06785</v>
      </c>
    </row>
    <row r="411" spans="1:3" x14ac:dyDescent="0.25">
      <c r="A411" s="47" t="s">
        <v>1553</v>
      </c>
      <c r="B411" s="64">
        <v>7.3875000000000002</v>
      </c>
      <c r="C411" s="61">
        <v>7.5872900000000003</v>
      </c>
    </row>
    <row r="412" spans="1:3" x14ac:dyDescent="0.25">
      <c r="A412" s="47" t="s">
        <v>1557</v>
      </c>
      <c r="B412" s="64">
        <v>2.87E-2</v>
      </c>
      <c r="C412" s="61">
        <v>10.683120000000001</v>
      </c>
    </row>
    <row r="413" spans="1:3" x14ac:dyDescent="0.25">
      <c r="A413" s="47" t="s">
        <v>1561</v>
      </c>
      <c r="B413" s="64">
        <v>14.804830000000001</v>
      </c>
      <c r="C413" s="61">
        <v>18.946020000000001</v>
      </c>
    </row>
    <row r="414" spans="1:3" x14ac:dyDescent="0.25">
      <c r="A414" s="47" t="s">
        <v>1565</v>
      </c>
      <c r="B414" s="64">
        <v>19</v>
      </c>
      <c r="C414" s="61">
        <v>6.8468900000000001</v>
      </c>
    </row>
    <row r="415" spans="1:3" x14ac:dyDescent="0.25">
      <c r="A415" s="47" t="s">
        <v>1569</v>
      </c>
      <c r="B415" s="64">
        <v>51.466670000000001</v>
      </c>
      <c r="C415" s="61">
        <v>4.4878600000000004</v>
      </c>
    </row>
    <row r="416" spans="1:3" x14ac:dyDescent="0.25">
      <c r="A416" s="47" t="s">
        <v>1573</v>
      </c>
      <c r="B416" s="64">
        <v>23.876000000000001</v>
      </c>
      <c r="C416" s="61">
        <v>3.0026600000000001</v>
      </c>
    </row>
    <row r="417" spans="1:3" x14ac:dyDescent="0.25">
      <c r="A417" s="47" t="s">
        <v>1577</v>
      </c>
      <c r="B417" s="64">
        <v>23</v>
      </c>
      <c r="C417" s="61">
        <v>36</v>
      </c>
    </row>
    <row r="418" spans="1:3" x14ac:dyDescent="0.25">
      <c r="A418" s="47" t="s">
        <v>1581</v>
      </c>
      <c r="B418" s="64">
        <v>1.3</v>
      </c>
      <c r="C418" s="61">
        <v>8</v>
      </c>
    </row>
    <row r="419" spans="1:3" x14ac:dyDescent="0.25">
      <c r="A419" s="47" t="s">
        <v>1585</v>
      </c>
      <c r="B419" s="64">
        <v>16.616669999999999</v>
      </c>
      <c r="C419" s="61">
        <v>14</v>
      </c>
    </row>
    <row r="420" spans="1:3" x14ac:dyDescent="0.25">
      <c r="A420" s="47" t="s">
        <v>1589</v>
      </c>
      <c r="B420" s="64">
        <v>19.600000000000001</v>
      </c>
      <c r="C420" s="61">
        <v>29</v>
      </c>
    </row>
    <row r="421" spans="1:3" x14ac:dyDescent="0.25">
      <c r="A421" s="47" t="s">
        <v>1593</v>
      </c>
      <c r="B421" s="64">
        <v>1.7999999999999999E-2</v>
      </c>
      <c r="C421" s="61">
        <v>25.39368</v>
      </c>
    </row>
    <row r="422" spans="1:3" x14ac:dyDescent="0.25">
      <c r="A422" s="47" t="s">
        <v>1597</v>
      </c>
      <c r="B422" s="64">
        <v>60.5</v>
      </c>
      <c r="C422" s="61">
        <v>7.2703300000000004</v>
      </c>
    </row>
    <row r="423" spans="1:3" x14ac:dyDescent="0.25">
      <c r="A423" s="47" t="s">
        <v>1601</v>
      </c>
      <c r="B423" s="64">
        <v>5.6</v>
      </c>
      <c r="C423" s="61">
        <v>14.13184</v>
      </c>
    </row>
    <row r="424" spans="1:3" x14ac:dyDescent="0.25">
      <c r="A424" s="47" t="s">
        <v>1605</v>
      </c>
      <c r="B424" s="64">
        <v>117.00902000000001</v>
      </c>
      <c r="C424" s="61">
        <v>4.5929700000000002</v>
      </c>
    </row>
    <row r="425" spans="1:3" x14ac:dyDescent="0.25">
      <c r="A425" s="47" t="s">
        <v>1609</v>
      </c>
      <c r="B425" s="64">
        <v>1.2</v>
      </c>
      <c r="C425" s="61">
        <v>31.304849999999998</v>
      </c>
    </row>
    <row r="426" spans="1:3" x14ac:dyDescent="0.25">
      <c r="A426" s="47" t="s">
        <v>1612</v>
      </c>
      <c r="B426" s="64">
        <v>29.733329999999999</v>
      </c>
      <c r="C426" s="61">
        <v>4.6658400000000002</v>
      </c>
    </row>
    <row r="427" spans="1:3" x14ac:dyDescent="0.25">
      <c r="A427" s="47" t="s">
        <v>1615</v>
      </c>
      <c r="B427" s="64">
        <v>2.71</v>
      </c>
      <c r="C427" s="61">
        <v>5.4092099999999999</v>
      </c>
    </row>
    <row r="428" spans="1:3" x14ac:dyDescent="0.25">
      <c r="A428" s="47" t="s">
        <v>1619</v>
      </c>
      <c r="B428" s="64">
        <v>0.56999999999999995</v>
      </c>
      <c r="C428" s="61">
        <v>7.0000000000000007E-2</v>
      </c>
    </row>
    <row r="429" spans="1:3" x14ac:dyDescent="0.25">
      <c r="A429" s="47" t="s">
        <v>1623</v>
      </c>
      <c r="B429" s="64">
        <v>19.600000000000001</v>
      </c>
      <c r="C429" s="61">
        <v>16</v>
      </c>
    </row>
    <row r="430" spans="1:3" x14ac:dyDescent="0.25">
      <c r="A430" s="47" t="s">
        <v>1627</v>
      </c>
      <c r="B430" s="64">
        <v>1.5</v>
      </c>
      <c r="C430" s="61">
        <v>21</v>
      </c>
    </row>
    <row r="431" spans="1:3" x14ac:dyDescent="0.25">
      <c r="A431" s="47" t="s">
        <v>1631</v>
      </c>
      <c r="B431" s="64">
        <v>9.1666699999999999</v>
      </c>
      <c r="C431" s="61">
        <v>4.8744199999999998</v>
      </c>
    </row>
    <row r="432" spans="1:3" x14ac:dyDescent="0.25">
      <c r="A432" s="47" t="s">
        <v>1635</v>
      </c>
      <c r="B432" s="64">
        <v>2.7</v>
      </c>
      <c r="C432" s="61">
        <v>2.2000000000000002</v>
      </c>
    </row>
    <row r="433" spans="1:3" x14ac:dyDescent="0.25">
      <c r="A433" s="47" t="s">
        <v>1639</v>
      </c>
      <c r="B433" s="64">
        <v>1.1361699999999999</v>
      </c>
      <c r="C433" s="61">
        <v>3.1</v>
      </c>
    </row>
    <row r="434" spans="1:3" x14ac:dyDescent="0.25">
      <c r="A434" s="47" t="s">
        <v>1643</v>
      </c>
      <c r="B434" s="64">
        <v>1000</v>
      </c>
      <c r="C434" s="61">
        <v>3.8</v>
      </c>
    </row>
    <row r="435" spans="1:3" x14ac:dyDescent="0.25">
      <c r="A435" s="47" t="s">
        <v>1647</v>
      </c>
      <c r="B435" s="64">
        <v>0.66</v>
      </c>
      <c r="C435" s="61">
        <v>8</v>
      </c>
    </row>
    <row r="436" spans="1:3" x14ac:dyDescent="0.25">
      <c r="A436" s="47" t="s">
        <v>1651</v>
      </c>
      <c r="B436" s="64">
        <v>90.131770000000003</v>
      </c>
      <c r="C436" s="61">
        <v>22</v>
      </c>
    </row>
    <row r="437" spans="1:3" x14ac:dyDescent="0.25">
      <c r="A437" s="47" t="s">
        <v>1655</v>
      </c>
      <c r="B437" s="64">
        <v>14.3</v>
      </c>
      <c r="C437" s="61">
        <v>10</v>
      </c>
    </row>
    <row r="438" spans="1:3" x14ac:dyDescent="0.25">
      <c r="A438" s="47" t="s">
        <v>1659</v>
      </c>
      <c r="B438" s="64">
        <v>40.1</v>
      </c>
      <c r="C438" s="61">
        <v>38</v>
      </c>
    </row>
    <row r="439" spans="1:3" x14ac:dyDescent="0.25">
      <c r="A439" s="47" t="s">
        <v>1663</v>
      </c>
      <c r="B439" s="64">
        <v>24</v>
      </c>
      <c r="C439" s="61">
        <v>13.20411</v>
      </c>
    </row>
    <row r="440" spans="1:3" x14ac:dyDescent="0.25">
      <c r="A440" s="47" t="s">
        <v>1667</v>
      </c>
      <c r="B440" s="64">
        <v>11.4</v>
      </c>
      <c r="C440" s="61">
        <v>22</v>
      </c>
    </row>
    <row r="441" spans="1:3" x14ac:dyDescent="0.25">
      <c r="A441" s="47" t="s">
        <v>1671</v>
      </c>
      <c r="B441" s="64">
        <v>3.5</v>
      </c>
      <c r="C441" s="61">
        <v>9.1528700000000001</v>
      </c>
    </row>
    <row r="442" spans="1:3" x14ac:dyDescent="0.25">
      <c r="A442" s="47" t="s">
        <v>1675</v>
      </c>
      <c r="B442" s="64">
        <v>28.05</v>
      </c>
      <c r="C442" s="61">
        <v>175.37810999999999</v>
      </c>
    </row>
    <row r="443" spans="1:3" x14ac:dyDescent="0.25">
      <c r="A443" s="47" t="s">
        <v>1679</v>
      </c>
      <c r="B443" s="64">
        <v>249.6225</v>
      </c>
      <c r="C443" s="61">
        <v>8.3103700000000007</v>
      </c>
    </row>
    <row r="444" spans="1:3" x14ac:dyDescent="0.25">
      <c r="A444" s="47" t="s">
        <v>1683</v>
      </c>
      <c r="B444" s="64">
        <v>4.45</v>
      </c>
      <c r="C444" s="61">
        <v>40</v>
      </c>
    </row>
    <row r="445" spans="1:3" x14ac:dyDescent="0.25">
      <c r="A445" s="47" t="s">
        <v>1687</v>
      </c>
      <c r="B445" s="64">
        <v>1.5</v>
      </c>
      <c r="C445" s="61">
        <v>6.0000000000000001E-3</v>
      </c>
    </row>
    <row r="446" spans="1:3" x14ac:dyDescent="0.25">
      <c r="A446" s="47" t="s">
        <v>1691</v>
      </c>
      <c r="B446" s="64">
        <v>6.04</v>
      </c>
      <c r="C446" s="61">
        <v>10.79077</v>
      </c>
    </row>
    <row r="447" spans="1:3" x14ac:dyDescent="0.25">
      <c r="A447" s="47" t="s">
        <v>1695</v>
      </c>
      <c r="B447" s="64">
        <v>5.8000000000000003E-2</v>
      </c>
      <c r="C447" s="61">
        <v>2.60547</v>
      </c>
    </row>
    <row r="448" spans="1:3" x14ac:dyDescent="0.25">
      <c r="A448" s="47" t="s">
        <v>1699</v>
      </c>
      <c r="B448" s="64">
        <v>0.67</v>
      </c>
      <c r="C448" s="61">
        <v>2.7877700000000001</v>
      </c>
    </row>
    <row r="449" spans="1:3" x14ac:dyDescent="0.25">
      <c r="A449" s="47" t="s">
        <v>1703</v>
      </c>
      <c r="B449" s="64">
        <v>0.191</v>
      </c>
      <c r="C449" s="61">
        <v>2.5897399999999999</v>
      </c>
    </row>
    <row r="450" spans="1:3" x14ac:dyDescent="0.25">
      <c r="A450" s="47" t="s">
        <v>1707</v>
      </c>
      <c r="B450" s="64">
        <v>6.3E-2</v>
      </c>
      <c r="C450" s="61">
        <v>0.23</v>
      </c>
    </row>
    <row r="451" spans="1:3" x14ac:dyDescent="0.25">
      <c r="A451" s="47" t="s">
        <v>1711</v>
      </c>
      <c r="B451" s="64">
        <v>29</v>
      </c>
      <c r="C451" s="61">
        <v>9.8589199999999995</v>
      </c>
    </row>
    <row r="452" spans="1:3" x14ac:dyDescent="0.25">
      <c r="A452" s="47" t="s">
        <v>1715</v>
      </c>
      <c r="B452" s="64">
        <v>29</v>
      </c>
      <c r="C452" s="61">
        <v>5.4154499999999999</v>
      </c>
    </row>
    <row r="453" spans="1:3" x14ac:dyDescent="0.25">
      <c r="A453" s="47" t="s">
        <v>1718</v>
      </c>
      <c r="B453" s="64">
        <v>2</v>
      </c>
      <c r="C453" s="61">
        <v>10.656549999999999</v>
      </c>
    </row>
    <row r="454" spans="1:3" x14ac:dyDescent="0.25">
      <c r="A454" s="47" t="s">
        <v>1722</v>
      </c>
      <c r="B454" s="64">
        <v>2</v>
      </c>
      <c r="C454" s="61">
        <v>5.09091</v>
      </c>
    </row>
    <row r="455" spans="1:3" x14ac:dyDescent="0.25">
      <c r="A455" s="47" t="s">
        <v>1725</v>
      </c>
      <c r="B455" s="64">
        <v>62.689860000000003</v>
      </c>
      <c r="C455" s="61">
        <v>17.15146</v>
      </c>
    </row>
    <row r="456" spans="1:3" x14ac:dyDescent="0.25">
      <c r="A456" s="47" t="s">
        <v>1729</v>
      </c>
      <c r="B456" s="64">
        <v>1</v>
      </c>
      <c r="C456" s="61">
        <v>2.9923700000000002</v>
      </c>
    </row>
    <row r="457" spans="1:3" x14ac:dyDescent="0.25">
      <c r="A457" s="47" t="s">
        <v>1733</v>
      </c>
      <c r="B457" s="64">
        <v>189.36111</v>
      </c>
      <c r="C457" s="61">
        <v>19.888670000000001</v>
      </c>
    </row>
    <row r="458" spans="1:3" x14ac:dyDescent="0.25">
      <c r="A458" s="47" t="s">
        <v>1736</v>
      </c>
      <c r="B458" s="64">
        <v>72.261750000000006</v>
      </c>
      <c r="C458" s="61">
        <v>22.399339999999999</v>
      </c>
    </row>
    <row r="459" spans="1:3" x14ac:dyDescent="0.25">
      <c r="A459" s="47" t="s">
        <v>1740</v>
      </c>
      <c r="B459" s="64">
        <v>59.725000000000001</v>
      </c>
      <c r="C459" s="61">
        <v>2.8737599999999999</v>
      </c>
    </row>
    <row r="460" spans="1:3" x14ac:dyDescent="0.25">
      <c r="A460" s="47" t="s">
        <v>1744</v>
      </c>
      <c r="B460" s="64">
        <v>319</v>
      </c>
      <c r="C460" s="61">
        <v>10.29133</v>
      </c>
    </row>
    <row r="461" spans="1:3" x14ac:dyDescent="0.25">
      <c r="A461" s="47" t="s">
        <v>1748</v>
      </c>
      <c r="B461" s="64">
        <v>9201.8125</v>
      </c>
      <c r="C461" s="61">
        <v>7.2055600000000002</v>
      </c>
    </row>
    <row r="462" spans="1:3" x14ac:dyDescent="0.25">
      <c r="A462" s="47" t="s">
        <v>1752</v>
      </c>
      <c r="B462" s="64">
        <v>5.7</v>
      </c>
      <c r="C462" s="61">
        <v>3.5863499999999999</v>
      </c>
    </row>
    <row r="463" spans="1:3" x14ac:dyDescent="0.25">
      <c r="A463" s="47" t="s">
        <v>1756</v>
      </c>
      <c r="B463" s="64">
        <v>5.5</v>
      </c>
      <c r="C463" s="61">
        <v>4.2</v>
      </c>
    </row>
    <row r="464" spans="1:3" x14ac:dyDescent="0.25">
      <c r="A464" s="47" t="s">
        <v>1760</v>
      </c>
      <c r="B464" s="64">
        <v>11.6</v>
      </c>
      <c r="C464" s="61">
        <v>6.5994099999999998</v>
      </c>
    </row>
    <row r="465" spans="1:3" x14ac:dyDescent="0.25">
      <c r="A465" s="47" t="s">
        <v>1764</v>
      </c>
      <c r="B465" s="64">
        <v>1.54</v>
      </c>
      <c r="C465" s="61">
        <v>8.3000000000000007</v>
      </c>
    </row>
    <row r="466" spans="1:3" x14ac:dyDescent="0.25">
      <c r="A466" s="47" t="s">
        <v>1767</v>
      </c>
      <c r="B466" s="64">
        <v>5.9</v>
      </c>
      <c r="C466" s="61">
        <v>154</v>
      </c>
    </row>
    <row r="467" spans="1:3" x14ac:dyDescent="0.25">
      <c r="A467" s="47" t="s">
        <v>1771</v>
      </c>
      <c r="B467" s="64">
        <v>70</v>
      </c>
      <c r="C467" s="61">
        <v>29</v>
      </c>
    </row>
    <row r="468" spans="1:3" x14ac:dyDescent="0.25">
      <c r="A468" s="47" t="s">
        <v>1775</v>
      </c>
      <c r="B468" s="64">
        <v>110.075</v>
      </c>
      <c r="C468" s="61">
        <v>13.2119</v>
      </c>
    </row>
    <row r="469" spans="1:3" x14ac:dyDescent="0.25">
      <c r="A469" s="47" t="s">
        <v>1779</v>
      </c>
      <c r="B469" s="64">
        <v>98</v>
      </c>
      <c r="C469" s="61">
        <v>22</v>
      </c>
    </row>
    <row r="470" spans="1:3" x14ac:dyDescent="0.25">
      <c r="A470" s="47" t="s">
        <v>1783</v>
      </c>
      <c r="B470" s="64">
        <v>3.3</v>
      </c>
      <c r="C470" s="61">
        <v>2.6173199999999999</v>
      </c>
    </row>
    <row r="471" spans="1:3" x14ac:dyDescent="0.25">
      <c r="A471" s="47" t="s">
        <v>1787</v>
      </c>
      <c r="B471" s="64">
        <v>66.599999999999994</v>
      </c>
      <c r="C471" s="61">
        <v>139.58476999999999</v>
      </c>
    </row>
    <row r="472" spans="1:3" x14ac:dyDescent="0.25">
      <c r="A472" s="47" t="s">
        <v>1791</v>
      </c>
      <c r="B472" s="64">
        <v>1359.5450000000001</v>
      </c>
      <c r="C472" s="61">
        <v>11</v>
      </c>
    </row>
    <row r="473" spans="1:3" x14ac:dyDescent="0.25">
      <c r="A473" s="47" t="s">
        <v>1795</v>
      </c>
      <c r="B473" s="64">
        <v>3.65333</v>
      </c>
      <c r="C473" s="61">
        <v>3.5457399999999999</v>
      </c>
    </row>
    <row r="474" spans="1:3" x14ac:dyDescent="0.25">
      <c r="A474" s="47" t="s">
        <v>1799</v>
      </c>
      <c r="B474" s="64">
        <v>908</v>
      </c>
      <c r="C474" s="61">
        <v>25</v>
      </c>
    </row>
    <row r="475" spans="1:3" x14ac:dyDescent="0.25">
      <c r="A475" s="47" t="s">
        <v>1803</v>
      </c>
      <c r="B475" s="64">
        <v>330</v>
      </c>
      <c r="C475" s="61">
        <v>10</v>
      </c>
    </row>
    <row r="476" spans="1:3" x14ac:dyDescent="0.25">
      <c r="A476" s="47" t="s">
        <v>1807</v>
      </c>
      <c r="B476" s="64">
        <v>3.7650000000000001</v>
      </c>
      <c r="C476" s="61">
        <v>8.9303899999999992</v>
      </c>
    </row>
    <row r="477" spans="1:3" x14ac:dyDescent="0.25">
      <c r="A477" s="47" t="s">
        <v>1811</v>
      </c>
      <c r="B477" s="64">
        <v>845</v>
      </c>
      <c r="C477" s="61">
        <v>12.38259</v>
      </c>
    </row>
    <row r="478" spans="1:3" x14ac:dyDescent="0.25">
      <c r="A478" s="47" t="s">
        <v>1814</v>
      </c>
      <c r="B478" s="64">
        <v>26.6</v>
      </c>
      <c r="C478" s="61">
        <v>17.947559999999999</v>
      </c>
    </row>
    <row r="479" spans="1:3" x14ac:dyDescent="0.25">
      <c r="A479" s="47" t="s">
        <v>1817</v>
      </c>
      <c r="B479" s="64">
        <v>1.3</v>
      </c>
      <c r="C479" s="61">
        <v>7.3327999999999998</v>
      </c>
    </row>
    <row r="480" spans="1:3" x14ac:dyDescent="0.25">
      <c r="A480" s="47" t="s">
        <v>1820</v>
      </c>
      <c r="B480" s="64">
        <v>47</v>
      </c>
      <c r="C480" s="61">
        <v>5.9499500000000003</v>
      </c>
    </row>
    <row r="481" spans="1:3" x14ac:dyDescent="0.25">
      <c r="A481" s="47" t="s">
        <v>1823</v>
      </c>
      <c r="B481" s="64">
        <v>22300</v>
      </c>
      <c r="C481" s="61">
        <v>11.98502</v>
      </c>
    </row>
    <row r="482" spans="1:3" x14ac:dyDescent="0.25">
      <c r="A482" s="47" t="s">
        <v>1827</v>
      </c>
      <c r="B482" s="64">
        <v>2.1</v>
      </c>
      <c r="C482" s="61">
        <v>0.03</v>
      </c>
    </row>
    <row r="483" spans="1:3" x14ac:dyDescent="0.25">
      <c r="A483" s="47" t="s">
        <v>1831</v>
      </c>
      <c r="B483" s="64">
        <v>14.804830000000001</v>
      </c>
      <c r="C483" s="61">
        <v>2.5838000000000001</v>
      </c>
    </row>
    <row r="484" spans="1:3" x14ac:dyDescent="0.25">
      <c r="A484" s="47" t="s">
        <v>1835</v>
      </c>
      <c r="B484" s="64">
        <v>25.8</v>
      </c>
      <c r="C484" s="61">
        <v>2.6541899999999998</v>
      </c>
    </row>
    <row r="485" spans="1:3" x14ac:dyDescent="0.25">
      <c r="A485" s="47" t="s">
        <v>1839</v>
      </c>
      <c r="B485" s="64">
        <v>14.3</v>
      </c>
      <c r="C485" s="61">
        <v>14.060689999999999</v>
      </c>
    </row>
    <row r="486" spans="1:3" x14ac:dyDescent="0.25">
      <c r="A486" s="47" t="s">
        <v>1842</v>
      </c>
      <c r="B486" s="64">
        <v>8.6095000000000006</v>
      </c>
      <c r="C486" s="61">
        <v>2.8504700000000001</v>
      </c>
    </row>
    <row r="487" spans="1:3" x14ac:dyDescent="0.25">
      <c r="A487" s="47" t="s">
        <v>1846</v>
      </c>
      <c r="B487" s="64">
        <v>90.131770000000003</v>
      </c>
      <c r="C487" s="61">
        <v>2.64385</v>
      </c>
    </row>
    <row r="488" spans="1:3" x14ac:dyDescent="0.25">
      <c r="A488" s="47" t="s">
        <v>1850</v>
      </c>
      <c r="B488" s="64">
        <v>95</v>
      </c>
      <c r="C488" s="61">
        <v>2.6447799999999999</v>
      </c>
    </row>
    <row r="489" spans="1:3" x14ac:dyDescent="0.25">
      <c r="A489" s="47" t="s">
        <v>1853</v>
      </c>
      <c r="B489" s="64">
        <v>148.33332999999999</v>
      </c>
      <c r="C489" s="61">
        <v>32</v>
      </c>
    </row>
    <row r="490" spans="1:3" x14ac:dyDescent="0.25">
      <c r="A490" s="47" t="s">
        <v>1857</v>
      </c>
      <c r="B490" s="64">
        <v>230</v>
      </c>
      <c r="C490" s="61">
        <v>92.158839999999998</v>
      </c>
    </row>
    <row r="491" spans="1:3" x14ac:dyDescent="0.25">
      <c r="A491" s="47" t="s">
        <v>1861</v>
      </c>
      <c r="B491" s="64">
        <v>38.697249999999997</v>
      </c>
      <c r="C491" s="61">
        <v>0.32</v>
      </c>
    </row>
    <row r="492" spans="1:3" x14ac:dyDescent="0.25">
      <c r="A492" s="47" t="s">
        <v>1865</v>
      </c>
      <c r="B492" s="64">
        <v>5</v>
      </c>
      <c r="C492" s="61">
        <v>5.0965699999999998</v>
      </c>
    </row>
    <row r="493" spans="1:3" x14ac:dyDescent="0.25">
      <c r="A493" s="47" t="s">
        <v>1869</v>
      </c>
      <c r="B493" s="64">
        <v>70.900000000000006</v>
      </c>
      <c r="C493" s="61">
        <v>4.3743600000000002</v>
      </c>
    </row>
    <row r="494" spans="1:3" x14ac:dyDescent="0.25">
      <c r="A494" s="47" t="s">
        <v>1873</v>
      </c>
      <c r="B494" s="64">
        <v>4.8</v>
      </c>
      <c r="C494" s="61">
        <v>18.317879999999999</v>
      </c>
    </row>
    <row r="495" spans="1:3" x14ac:dyDescent="0.25">
      <c r="A495" s="47" t="s">
        <v>1877</v>
      </c>
      <c r="B495" s="64">
        <v>3.5</v>
      </c>
      <c r="C495" s="61">
        <v>16.335730000000002</v>
      </c>
    </row>
    <row r="496" spans="1:3" x14ac:dyDescent="0.25">
      <c r="A496" s="47" t="s">
        <v>1880</v>
      </c>
      <c r="B496" s="64">
        <v>0.64</v>
      </c>
      <c r="C496" s="61">
        <v>5.0000000000000001E-4</v>
      </c>
    </row>
    <row r="497" spans="1:3" x14ac:dyDescent="0.25">
      <c r="A497" s="47" t="s">
        <v>1884</v>
      </c>
      <c r="B497" s="64">
        <v>1.24</v>
      </c>
      <c r="C497" s="61">
        <v>3.0186600000000001</v>
      </c>
    </row>
    <row r="498" spans="1:3" x14ac:dyDescent="0.25">
      <c r="A498" s="47" t="s">
        <v>1888</v>
      </c>
      <c r="B498" s="64">
        <v>36.200000000000003</v>
      </c>
      <c r="C498" s="61">
        <v>11</v>
      </c>
    </row>
    <row r="499" spans="1:3" x14ac:dyDescent="0.25">
      <c r="A499" s="47" t="s">
        <v>1892</v>
      </c>
      <c r="B499" s="64">
        <v>840.5</v>
      </c>
      <c r="C499" s="61">
        <v>16</v>
      </c>
    </row>
    <row r="500" spans="1:3" x14ac:dyDescent="0.25">
      <c r="A500" s="47" t="s">
        <v>1896</v>
      </c>
      <c r="B500" s="64">
        <v>16.78548</v>
      </c>
      <c r="C500" s="61">
        <v>0.12</v>
      </c>
    </row>
    <row r="501" spans="1:3" x14ac:dyDescent="0.25">
      <c r="A501" s="47" t="s">
        <v>1900</v>
      </c>
      <c r="B501" s="64">
        <v>165</v>
      </c>
      <c r="C501" s="61">
        <v>4.2616100000000001</v>
      </c>
    </row>
    <row r="502" spans="1:3" x14ac:dyDescent="0.25">
      <c r="A502" s="47" t="s">
        <v>1904</v>
      </c>
      <c r="B502" s="64">
        <v>15.81</v>
      </c>
      <c r="C502" s="61">
        <v>2.2000000000000002</v>
      </c>
    </row>
    <row r="503" spans="1:3" x14ac:dyDescent="0.25">
      <c r="A503" s="47" t="s">
        <v>1908</v>
      </c>
      <c r="B503" s="64">
        <v>33.316670000000002</v>
      </c>
      <c r="C503" s="61">
        <v>6.8719599999999996</v>
      </c>
    </row>
    <row r="504" spans="1:3" x14ac:dyDescent="0.25">
      <c r="A504" s="47" t="s">
        <v>1912</v>
      </c>
      <c r="B504" s="64">
        <v>487.46667000000002</v>
      </c>
      <c r="C504" s="61">
        <v>12.1477</v>
      </c>
    </row>
    <row r="505" spans="1:3" x14ac:dyDescent="0.25">
      <c r="A505" s="47" t="s">
        <v>1916</v>
      </c>
      <c r="B505" s="64">
        <v>58.2</v>
      </c>
      <c r="C505" s="61">
        <v>61</v>
      </c>
    </row>
    <row r="506" spans="1:3" x14ac:dyDescent="0.25">
      <c r="A506" s="47" t="s">
        <v>1920</v>
      </c>
      <c r="B506" s="64">
        <v>0.28000000000000003</v>
      </c>
      <c r="C506" s="61">
        <v>3.0676199999999998</v>
      </c>
    </row>
    <row r="507" spans="1:3" x14ac:dyDescent="0.25">
      <c r="A507" s="47" t="s">
        <v>1924</v>
      </c>
      <c r="B507" s="64">
        <v>0.2</v>
      </c>
      <c r="C507" s="61">
        <v>0.05</v>
      </c>
    </row>
    <row r="508" spans="1:3" x14ac:dyDescent="0.25">
      <c r="A508" s="47" t="s">
        <v>1928</v>
      </c>
      <c r="B508" s="64">
        <v>845</v>
      </c>
      <c r="C508" s="61">
        <v>53.95928</v>
      </c>
    </row>
    <row r="509" spans="1:3" x14ac:dyDescent="0.25">
      <c r="A509" s="47" t="s">
        <v>1932</v>
      </c>
      <c r="B509" s="64">
        <v>88.1</v>
      </c>
      <c r="C509" s="61">
        <v>12.731199999999999</v>
      </c>
    </row>
    <row r="510" spans="1:3" x14ac:dyDescent="0.25">
      <c r="A510" s="47" t="s">
        <v>1936</v>
      </c>
      <c r="B510" s="64">
        <v>13.5</v>
      </c>
      <c r="C510" s="61">
        <v>112</v>
      </c>
    </row>
    <row r="511" spans="1:3" x14ac:dyDescent="0.25">
      <c r="A511" s="47" t="s">
        <v>1940</v>
      </c>
      <c r="B511" s="64">
        <v>3.2</v>
      </c>
      <c r="C511" s="61">
        <v>2.8995500000000001</v>
      </c>
    </row>
    <row r="512" spans="1:3" x14ac:dyDescent="0.25">
      <c r="A512" s="47" t="s">
        <v>1944</v>
      </c>
      <c r="B512" s="64">
        <v>1.1000000000000001</v>
      </c>
      <c r="C512" s="61">
        <v>2.5834199999999998</v>
      </c>
    </row>
    <row r="513" spans="1:3" x14ac:dyDescent="0.25">
      <c r="A513" s="47" t="s">
        <v>1947</v>
      </c>
      <c r="B513" s="64">
        <v>109.55500000000001</v>
      </c>
      <c r="C513" s="61">
        <v>45.318040000000003</v>
      </c>
    </row>
    <row r="514" spans="1:3" x14ac:dyDescent="0.25">
      <c r="A514" s="47" t="s">
        <v>1951</v>
      </c>
      <c r="B514" s="64">
        <v>27.36</v>
      </c>
      <c r="C514" s="61">
        <v>22</v>
      </c>
    </row>
    <row r="515" spans="1:3" x14ac:dyDescent="0.25">
      <c r="A515" s="47" t="s">
        <v>1955</v>
      </c>
      <c r="B515" s="64">
        <v>2.1924999999999999</v>
      </c>
      <c r="C515" s="61">
        <v>2.8970500000000001</v>
      </c>
    </row>
    <row r="516" spans="1:3" x14ac:dyDescent="0.25">
      <c r="A516" s="47" t="s">
        <v>1957</v>
      </c>
      <c r="B516" s="64">
        <v>3.3450000000000002</v>
      </c>
      <c r="C516" s="61">
        <v>22</v>
      </c>
    </row>
    <row r="517" spans="1:3" x14ac:dyDescent="0.25">
      <c r="A517" s="47" t="s">
        <v>1961</v>
      </c>
      <c r="B517" s="64">
        <v>19</v>
      </c>
      <c r="C517" s="61">
        <v>10.72467</v>
      </c>
    </row>
    <row r="518" spans="1:3" x14ac:dyDescent="0.25">
      <c r="A518" s="47" t="s">
        <v>1965</v>
      </c>
      <c r="B518" s="64">
        <v>0.5</v>
      </c>
      <c r="C518" s="61">
        <v>10.48584</v>
      </c>
    </row>
    <row r="519" spans="1:3" x14ac:dyDescent="0.25">
      <c r="A519" s="47" t="s">
        <v>1969</v>
      </c>
      <c r="B519" s="64">
        <v>138.5</v>
      </c>
      <c r="C519" s="61">
        <v>38.74841</v>
      </c>
    </row>
    <row r="520" spans="1:3" x14ac:dyDescent="0.25">
      <c r="A520" s="47" t="s">
        <v>1973</v>
      </c>
      <c r="B520" s="64">
        <v>3</v>
      </c>
      <c r="C520" s="61">
        <v>6.7860699999999996</v>
      </c>
    </row>
    <row r="521" spans="1:3" x14ac:dyDescent="0.25">
      <c r="A521" s="47" t="s">
        <v>1977</v>
      </c>
      <c r="B521" s="64">
        <v>69</v>
      </c>
      <c r="C521" s="61">
        <v>7.8106200000000001</v>
      </c>
    </row>
    <row r="522" spans="1:3" x14ac:dyDescent="0.25">
      <c r="A522" s="47" t="s">
        <v>1981</v>
      </c>
      <c r="B522" s="64">
        <v>1500</v>
      </c>
      <c r="C522" s="61">
        <v>24.98115</v>
      </c>
    </row>
    <row r="523" spans="1:3" x14ac:dyDescent="0.25">
      <c r="A523" s="47" t="s">
        <v>1984</v>
      </c>
      <c r="B523" s="64">
        <v>138.5</v>
      </c>
      <c r="C523" s="61">
        <v>11.851290000000001</v>
      </c>
    </row>
    <row r="524" spans="1:3" x14ac:dyDescent="0.25">
      <c r="A524" s="47" t="s">
        <v>1987</v>
      </c>
      <c r="B524" s="64">
        <v>4.7</v>
      </c>
      <c r="C524" s="61">
        <v>4.9989999999999997</v>
      </c>
    </row>
    <row r="525" spans="1:3" x14ac:dyDescent="0.25">
      <c r="A525" s="47" t="s">
        <v>1990</v>
      </c>
      <c r="B525" s="64">
        <v>3.2</v>
      </c>
      <c r="C525" s="61">
        <v>3.05131</v>
      </c>
    </row>
    <row r="526" spans="1:3" x14ac:dyDescent="0.25">
      <c r="A526" s="47" t="s">
        <v>1993</v>
      </c>
      <c r="B526" s="64">
        <v>1.4</v>
      </c>
      <c r="C526" s="61">
        <v>2.6232000000000002</v>
      </c>
    </row>
    <row r="527" spans="1:3" x14ac:dyDescent="0.25">
      <c r="A527" s="47" t="s">
        <v>1997</v>
      </c>
      <c r="B527" s="64">
        <v>16.100000000000001</v>
      </c>
      <c r="C527" s="61">
        <v>0.24</v>
      </c>
    </row>
    <row r="528" spans="1:3" x14ac:dyDescent="0.25">
      <c r="A528" s="47" t="s">
        <v>2001</v>
      </c>
      <c r="B528" s="64">
        <v>0.88</v>
      </c>
      <c r="C528" s="61">
        <v>0.15</v>
      </c>
    </row>
    <row r="529" spans="1:3" x14ac:dyDescent="0.25">
      <c r="A529" s="47" t="s">
        <v>2005</v>
      </c>
      <c r="B529" s="64">
        <v>7</v>
      </c>
      <c r="C529" s="61">
        <v>20</v>
      </c>
    </row>
    <row r="530" spans="1:3" x14ac:dyDescent="0.25">
      <c r="A530" s="47" t="s">
        <v>2009</v>
      </c>
      <c r="B530" s="64">
        <v>2.5</v>
      </c>
      <c r="C530" s="61">
        <v>14</v>
      </c>
    </row>
    <row r="531" spans="1:3" x14ac:dyDescent="0.25">
      <c r="A531" s="47" t="s">
        <v>2013</v>
      </c>
      <c r="B531" s="64">
        <v>605</v>
      </c>
      <c r="C531" s="61">
        <v>19.841149999999999</v>
      </c>
    </row>
    <row r="532" spans="1:3" x14ac:dyDescent="0.25">
      <c r="A532" s="47" t="s">
        <v>2017</v>
      </c>
      <c r="B532" s="64">
        <v>22.1</v>
      </c>
      <c r="C532" s="61">
        <v>48.339419999999997</v>
      </c>
    </row>
    <row r="533" spans="1:3" x14ac:dyDescent="0.25">
      <c r="A533" s="47" t="s">
        <v>2021</v>
      </c>
      <c r="B533" s="64">
        <v>250</v>
      </c>
      <c r="C533" s="61">
        <v>21.430209999999999</v>
      </c>
    </row>
    <row r="534" spans="1:3" x14ac:dyDescent="0.25">
      <c r="A534" s="47" t="s">
        <v>2024</v>
      </c>
      <c r="B534" s="64">
        <v>250</v>
      </c>
      <c r="C534" s="61">
        <v>11.73869</v>
      </c>
    </row>
    <row r="535" spans="1:3" x14ac:dyDescent="0.25">
      <c r="A535" s="47" t="s">
        <v>2027</v>
      </c>
      <c r="B535" s="64">
        <v>1.67</v>
      </c>
      <c r="C535" s="61">
        <v>8.8440100000000008</v>
      </c>
    </row>
    <row r="536" spans="1:3" x14ac:dyDescent="0.25">
      <c r="A536" s="47" t="s">
        <v>2031</v>
      </c>
      <c r="B536" s="64">
        <v>2.4449999999999998</v>
      </c>
      <c r="C536" s="61">
        <v>112.23363000000001</v>
      </c>
    </row>
    <row r="537" spans="1:3" x14ac:dyDescent="0.25">
      <c r="A537" s="47" t="s">
        <v>2035</v>
      </c>
      <c r="B537" s="64">
        <v>8.25</v>
      </c>
      <c r="C537" s="61">
        <v>9.79026</v>
      </c>
    </row>
    <row r="538" spans="1:3" x14ac:dyDescent="0.25">
      <c r="A538" s="47" t="s">
        <v>2039</v>
      </c>
      <c r="B538" s="64">
        <v>120</v>
      </c>
      <c r="C538" s="61">
        <v>3.33344</v>
      </c>
    </row>
    <row r="539" spans="1:3" x14ac:dyDescent="0.25">
      <c r="A539" s="47" t="s">
        <v>2043</v>
      </c>
      <c r="B539" s="64">
        <v>1.1515</v>
      </c>
      <c r="C539" s="61">
        <v>6.9127400000000003</v>
      </c>
    </row>
    <row r="540" spans="1:3" x14ac:dyDescent="0.25">
      <c r="A540" s="47" t="s">
        <v>2047</v>
      </c>
      <c r="B540" s="64">
        <v>173</v>
      </c>
      <c r="C540" s="61">
        <v>40.801119999999997</v>
      </c>
    </row>
    <row r="541" spans="1:3" x14ac:dyDescent="0.25">
      <c r="A541" s="47" t="s">
        <v>2050</v>
      </c>
      <c r="B541" s="64">
        <v>2.8666700000000001</v>
      </c>
      <c r="C541" s="61">
        <v>59</v>
      </c>
    </row>
    <row r="542" spans="1:3" x14ac:dyDescent="0.25">
      <c r="A542" s="47" t="s">
        <v>2053</v>
      </c>
      <c r="B542" s="64">
        <v>174</v>
      </c>
      <c r="C542" s="61">
        <v>155</v>
      </c>
    </row>
    <row r="543" spans="1:3" x14ac:dyDescent="0.25">
      <c r="A543" s="47" t="s">
        <v>2057</v>
      </c>
      <c r="B543" s="64">
        <v>8.9</v>
      </c>
      <c r="C543" s="61">
        <v>5.3088800000000003</v>
      </c>
    </row>
    <row r="544" spans="1:3" x14ac:dyDescent="0.25">
      <c r="A544" s="47" t="s">
        <v>2060</v>
      </c>
      <c r="B544" s="64">
        <v>0.78100000000000003</v>
      </c>
      <c r="C544" s="61">
        <v>0.01</v>
      </c>
    </row>
    <row r="545" spans="1:3" x14ac:dyDescent="0.25">
      <c r="A545" s="47" t="s">
        <v>2064</v>
      </c>
      <c r="B545" s="64">
        <v>6.9</v>
      </c>
      <c r="C545" s="61">
        <v>6.7658199999999997</v>
      </c>
    </row>
    <row r="546" spans="1:3" x14ac:dyDescent="0.25">
      <c r="A546" s="47" t="s">
        <v>2066</v>
      </c>
      <c r="B546" s="64">
        <v>21.933330000000002</v>
      </c>
      <c r="C546" s="61">
        <v>13.702299999999999</v>
      </c>
    </row>
    <row r="547" spans="1:3" x14ac:dyDescent="0.25">
      <c r="A547" s="47" t="s">
        <v>2070</v>
      </c>
      <c r="B547" s="64">
        <v>35</v>
      </c>
      <c r="C547" s="61">
        <v>4.6685499999999998</v>
      </c>
    </row>
    <row r="548" spans="1:3" x14ac:dyDescent="0.25">
      <c r="A548" s="47" t="s">
        <v>2074</v>
      </c>
      <c r="B548" s="64">
        <v>4.5</v>
      </c>
      <c r="C548" s="61">
        <v>5.6612799999999996</v>
      </c>
    </row>
    <row r="549" spans="1:3" x14ac:dyDescent="0.25">
      <c r="A549" s="47" t="s">
        <v>2077</v>
      </c>
      <c r="B549" s="64">
        <v>0.82</v>
      </c>
      <c r="C549" s="61">
        <v>0.23</v>
      </c>
    </row>
    <row r="550" spans="1:3" x14ac:dyDescent="0.25">
      <c r="A550" s="47" t="s">
        <v>2080</v>
      </c>
      <c r="B550" s="64">
        <v>0.38</v>
      </c>
      <c r="C550" s="61">
        <v>3.9844900000000001</v>
      </c>
    </row>
    <row r="551" spans="1:3" x14ac:dyDescent="0.25">
      <c r="A551" s="47" t="s">
        <v>2084</v>
      </c>
      <c r="B551" s="64">
        <v>0.4</v>
      </c>
      <c r="C551" s="61">
        <v>9.5879799999999999</v>
      </c>
    </row>
    <row r="552" spans="1:3" x14ac:dyDescent="0.25">
      <c r="A552" s="47" t="s">
        <v>2088</v>
      </c>
      <c r="B552" s="64">
        <v>3.0000000000000001E-3</v>
      </c>
      <c r="C552" s="61">
        <v>4</v>
      </c>
    </row>
    <row r="553" spans="1:3" x14ac:dyDescent="0.25">
      <c r="A553" s="47" t="s">
        <v>2091</v>
      </c>
      <c r="B553" s="64">
        <v>7.0000000000000007E-2</v>
      </c>
      <c r="C553" s="61">
        <v>0.5</v>
      </c>
    </row>
    <row r="554" spans="1:3" x14ac:dyDescent="0.25">
      <c r="A554" s="47" t="s">
        <v>2095</v>
      </c>
      <c r="B554" s="64">
        <v>761.5</v>
      </c>
      <c r="C554" s="61">
        <v>6.3129200000000001</v>
      </c>
    </row>
    <row r="555" spans="1:3" x14ac:dyDescent="0.25">
      <c r="A555" s="47" t="s">
        <v>2099</v>
      </c>
      <c r="B555" s="64">
        <v>842</v>
      </c>
      <c r="C555" s="61">
        <v>2.7836099999999999</v>
      </c>
    </row>
    <row r="556" spans="1:3" x14ac:dyDescent="0.25">
      <c r="A556" s="47" t="s">
        <v>2102</v>
      </c>
      <c r="B556" s="64">
        <v>42.055</v>
      </c>
      <c r="C556" s="61">
        <v>17.554559999999999</v>
      </c>
    </row>
    <row r="557" spans="1:3" x14ac:dyDescent="0.25">
      <c r="A557" s="47" t="s">
        <v>2106</v>
      </c>
      <c r="B557" s="64">
        <v>25.341819999999998</v>
      </c>
      <c r="C557" s="61">
        <v>14.52305</v>
      </c>
    </row>
    <row r="558" spans="1:3" x14ac:dyDescent="0.25">
      <c r="A558" s="47" t="s">
        <v>2110</v>
      </c>
      <c r="B558" s="64">
        <v>50</v>
      </c>
      <c r="C558" s="61">
        <v>22</v>
      </c>
    </row>
    <row r="559" spans="1:3" x14ac:dyDescent="0.25">
      <c r="A559" s="47" t="s">
        <v>2114</v>
      </c>
      <c r="B559" s="64">
        <v>7.0125000000000002</v>
      </c>
      <c r="C559" s="61">
        <v>19.559729999999998</v>
      </c>
    </row>
    <row r="560" spans="1:3" x14ac:dyDescent="0.25">
      <c r="A560" s="47" t="s">
        <v>2118</v>
      </c>
      <c r="B560" s="64">
        <v>45.3</v>
      </c>
      <c r="C560" s="61">
        <v>4.6644899999999998</v>
      </c>
    </row>
    <row r="561" spans="1:3" x14ac:dyDescent="0.25">
      <c r="A561" s="47" t="s">
        <v>2122</v>
      </c>
      <c r="B561" s="64">
        <v>84.514290000000003</v>
      </c>
      <c r="C561" s="61">
        <v>10</v>
      </c>
    </row>
    <row r="562" spans="1:3" x14ac:dyDescent="0.25">
      <c r="A562" s="47" t="s">
        <v>2126</v>
      </c>
      <c r="B562" s="64">
        <v>22.6</v>
      </c>
      <c r="C562" s="61">
        <v>8.5638699999999996</v>
      </c>
    </row>
    <row r="563" spans="1:3" x14ac:dyDescent="0.25">
      <c r="A563" s="47" t="s">
        <v>2129</v>
      </c>
      <c r="B563" s="64">
        <v>117.00902000000001</v>
      </c>
      <c r="C563" s="61">
        <v>3.86985</v>
      </c>
    </row>
    <row r="564" spans="1:3" x14ac:dyDescent="0.25">
      <c r="A564" s="47" t="s">
        <v>2132</v>
      </c>
      <c r="B564" s="64">
        <v>93.556479999999993</v>
      </c>
      <c r="C564" s="61">
        <v>3.10744</v>
      </c>
    </row>
    <row r="565" spans="1:3" x14ac:dyDescent="0.25">
      <c r="A565" s="47" t="s">
        <v>2170</v>
      </c>
      <c r="B565" s="64">
        <v>2.9000000000000001E-2</v>
      </c>
      <c r="C565" s="61">
        <v>5.7595400000000003</v>
      </c>
    </row>
    <row r="566" spans="1:3" x14ac:dyDescent="0.25">
      <c r="A566" s="47" t="s">
        <v>2174</v>
      </c>
      <c r="B566" s="64">
        <v>2.9000000000000001E-2</v>
      </c>
      <c r="C566" s="61">
        <v>5.4713700000000003</v>
      </c>
    </row>
    <row r="567" spans="1:3" x14ac:dyDescent="0.25">
      <c r="A567" s="47" t="s">
        <v>2177</v>
      </c>
      <c r="B567" s="64">
        <v>22300</v>
      </c>
      <c r="C567" s="61">
        <v>2.9971899999999998</v>
      </c>
    </row>
    <row r="568" spans="1:3" x14ac:dyDescent="0.25">
      <c r="A568" s="47" t="s">
        <v>2179</v>
      </c>
      <c r="B568" s="64">
        <v>94.286000000000001</v>
      </c>
      <c r="C568" s="61">
        <v>48.514879999999998</v>
      </c>
    </row>
    <row r="569" spans="1:3" x14ac:dyDescent="0.25">
      <c r="A569" s="47" t="s">
        <v>2183</v>
      </c>
      <c r="B569" s="64">
        <v>6931</v>
      </c>
      <c r="C569" s="61">
        <v>10.610749999999999</v>
      </c>
    </row>
    <row r="570" spans="1:3" x14ac:dyDescent="0.25">
      <c r="A570" s="47" t="s">
        <v>2187</v>
      </c>
      <c r="B570" s="64">
        <v>33</v>
      </c>
      <c r="C570" s="61">
        <v>1711.33285</v>
      </c>
    </row>
    <row r="571" spans="1:3" x14ac:dyDescent="0.25">
      <c r="A571" s="47" t="s">
        <v>2191</v>
      </c>
      <c r="B571" s="64">
        <v>68</v>
      </c>
      <c r="C571" s="61">
        <v>429.97946999999999</v>
      </c>
    </row>
    <row r="572" spans="1:3" x14ac:dyDescent="0.25">
      <c r="A572" s="47" t="s">
        <v>2195</v>
      </c>
      <c r="B572" s="64">
        <v>250.5</v>
      </c>
      <c r="C572" s="61">
        <v>2.6428500000000001</v>
      </c>
    </row>
    <row r="573" spans="1:3" x14ac:dyDescent="0.25">
      <c r="A573" s="47" t="s">
        <v>2199</v>
      </c>
      <c r="B573" s="64">
        <v>94.286000000000001</v>
      </c>
      <c r="C573" s="61">
        <v>6.37453</v>
      </c>
    </row>
    <row r="574" spans="1:3" x14ac:dyDescent="0.25">
      <c r="A574" s="47" t="s">
        <v>2201</v>
      </c>
      <c r="B574" s="64">
        <v>40.88335</v>
      </c>
      <c r="C574" s="61">
        <v>603.14782000000002</v>
      </c>
    </row>
    <row r="575" spans="1:3" x14ac:dyDescent="0.25">
      <c r="A575" s="47" t="s">
        <v>2205</v>
      </c>
      <c r="B575" s="64">
        <v>145.25</v>
      </c>
      <c r="C575" s="61">
        <v>7.3236499999999998</v>
      </c>
    </row>
    <row r="576" spans="1:3" x14ac:dyDescent="0.25">
      <c r="A576" s="47" t="s">
        <v>2209</v>
      </c>
      <c r="B576" s="64">
        <v>145.25</v>
      </c>
      <c r="C576" s="61">
        <v>5.2021800000000002</v>
      </c>
    </row>
    <row r="577" spans="1:3" x14ac:dyDescent="0.25">
      <c r="A577" s="47" t="s">
        <v>2242</v>
      </c>
      <c r="B577" s="64">
        <v>1.4</v>
      </c>
      <c r="C577" s="61">
        <v>10.10826</v>
      </c>
    </row>
    <row r="578" spans="1:3" x14ac:dyDescent="0.25">
      <c r="A578" s="47" t="s">
        <v>2246</v>
      </c>
      <c r="B578" s="64">
        <v>0.15</v>
      </c>
      <c r="C578" s="61">
        <v>1481</v>
      </c>
    </row>
    <row r="579" spans="1:3" x14ac:dyDescent="0.25">
      <c r="A579" s="47" t="s">
        <v>2250</v>
      </c>
      <c r="B579" s="64">
        <v>1.4</v>
      </c>
      <c r="C579" s="61">
        <v>12.50778</v>
      </c>
    </row>
    <row r="580" spans="1:3" x14ac:dyDescent="0.25">
      <c r="A580" s="47" t="s">
        <v>2253</v>
      </c>
      <c r="B580" s="64">
        <v>1.4</v>
      </c>
      <c r="C580" s="61">
        <v>9.8317200000000007</v>
      </c>
    </row>
    <row r="581" spans="1:3" x14ac:dyDescent="0.25">
      <c r="A581" s="47" t="s">
        <v>2256</v>
      </c>
      <c r="B581" s="64">
        <v>1.4</v>
      </c>
      <c r="C581" s="61">
        <v>11.65737</v>
      </c>
    </row>
    <row r="582" spans="1:3" x14ac:dyDescent="0.25">
      <c r="A582" s="47" t="s">
        <v>2280</v>
      </c>
      <c r="B582" s="64">
        <v>110.6</v>
      </c>
      <c r="C582" s="61">
        <v>6.4265100000000004</v>
      </c>
    </row>
    <row r="583" spans="1:3" x14ac:dyDescent="0.25">
      <c r="A583" s="47" t="s">
        <v>2353</v>
      </c>
      <c r="B583" s="64">
        <v>3.9E-2</v>
      </c>
      <c r="C583" s="61">
        <v>8.0000000000000002E-3</v>
      </c>
    </row>
    <row r="584" spans="1:3" x14ac:dyDescent="0.25">
      <c r="A584" s="47" t="s">
        <v>2357</v>
      </c>
      <c r="B584" s="64">
        <v>0.86</v>
      </c>
      <c r="C584" s="61">
        <v>2.7017000000000002</v>
      </c>
    </row>
    <row r="585" spans="1:3" x14ac:dyDescent="0.25">
      <c r="A585" s="47" t="s">
        <v>2383</v>
      </c>
      <c r="B585" s="64">
        <v>0.08</v>
      </c>
      <c r="C585" s="61">
        <v>8.9809999999999999</v>
      </c>
    </row>
    <row r="586" spans="1:3" x14ac:dyDescent="0.25">
      <c r="A586" s="47" t="s">
        <v>2387</v>
      </c>
      <c r="B586" s="64">
        <v>68</v>
      </c>
      <c r="C586" s="61">
        <v>16.038900000000002</v>
      </c>
    </row>
    <row r="587" spans="1:3" x14ac:dyDescent="0.25">
      <c r="A587" s="47" t="s">
        <v>2391</v>
      </c>
      <c r="B587" s="64">
        <v>22.9</v>
      </c>
      <c r="C587" s="61">
        <v>90.018199999999993</v>
      </c>
    </row>
    <row r="588" spans="1:3" x14ac:dyDescent="0.25">
      <c r="A588" s="47" t="s">
        <v>2408</v>
      </c>
      <c r="B588" s="64">
        <v>40.200000000000003</v>
      </c>
      <c r="C588" s="61">
        <v>9.01037</v>
      </c>
    </row>
    <row r="589" spans="1:3" x14ac:dyDescent="0.25">
      <c r="A589" s="47" t="s">
        <v>2465</v>
      </c>
      <c r="B589" s="64">
        <v>4.12</v>
      </c>
      <c r="C589" s="61">
        <v>4.4065899999999996</v>
      </c>
    </row>
    <row r="590" spans="1:3" x14ac:dyDescent="0.25">
      <c r="A590" s="47" t="s">
        <v>2490</v>
      </c>
      <c r="B590" s="64">
        <v>199</v>
      </c>
      <c r="C590" s="61">
        <v>11.77773</v>
      </c>
    </row>
    <row r="591" spans="1:3" x14ac:dyDescent="0.25">
      <c r="A591" s="47" t="s">
        <v>2493</v>
      </c>
      <c r="B591" s="64">
        <v>320.5</v>
      </c>
      <c r="C591" s="61">
        <v>13.64662</v>
      </c>
    </row>
    <row r="592" spans="1:3" x14ac:dyDescent="0.25">
      <c r="A592" s="47" t="s">
        <v>2497</v>
      </c>
      <c r="B592" s="64">
        <v>320.5</v>
      </c>
      <c r="C592" s="61">
        <v>7.9101999999999997</v>
      </c>
    </row>
    <row r="593" spans="1:3" x14ac:dyDescent="0.25">
      <c r="A593" s="47" t="s">
        <v>2503</v>
      </c>
      <c r="B593" s="64">
        <v>79</v>
      </c>
      <c r="C593" s="61">
        <v>1876.3417400000001</v>
      </c>
    </row>
    <row r="594" spans="1:3" x14ac:dyDescent="0.25">
      <c r="A594" s="47" t="s">
        <v>2535</v>
      </c>
      <c r="B594" s="64">
        <v>7.5465</v>
      </c>
      <c r="C594" s="61">
        <v>5.2397299999999998</v>
      </c>
    </row>
    <row r="595" spans="1:3" x14ac:dyDescent="0.25">
      <c r="A595" s="47" t="s">
        <v>2538</v>
      </c>
      <c r="B595" s="64">
        <v>3860</v>
      </c>
      <c r="C595" s="61">
        <v>12.10328</v>
      </c>
    </row>
    <row r="596" spans="1:3" x14ac:dyDescent="0.25">
      <c r="A596" s="47" t="s">
        <v>2545</v>
      </c>
      <c r="B596" s="64">
        <v>1500</v>
      </c>
      <c r="C596" s="61">
        <v>2002.94902</v>
      </c>
    </row>
    <row r="597" spans="1:3" x14ac:dyDescent="0.25">
      <c r="A597" s="47" t="s">
        <v>2579</v>
      </c>
      <c r="B597" s="64">
        <v>380.5</v>
      </c>
      <c r="C597" s="61">
        <v>12.506779999999999</v>
      </c>
    </row>
    <row r="598" spans="1:3" x14ac:dyDescent="0.25">
      <c r="A598" s="47" t="s">
        <v>2582</v>
      </c>
      <c r="B598" s="64">
        <v>1.7</v>
      </c>
      <c r="C598" s="61">
        <v>0.23</v>
      </c>
    </row>
    <row r="599" spans="1:3" x14ac:dyDescent="0.25">
      <c r="A599" s="47" t="s">
        <v>2669</v>
      </c>
      <c r="B599" s="64">
        <v>21.6875</v>
      </c>
      <c r="C599" s="61">
        <v>6.0533999999999999</v>
      </c>
    </row>
    <row r="600" spans="1:3" x14ac:dyDescent="0.25">
      <c r="A600" s="47" t="s">
        <v>2673</v>
      </c>
      <c r="B600" s="64">
        <v>8.33</v>
      </c>
      <c r="C600" s="61">
        <v>0.31</v>
      </c>
    </row>
    <row r="601" spans="1:3" x14ac:dyDescent="0.25">
      <c r="A601" s="47" t="s">
        <v>2680</v>
      </c>
      <c r="B601" s="64">
        <v>19.600000000000001</v>
      </c>
      <c r="C601" s="61">
        <v>3.5</v>
      </c>
    </row>
    <row r="602" spans="1:3" x14ac:dyDescent="0.25">
      <c r="A602" s="47" t="s">
        <v>2684</v>
      </c>
      <c r="B602" s="64">
        <v>243</v>
      </c>
      <c r="C602" s="61">
        <v>14.97508</v>
      </c>
    </row>
    <row r="603" spans="1:3" x14ac:dyDescent="0.25">
      <c r="A603" s="47" t="s">
        <v>2688</v>
      </c>
      <c r="B603" s="64">
        <v>73.8</v>
      </c>
      <c r="C603" s="61">
        <v>13.18027</v>
      </c>
    </row>
    <row r="604" spans="1:3" x14ac:dyDescent="0.25">
      <c r="A604" s="47" t="s">
        <v>2757</v>
      </c>
      <c r="B604" s="64">
        <v>5.05</v>
      </c>
      <c r="C604" s="61">
        <v>3.43282</v>
      </c>
    </row>
    <row r="605" spans="1:3" x14ac:dyDescent="0.25">
      <c r="A605" s="47" t="s">
        <v>2760</v>
      </c>
      <c r="B605" s="64">
        <v>6.3</v>
      </c>
      <c r="C605" s="61">
        <v>133.89572000000001</v>
      </c>
    </row>
    <row r="606" spans="1:3" x14ac:dyDescent="0.25">
      <c r="A606" s="47" t="s">
        <v>2763</v>
      </c>
      <c r="B606" s="64">
        <v>2.198</v>
      </c>
      <c r="C606" s="61">
        <v>10.03088</v>
      </c>
    </row>
    <row r="607" spans="1:3" x14ac:dyDescent="0.25">
      <c r="A607" s="47" t="s">
        <v>2778</v>
      </c>
      <c r="B607" s="64">
        <v>23.6</v>
      </c>
      <c r="C607" s="61">
        <v>10.8439</v>
      </c>
    </row>
    <row r="608" spans="1:3" x14ac:dyDescent="0.25">
      <c r="A608" s="47" t="s">
        <v>2809</v>
      </c>
      <c r="B608" s="64">
        <v>32.700000000000003</v>
      </c>
      <c r="C608" s="61">
        <v>2.7</v>
      </c>
    </row>
    <row r="609" spans="1:3" x14ac:dyDescent="0.25">
      <c r="A609" s="47" t="s">
        <v>2813</v>
      </c>
      <c r="B609" s="64">
        <v>0.26700000000000002</v>
      </c>
      <c r="C609" s="61">
        <v>2.9002599999999998</v>
      </c>
    </row>
    <row r="610" spans="1:3" x14ac:dyDescent="0.25">
      <c r="A610" s="47" t="s">
        <v>2817</v>
      </c>
      <c r="B610" s="64">
        <v>0.26700000000000002</v>
      </c>
      <c r="C610" s="61">
        <v>2.6795300000000002</v>
      </c>
    </row>
    <row r="611" spans="1:3" x14ac:dyDescent="0.25">
      <c r="A611" s="47" t="s">
        <v>2819</v>
      </c>
      <c r="B611" s="64">
        <v>0.26700000000000002</v>
      </c>
      <c r="C611" s="61">
        <v>2.58785</v>
      </c>
    </row>
    <row r="612" spans="1:3" x14ac:dyDescent="0.25">
      <c r="A612" s="47" t="s">
        <v>2821</v>
      </c>
      <c r="B612" s="64">
        <v>0.26700000000000002</v>
      </c>
      <c r="C612" s="61">
        <v>4.2</v>
      </c>
    </row>
    <row r="613" spans="1:3" x14ac:dyDescent="0.25">
      <c r="A613" s="47" t="s">
        <v>2859</v>
      </c>
      <c r="B613" s="64">
        <v>1.4</v>
      </c>
      <c r="C613" s="61">
        <v>13.605420000000001</v>
      </c>
    </row>
    <row r="614" spans="1:3" x14ac:dyDescent="0.25">
      <c r="A614" s="47" t="s">
        <v>2862</v>
      </c>
      <c r="B614" s="64">
        <v>76.088470000000001</v>
      </c>
      <c r="C614" s="61">
        <v>5.98102</v>
      </c>
    </row>
    <row r="615" spans="1:3" x14ac:dyDescent="0.25">
      <c r="A615" s="47" t="s">
        <v>2875</v>
      </c>
      <c r="B615" s="64">
        <v>0.109</v>
      </c>
      <c r="C615" s="61">
        <v>0.2</v>
      </c>
    </row>
    <row r="616" spans="1:3" x14ac:dyDescent="0.25">
      <c r="A616" s="47" t="s">
        <v>2879</v>
      </c>
      <c r="B616" s="64">
        <v>134</v>
      </c>
      <c r="C616" s="61">
        <v>69</v>
      </c>
    </row>
    <row r="617" spans="1:3" x14ac:dyDescent="0.25">
      <c r="A617" s="47" t="s">
        <v>2883</v>
      </c>
      <c r="B617" s="64">
        <v>10</v>
      </c>
      <c r="C617" s="61">
        <v>69</v>
      </c>
    </row>
    <row r="618" spans="1:3" x14ac:dyDescent="0.25">
      <c r="A618" s="47" t="s">
        <v>2893</v>
      </c>
      <c r="B618" s="64">
        <v>16.080249999999999</v>
      </c>
      <c r="C618" s="61">
        <v>0.46</v>
      </c>
    </row>
    <row r="619" spans="1:3" x14ac:dyDescent="0.25">
      <c r="A619" s="47" t="s">
        <v>2897</v>
      </c>
      <c r="B619" s="64">
        <v>749.81368999999995</v>
      </c>
      <c r="C619" s="61">
        <v>2.7976000000000001</v>
      </c>
    </row>
    <row r="620" spans="1:3" x14ac:dyDescent="0.25">
      <c r="A620" s="47" t="s">
        <v>2913</v>
      </c>
      <c r="B620" s="64">
        <v>53.847349999999999</v>
      </c>
      <c r="C620" s="61">
        <v>16.95918</v>
      </c>
    </row>
    <row r="621" spans="1:3" x14ac:dyDescent="0.25">
      <c r="A621" s="47" t="s">
        <v>2917</v>
      </c>
      <c r="B621" s="64">
        <v>53.847349999999999</v>
      </c>
      <c r="C621" s="61">
        <v>25.986149999999999</v>
      </c>
    </row>
    <row r="622" spans="1:3" x14ac:dyDescent="0.25">
      <c r="A622" s="47" t="s">
        <v>2920</v>
      </c>
      <c r="B622" s="64">
        <v>1.4</v>
      </c>
      <c r="C622" s="61">
        <v>11.28689</v>
      </c>
    </row>
    <row r="623" spans="1:3" x14ac:dyDescent="0.25">
      <c r="A623" s="47" t="s">
        <v>2956</v>
      </c>
      <c r="B623" s="64">
        <v>4.3575499999999998</v>
      </c>
      <c r="C623" s="61">
        <v>5.4488799999999999</v>
      </c>
    </row>
    <row r="624" spans="1:3" x14ac:dyDescent="0.25">
      <c r="A624" s="47" t="s">
        <v>2960</v>
      </c>
      <c r="B624" s="64">
        <v>95.195830000000001</v>
      </c>
      <c r="C624" s="61">
        <v>3.9209900000000002</v>
      </c>
    </row>
    <row r="625" spans="1:3" x14ac:dyDescent="0.25">
      <c r="A625" s="47" t="s">
        <v>2963</v>
      </c>
      <c r="B625" s="64">
        <v>95.195830000000001</v>
      </c>
      <c r="C625" s="61">
        <v>2.84748</v>
      </c>
    </row>
    <row r="626" spans="1:3" x14ac:dyDescent="0.25">
      <c r="A626" s="47" t="s">
        <v>2966</v>
      </c>
      <c r="B626" s="64">
        <v>3.71</v>
      </c>
      <c r="C626" s="61">
        <v>5.72905</v>
      </c>
    </row>
    <row r="627" spans="1:3" x14ac:dyDescent="0.25">
      <c r="A627" s="47" t="s">
        <v>2970</v>
      </c>
      <c r="B627" s="64">
        <v>1.43</v>
      </c>
      <c r="C627" s="61">
        <v>2.58365</v>
      </c>
    </row>
    <row r="628" spans="1:3" x14ac:dyDescent="0.25">
      <c r="A628" s="47" t="s">
        <v>2974</v>
      </c>
      <c r="B628" s="64">
        <v>0.86</v>
      </c>
      <c r="C628" s="61">
        <v>5.4959899999999999</v>
      </c>
    </row>
    <row r="629" spans="1:3" x14ac:dyDescent="0.25">
      <c r="A629" s="47" t="s">
        <v>2977</v>
      </c>
      <c r="B629" s="64">
        <v>0.86</v>
      </c>
      <c r="C629" s="61">
        <v>4.1418900000000001</v>
      </c>
    </row>
    <row r="630" spans="1:3" x14ac:dyDescent="0.25">
      <c r="A630" s="47" t="s">
        <v>2987</v>
      </c>
      <c r="B630" s="64">
        <v>22</v>
      </c>
      <c r="C630" s="61">
        <v>7.7881999999999998</v>
      </c>
    </row>
    <row r="631" spans="1:3" x14ac:dyDescent="0.25">
      <c r="A631" s="47" t="s">
        <v>2990</v>
      </c>
      <c r="B631" s="64">
        <v>18.3185</v>
      </c>
      <c r="C631" s="61">
        <v>3.5586600000000002</v>
      </c>
    </row>
    <row r="632" spans="1:3" x14ac:dyDescent="0.25">
      <c r="A632" s="47" t="s">
        <v>2994</v>
      </c>
      <c r="B632" s="64">
        <v>18.3185</v>
      </c>
      <c r="C632" s="61">
        <v>4.7124600000000001</v>
      </c>
    </row>
    <row r="633" spans="1:3" x14ac:dyDescent="0.25">
      <c r="A633" s="47" t="s">
        <v>2996</v>
      </c>
      <c r="B633" s="64">
        <v>18.3185</v>
      </c>
      <c r="C633" s="61">
        <v>6.0424899999999999</v>
      </c>
    </row>
    <row r="634" spans="1:3" x14ac:dyDescent="0.25">
      <c r="A634" s="47" t="s">
        <v>2999</v>
      </c>
      <c r="B634" s="64">
        <v>32.4876</v>
      </c>
      <c r="C634" s="61">
        <v>9.4048499999999997</v>
      </c>
    </row>
    <row r="635" spans="1:3" x14ac:dyDescent="0.25">
      <c r="A635" s="47" t="s">
        <v>3003</v>
      </c>
      <c r="B635" s="64">
        <v>3.0206</v>
      </c>
      <c r="C635" s="61">
        <v>3.07254</v>
      </c>
    </row>
    <row r="636" spans="1:3" x14ac:dyDescent="0.25">
      <c r="A636" s="47" t="s">
        <v>3025</v>
      </c>
      <c r="B636" s="64">
        <v>22</v>
      </c>
      <c r="C636" s="61">
        <v>7.20519</v>
      </c>
    </row>
    <row r="637" spans="1:3" x14ac:dyDescent="0.25">
      <c r="A637" s="47" t="s">
        <v>3028</v>
      </c>
      <c r="B637" s="64">
        <v>17</v>
      </c>
      <c r="C637" s="61">
        <v>20.407299999999999</v>
      </c>
    </row>
    <row r="638" spans="1:3" x14ac:dyDescent="0.25">
      <c r="A638" s="47" t="s">
        <v>3041</v>
      </c>
      <c r="B638" s="64">
        <v>111.86944</v>
      </c>
      <c r="C638" s="61">
        <v>1615.0943299999999</v>
      </c>
    </row>
    <row r="639" spans="1:3" x14ac:dyDescent="0.25">
      <c r="A639" s="47" t="s">
        <v>3045</v>
      </c>
      <c r="B639" s="64">
        <v>14.804830000000001</v>
      </c>
      <c r="C639" s="61">
        <v>7.4095000000000004</v>
      </c>
    </row>
    <row r="640" spans="1:3" x14ac:dyDescent="0.25">
      <c r="A640" s="47" t="s">
        <v>3049</v>
      </c>
      <c r="B640" s="64">
        <v>0.86</v>
      </c>
      <c r="C640" s="61">
        <v>2.6955100000000001</v>
      </c>
    </row>
    <row r="641" spans="1:3" x14ac:dyDescent="0.25">
      <c r="A641" s="47" t="s">
        <v>3064</v>
      </c>
      <c r="B641" s="64">
        <v>230</v>
      </c>
      <c r="C641" s="61">
        <v>2.8228499999999999</v>
      </c>
    </row>
    <row r="642" spans="1:3" x14ac:dyDescent="0.25">
      <c r="A642" s="47" t="s">
        <v>3067</v>
      </c>
      <c r="B642" s="64">
        <v>12.5</v>
      </c>
      <c r="C642" s="61">
        <v>3.2135400000000001</v>
      </c>
    </row>
    <row r="643" spans="1:3" x14ac:dyDescent="0.25">
      <c r="A643" s="47" t="s">
        <v>3085</v>
      </c>
      <c r="B643" s="64">
        <v>18.3185</v>
      </c>
      <c r="C643" s="61">
        <v>14.86121</v>
      </c>
    </row>
    <row r="644" spans="1:3" x14ac:dyDescent="0.25">
      <c r="A644" s="47" t="s">
        <v>3088</v>
      </c>
      <c r="B644" s="64">
        <v>9</v>
      </c>
      <c r="C644" s="61">
        <v>6.1952600000000002</v>
      </c>
    </row>
    <row r="645" spans="1:3" x14ac:dyDescent="0.25">
      <c r="A645" s="47" t="s">
        <v>3091</v>
      </c>
      <c r="B645" s="64">
        <v>18.3185</v>
      </c>
      <c r="C645" s="61">
        <v>31.43111</v>
      </c>
    </row>
    <row r="646" spans="1:3" x14ac:dyDescent="0.25">
      <c r="A646" s="47" t="s">
        <v>3093</v>
      </c>
      <c r="B646" s="64">
        <v>18.3185</v>
      </c>
      <c r="C646" s="61">
        <v>2.7643800000000001</v>
      </c>
    </row>
    <row r="647" spans="1:3" x14ac:dyDescent="0.25">
      <c r="A647" s="47" t="s">
        <v>3096</v>
      </c>
      <c r="B647" s="64">
        <v>17.37</v>
      </c>
      <c r="C647" s="61">
        <v>11.54655</v>
      </c>
    </row>
    <row r="648" spans="1:3" x14ac:dyDescent="0.25">
      <c r="A648" s="47" t="s">
        <v>3103</v>
      </c>
      <c r="B648" s="64">
        <v>670</v>
      </c>
      <c r="C648" s="61">
        <v>5.2005499999999998</v>
      </c>
    </row>
    <row r="649" spans="1:3" x14ac:dyDescent="0.25">
      <c r="A649" s="47" t="s">
        <v>3107</v>
      </c>
      <c r="B649" s="64">
        <v>12000</v>
      </c>
      <c r="C649" s="61">
        <v>14.627319999999999</v>
      </c>
    </row>
    <row r="650" spans="1:3" x14ac:dyDescent="0.25">
      <c r="A650" s="47" t="s">
        <v>3119</v>
      </c>
      <c r="B650" s="64">
        <v>4.3575499999999998</v>
      </c>
      <c r="C650" s="61">
        <v>3.9479799999999998</v>
      </c>
    </row>
    <row r="651" spans="1:3" x14ac:dyDescent="0.25">
      <c r="A651" s="47" t="s">
        <v>3123</v>
      </c>
      <c r="B651" s="64">
        <v>18.3185</v>
      </c>
      <c r="C651" s="61">
        <v>18.347449999999998</v>
      </c>
    </row>
    <row r="652" spans="1:3" x14ac:dyDescent="0.25">
      <c r="A652" s="47" t="s">
        <v>3127</v>
      </c>
      <c r="B652" s="64">
        <v>24.053059999999999</v>
      </c>
      <c r="C652" s="61">
        <v>8.4264200000000002</v>
      </c>
    </row>
    <row r="653" spans="1:3" x14ac:dyDescent="0.25">
      <c r="A653" s="47" t="s">
        <v>3131</v>
      </c>
      <c r="B653" s="64">
        <v>360</v>
      </c>
      <c r="C653" s="61">
        <v>9.5945800000000006</v>
      </c>
    </row>
    <row r="654" spans="1:3" x14ac:dyDescent="0.25">
      <c r="A654" s="47" t="s">
        <v>3136</v>
      </c>
      <c r="B654" s="64">
        <v>316.14999999999998</v>
      </c>
      <c r="C654" s="61">
        <v>21.186530000000001</v>
      </c>
    </row>
    <row r="655" spans="1:3" x14ac:dyDescent="0.25">
      <c r="A655" s="47" t="s">
        <v>3155</v>
      </c>
      <c r="B655" s="64">
        <v>86.033330000000007</v>
      </c>
      <c r="C655" s="61">
        <v>3.4249900000000002</v>
      </c>
    </row>
    <row r="656" spans="1:3" x14ac:dyDescent="0.25">
      <c r="A656" s="47" t="s">
        <v>3159</v>
      </c>
      <c r="B656" s="64">
        <v>2.7749999999999999</v>
      </c>
      <c r="C656" s="61">
        <v>3.4380600000000001</v>
      </c>
    </row>
    <row r="657" spans="1:3" x14ac:dyDescent="0.25">
      <c r="A657" s="47" t="s">
        <v>3168</v>
      </c>
      <c r="B657" s="64">
        <v>700</v>
      </c>
      <c r="C657" s="61">
        <v>208.95812000000001</v>
      </c>
    </row>
    <row r="658" spans="1:3" x14ac:dyDescent="0.25">
      <c r="A658" s="47" t="s">
        <v>3172</v>
      </c>
      <c r="B658" s="64">
        <v>700</v>
      </c>
      <c r="C658" s="61">
        <v>278.83262999999999</v>
      </c>
    </row>
    <row r="659" spans="1:3" x14ac:dyDescent="0.25">
      <c r="A659" s="47" t="s">
        <v>3178</v>
      </c>
      <c r="B659" s="64">
        <v>25</v>
      </c>
      <c r="C659" s="61">
        <v>6.7260900000000001</v>
      </c>
    </row>
    <row r="660" spans="1:3" x14ac:dyDescent="0.25">
      <c r="A660" s="47" t="s">
        <v>3191</v>
      </c>
      <c r="B660" s="64">
        <v>32.4876</v>
      </c>
      <c r="C660" s="61">
        <v>3.9007200000000002</v>
      </c>
    </row>
    <row r="661" spans="1:3" x14ac:dyDescent="0.25">
      <c r="A661" s="47" t="s">
        <v>3207</v>
      </c>
      <c r="B661" s="64">
        <v>4.8000000000000001E-2</v>
      </c>
      <c r="C661" s="61">
        <v>2.6433599999999999</v>
      </c>
    </row>
    <row r="662" spans="1:3" x14ac:dyDescent="0.25">
      <c r="A662" s="47" t="s">
        <v>3211</v>
      </c>
      <c r="B662" s="64">
        <v>3.4550000000000001</v>
      </c>
      <c r="C662" s="61">
        <v>2.6283799999999999</v>
      </c>
    </row>
    <row r="663" spans="1:3" x14ac:dyDescent="0.25">
      <c r="A663" s="47" t="s">
        <v>3215</v>
      </c>
      <c r="B663" s="64">
        <v>24.6</v>
      </c>
      <c r="C663" s="61">
        <v>9.4260000000000002</v>
      </c>
    </row>
    <row r="664" spans="1:3" x14ac:dyDescent="0.25">
      <c r="A664" s="47" t="s">
        <v>3219</v>
      </c>
      <c r="B664" s="64">
        <v>38.753329999999998</v>
      </c>
      <c r="C664" s="61">
        <v>22.510570000000001</v>
      </c>
    </row>
    <row r="665" spans="1:3" x14ac:dyDescent="0.25">
      <c r="A665" s="47" t="s">
        <v>3229</v>
      </c>
      <c r="B665" s="64">
        <v>11.7</v>
      </c>
      <c r="C665" s="61">
        <v>5.9595099999999999</v>
      </c>
    </row>
    <row r="666" spans="1:3" x14ac:dyDescent="0.25">
      <c r="A666" s="47" t="s">
        <v>3232</v>
      </c>
      <c r="B666" s="64">
        <v>3.2</v>
      </c>
      <c r="C666" s="61">
        <v>10.402670000000001</v>
      </c>
    </row>
    <row r="667" spans="1:3" x14ac:dyDescent="0.25">
      <c r="A667" s="47" t="s">
        <v>3234</v>
      </c>
      <c r="B667" s="64">
        <v>3.2</v>
      </c>
      <c r="C667" s="61">
        <v>7.9307100000000004</v>
      </c>
    </row>
    <row r="668" spans="1:3" x14ac:dyDescent="0.25">
      <c r="A668" s="47" t="s">
        <v>3242</v>
      </c>
      <c r="B668" s="64">
        <v>263.20832999999999</v>
      </c>
      <c r="C668" s="61">
        <v>3.1022400000000001</v>
      </c>
    </row>
    <row r="669" spans="1:3" x14ac:dyDescent="0.25">
      <c r="A669" s="47" t="s">
        <v>3245</v>
      </c>
      <c r="B669" s="64">
        <v>0.86</v>
      </c>
      <c r="C669" s="61">
        <v>2.7293400000000001</v>
      </c>
    </row>
    <row r="670" spans="1:3" x14ac:dyDescent="0.25">
      <c r="A670" s="47" t="s">
        <v>3248</v>
      </c>
      <c r="B670" s="64">
        <v>0.7</v>
      </c>
      <c r="C670" s="61">
        <v>64.172579999999996</v>
      </c>
    </row>
    <row r="671" spans="1:3" x14ac:dyDescent="0.25">
      <c r="A671" s="47" t="s">
        <v>3252</v>
      </c>
      <c r="B671" s="64">
        <v>25</v>
      </c>
      <c r="C671" s="61">
        <v>6.7807000000000004</v>
      </c>
    </row>
    <row r="672" spans="1:3" x14ac:dyDescent="0.25">
      <c r="A672" s="47" t="s">
        <v>3255</v>
      </c>
      <c r="B672" s="64">
        <v>25</v>
      </c>
      <c r="C672" s="61">
        <v>5.5831799999999996</v>
      </c>
    </row>
    <row r="673" spans="1:3" x14ac:dyDescent="0.25">
      <c r="A673" s="47" t="s">
        <v>3258</v>
      </c>
      <c r="B673" s="64">
        <v>8.1150000000000002</v>
      </c>
      <c r="C673" s="61">
        <v>5.4481400000000004</v>
      </c>
    </row>
    <row r="674" spans="1:3" x14ac:dyDescent="0.25">
      <c r="A674" s="47" t="s">
        <v>3261</v>
      </c>
      <c r="B674" s="64">
        <v>8.1150000000000002</v>
      </c>
      <c r="C674" s="61">
        <v>48.253880000000002</v>
      </c>
    </row>
    <row r="675" spans="1:3" x14ac:dyDescent="0.25">
      <c r="A675" s="47" t="s">
        <v>3276</v>
      </c>
      <c r="B675" s="64">
        <v>405</v>
      </c>
      <c r="C675" s="61">
        <v>4.1931799999999999</v>
      </c>
    </row>
    <row r="676" spans="1:3" x14ac:dyDescent="0.25">
      <c r="A676" s="47" t="s">
        <v>3280</v>
      </c>
      <c r="B676" s="64">
        <v>405</v>
      </c>
      <c r="C676" s="61">
        <v>3.2423799999999998</v>
      </c>
    </row>
    <row r="677" spans="1:3" x14ac:dyDescent="0.25">
      <c r="A677" s="47" t="s">
        <v>3283</v>
      </c>
      <c r="B677" s="64">
        <v>405</v>
      </c>
      <c r="C677" s="61">
        <v>3.8463500000000002</v>
      </c>
    </row>
    <row r="678" spans="1:3" x14ac:dyDescent="0.25">
      <c r="A678" s="47" t="s">
        <v>3286</v>
      </c>
      <c r="B678" s="64">
        <v>207.42</v>
      </c>
      <c r="C678" s="61">
        <v>3.9887800000000002</v>
      </c>
    </row>
    <row r="679" spans="1:3" x14ac:dyDescent="0.25">
      <c r="A679" s="47" t="s">
        <v>3290</v>
      </c>
      <c r="B679" s="64">
        <v>3.91</v>
      </c>
      <c r="C679" s="61">
        <v>2.6349800000000001</v>
      </c>
    </row>
    <row r="680" spans="1:3" x14ac:dyDescent="0.25">
      <c r="A680" s="47" t="s">
        <v>3315</v>
      </c>
      <c r="B680" s="64">
        <v>160</v>
      </c>
      <c r="C680" s="61">
        <v>15.131500000000001</v>
      </c>
    </row>
    <row r="681" spans="1:3" x14ac:dyDescent="0.25">
      <c r="A681" s="47" t="s">
        <v>3319</v>
      </c>
      <c r="B681" s="64">
        <v>25</v>
      </c>
      <c r="C681" s="61">
        <v>2.6019899999999998</v>
      </c>
    </row>
    <row r="682" spans="1:3" x14ac:dyDescent="0.25">
      <c r="A682" s="47" t="s">
        <v>3322</v>
      </c>
      <c r="B682" s="64">
        <v>160</v>
      </c>
      <c r="C682" s="61">
        <v>2.5892599999999999</v>
      </c>
    </row>
    <row r="683" spans="1:3" x14ac:dyDescent="0.25">
      <c r="A683" s="47" t="s">
        <v>3325</v>
      </c>
      <c r="B683" s="64">
        <v>0.05</v>
      </c>
      <c r="C683" s="61">
        <v>2.7637200000000002</v>
      </c>
    </row>
    <row r="684" spans="1:3" x14ac:dyDescent="0.25">
      <c r="A684" s="47" t="s">
        <v>3335</v>
      </c>
      <c r="B684" s="64">
        <v>90.131770000000003</v>
      </c>
      <c r="C684" s="61">
        <v>43.844859999999997</v>
      </c>
    </row>
    <row r="685" spans="1:3" x14ac:dyDescent="0.25">
      <c r="A685" s="47" t="s">
        <v>3338</v>
      </c>
      <c r="B685" s="64">
        <v>22</v>
      </c>
      <c r="C685" s="61">
        <v>7.2451800000000004</v>
      </c>
    </row>
    <row r="686" spans="1:3" x14ac:dyDescent="0.25">
      <c r="A686" s="47" t="s">
        <v>3341</v>
      </c>
      <c r="B686" s="64">
        <v>22</v>
      </c>
      <c r="C686" s="61">
        <v>13.777670000000001</v>
      </c>
    </row>
    <row r="687" spans="1:3" x14ac:dyDescent="0.25">
      <c r="A687" s="47" t="s">
        <v>3344</v>
      </c>
      <c r="B687" s="64">
        <v>22</v>
      </c>
      <c r="C687" s="61">
        <v>3.94339</v>
      </c>
    </row>
    <row r="688" spans="1:3" x14ac:dyDescent="0.25">
      <c r="A688" s="47" t="s">
        <v>3347</v>
      </c>
      <c r="B688" s="64">
        <v>22</v>
      </c>
      <c r="C688" s="61">
        <v>10.466139999999999</v>
      </c>
    </row>
    <row r="689" spans="1:3" x14ac:dyDescent="0.25">
      <c r="A689" s="47" t="s">
        <v>3350</v>
      </c>
      <c r="B689" s="64">
        <v>22</v>
      </c>
      <c r="C689" s="61">
        <v>9.4959199999999999</v>
      </c>
    </row>
    <row r="690" spans="1:3" x14ac:dyDescent="0.25">
      <c r="A690" s="47" t="s">
        <v>3353</v>
      </c>
      <c r="B690" s="64">
        <v>22</v>
      </c>
      <c r="C690" s="61">
        <v>7.2444199999999999</v>
      </c>
    </row>
    <row r="691" spans="1:3" x14ac:dyDescent="0.25">
      <c r="A691" s="47" t="s">
        <v>3356</v>
      </c>
      <c r="B691" s="64">
        <v>22</v>
      </c>
      <c r="C691" s="61">
        <v>2.8099099999999999</v>
      </c>
    </row>
    <row r="692" spans="1:3" x14ac:dyDescent="0.25">
      <c r="A692" s="47" t="s">
        <v>3358</v>
      </c>
      <c r="B692" s="64">
        <v>22</v>
      </c>
      <c r="C692" s="61">
        <v>16.03171</v>
      </c>
    </row>
    <row r="693" spans="1:3" x14ac:dyDescent="0.25">
      <c r="A693" s="47" t="s">
        <v>3360</v>
      </c>
      <c r="B693" s="64">
        <v>67</v>
      </c>
      <c r="C693" s="61">
        <v>5.98569</v>
      </c>
    </row>
    <row r="694" spans="1:3" x14ac:dyDescent="0.25">
      <c r="A694" s="47" t="s">
        <v>3364</v>
      </c>
      <c r="B694" s="64">
        <v>0.18229999999999999</v>
      </c>
      <c r="C694" s="61">
        <v>23.97851</v>
      </c>
    </row>
    <row r="695" spans="1:3" x14ac:dyDescent="0.25">
      <c r="A695" s="47" t="s">
        <v>3381</v>
      </c>
      <c r="B695" s="64">
        <v>67</v>
      </c>
      <c r="C695" s="61">
        <v>6.5473499999999998</v>
      </c>
    </row>
    <row r="696" spans="1:3" x14ac:dyDescent="0.25">
      <c r="A696" s="47" t="s">
        <v>3384</v>
      </c>
      <c r="B696" s="64">
        <v>37.549999999999997</v>
      </c>
      <c r="C696" s="61">
        <v>6.4517800000000003</v>
      </c>
    </row>
    <row r="697" spans="1:3" x14ac:dyDescent="0.25">
      <c r="A697" s="47" t="s">
        <v>3387</v>
      </c>
      <c r="B697" s="64">
        <v>62.4</v>
      </c>
      <c r="C697" s="61">
        <v>2.6491899999999999</v>
      </c>
    </row>
    <row r="698" spans="1:3" x14ac:dyDescent="0.25">
      <c r="A698" s="47" t="s">
        <v>3406</v>
      </c>
      <c r="B698" s="64">
        <v>3.5</v>
      </c>
      <c r="C698" s="61">
        <v>7.0722899999999997</v>
      </c>
    </row>
    <row r="699" spans="1:3" x14ac:dyDescent="0.25">
      <c r="A699" s="47" t="s">
        <v>3409</v>
      </c>
      <c r="B699" s="64">
        <v>22</v>
      </c>
      <c r="C699" s="61">
        <v>3.3195199999999998</v>
      </c>
    </row>
    <row r="700" spans="1:3" x14ac:dyDescent="0.25">
      <c r="A700" s="47" t="s">
        <v>3412</v>
      </c>
      <c r="B700" s="64">
        <v>8.1150000000000002</v>
      </c>
      <c r="C700" s="61">
        <v>6.3437999999999999</v>
      </c>
    </row>
    <row r="701" spans="1:3" x14ac:dyDescent="0.25">
      <c r="A701" s="47" t="s">
        <v>3415</v>
      </c>
      <c r="B701" s="64">
        <v>8.1150000000000002</v>
      </c>
      <c r="C701" s="61">
        <v>7.7041700000000004</v>
      </c>
    </row>
    <row r="702" spans="1:3" x14ac:dyDescent="0.25">
      <c r="A702" s="47" t="s">
        <v>3418</v>
      </c>
      <c r="B702" s="64">
        <v>39.261749999999999</v>
      </c>
      <c r="C702" s="61">
        <v>7.8604799999999999</v>
      </c>
    </row>
    <row r="703" spans="1:3" x14ac:dyDescent="0.25">
      <c r="A703" s="47" t="s">
        <v>3422</v>
      </c>
      <c r="B703" s="64">
        <v>3.7</v>
      </c>
      <c r="C703" s="61">
        <v>36</v>
      </c>
    </row>
    <row r="704" spans="1:3" x14ac:dyDescent="0.25">
      <c r="A704" s="47" t="s">
        <v>3425</v>
      </c>
      <c r="B704" s="64">
        <v>6.2</v>
      </c>
      <c r="C704" s="61">
        <v>17.596599999999999</v>
      </c>
    </row>
    <row r="705" spans="1:3" x14ac:dyDescent="0.25">
      <c r="A705" s="47" t="s">
        <v>3428</v>
      </c>
      <c r="B705" s="64">
        <v>132</v>
      </c>
      <c r="C705" s="61">
        <v>6.5251200000000003</v>
      </c>
    </row>
    <row r="706" spans="1:3" x14ac:dyDescent="0.25">
      <c r="A706" s="47" t="s">
        <v>3432</v>
      </c>
      <c r="B706" s="64">
        <v>132</v>
      </c>
      <c r="C706" s="61">
        <v>13.77726</v>
      </c>
    </row>
    <row r="707" spans="1:3" x14ac:dyDescent="0.25">
      <c r="A707" s="47" t="s">
        <v>3435</v>
      </c>
      <c r="B707" s="64">
        <v>2.9000000000000001E-2</v>
      </c>
      <c r="C707" s="61">
        <v>4.8498099999999997</v>
      </c>
    </row>
    <row r="708" spans="1:3" x14ac:dyDescent="0.25">
      <c r="A708" s="47" t="s">
        <v>3438</v>
      </c>
      <c r="B708" s="64">
        <v>2.9849999999999999</v>
      </c>
      <c r="C708" s="61">
        <v>25.200240000000001</v>
      </c>
    </row>
    <row r="709" spans="1:3" x14ac:dyDescent="0.25">
      <c r="A709" s="47" t="s">
        <v>3460</v>
      </c>
      <c r="B709" s="64">
        <v>7.63</v>
      </c>
      <c r="C709" s="61">
        <v>14.618919999999999</v>
      </c>
    </row>
    <row r="710" spans="1:3" x14ac:dyDescent="0.25">
      <c r="A710" s="47" t="s">
        <v>3464</v>
      </c>
      <c r="B710" s="64">
        <v>7.63</v>
      </c>
      <c r="C710" s="61">
        <v>13.419639999999999</v>
      </c>
    </row>
    <row r="711" spans="1:3" x14ac:dyDescent="0.25">
      <c r="A711" s="47" t="s">
        <v>3467</v>
      </c>
      <c r="B711" s="64">
        <v>1.97</v>
      </c>
      <c r="C711" s="61">
        <v>12.09539</v>
      </c>
    </row>
    <row r="712" spans="1:3" x14ac:dyDescent="0.25">
      <c r="A712" s="47" t="s">
        <v>3470</v>
      </c>
      <c r="B712" s="64">
        <v>25.024999999999999</v>
      </c>
      <c r="C712" s="61">
        <v>5.0667299999999997</v>
      </c>
    </row>
    <row r="713" spans="1:3" x14ac:dyDescent="0.25">
      <c r="A713" s="47" t="s">
        <v>3474</v>
      </c>
      <c r="B713" s="64">
        <v>1.2E-2</v>
      </c>
      <c r="C713" s="61">
        <v>3.2091699999999999</v>
      </c>
    </row>
    <row r="714" spans="1:3" x14ac:dyDescent="0.25">
      <c r="A714" s="47" t="s">
        <v>3478</v>
      </c>
      <c r="B714" s="64">
        <v>14.804830000000001</v>
      </c>
      <c r="C714" s="61">
        <v>13.010910000000001</v>
      </c>
    </row>
    <row r="715" spans="1:3" x14ac:dyDescent="0.25">
      <c r="A715" s="47" t="s">
        <v>3482</v>
      </c>
      <c r="B715" s="64">
        <v>2.8170000000000002</v>
      </c>
      <c r="C715" s="61">
        <v>5.1941800000000002</v>
      </c>
    </row>
    <row r="716" spans="1:3" x14ac:dyDescent="0.25">
      <c r="A716" s="47" t="s">
        <v>3485</v>
      </c>
      <c r="B716" s="64">
        <v>151</v>
      </c>
      <c r="C716" s="61">
        <v>30.930029999999999</v>
      </c>
    </row>
    <row r="717" spans="1:3" x14ac:dyDescent="0.25">
      <c r="A717" s="47" t="s">
        <v>3488</v>
      </c>
      <c r="B717" s="64">
        <v>2.9000000000000001E-2</v>
      </c>
      <c r="C717" s="61">
        <v>6.7530299999999999</v>
      </c>
    </row>
    <row r="718" spans="1:3" x14ac:dyDescent="0.25">
      <c r="A718" s="47" t="s">
        <v>3507</v>
      </c>
      <c r="B718" s="64">
        <v>73</v>
      </c>
      <c r="C718" s="61">
        <v>11.20288</v>
      </c>
    </row>
    <row r="719" spans="1:3" x14ac:dyDescent="0.25">
      <c r="A719" s="47" t="s">
        <v>3536</v>
      </c>
      <c r="B719" s="64">
        <v>23.6</v>
      </c>
      <c r="C719" s="61">
        <v>4.9617199999999997</v>
      </c>
    </row>
    <row r="720" spans="1:3" x14ac:dyDescent="0.25">
      <c r="A720" s="47" t="s">
        <v>3585</v>
      </c>
      <c r="B720" s="64">
        <v>5.94</v>
      </c>
      <c r="C720" s="61">
        <v>2.8967800000000001</v>
      </c>
    </row>
    <row r="721" spans="1:3" x14ac:dyDescent="0.25">
      <c r="A721" s="47" t="s">
        <v>3629</v>
      </c>
      <c r="B721" s="64">
        <v>105.2504</v>
      </c>
      <c r="C721" s="61">
        <v>11.569599999999999</v>
      </c>
    </row>
    <row r="722" spans="1:3" x14ac:dyDescent="0.25">
      <c r="A722" s="47" t="s">
        <v>3650</v>
      </c>
      <c r="B722" s="64">
        <v>24</v>
      </c>
      <c r="C722" s="61">
        <v>15.56311</v>
      </c>
    </row>
    <row r="723" spans="1:3" x14ac:dyDescent="0.25">
      <c r="A723" s="47" t="s">
        <v>3652</v>
      </c>
      <c r="B723" s="64">
        <v>0.33</v>
      </c>
      <c r="C723" s="61">
        <v>5.7391899999999998</v>
      </c>
    </row>
    <row r="724" spans="1:3" x14ac:dyDescent="0.25">
      <c r="A724" s="47" t="s">
        <v>3654</v>
      </c>
      <c r="B724" s="64">
        <v>0.24</v>
      </c>
      <c r="C724" s="61">
        <v>2.64479</v>
      </c>
    </row>
    <row r="725" spans="1:3" x14ac:dyDescent="0.25">
      <c r="A725" s="47" t="s">
        <v>3669</v>
      </c>
      <c r="B725" s="64">
        <v>11.6</v>
      </c>
      <c r="C725" s="61">
        <v>2.6371099999999998</v>
      </c>
    </row>
    <row r="726" spans="1:3" x14ac:dyDescent="0.25">
      <c r="A726" s="47" t="s">
        <v>3676</v>
      </c>
      <c r="B726" s="64">
        <v>911.7</v>
      </c>
      <c r="C726" s="61">
        <v>60.962870000000002</v>
      </c>
    </row>
    <row r="727" spans="1:3" x14ac:dyDescent="0.25">
      <c r="A727" s="47" t="s">
        <v>3680</v>
      </c>
      <c r="B727" s="64">
        <v>152.4</v>
      </c>
      <c r="C727" s="61">
        <v>7.1442800000000002</v>
      </c>
    </row>
    <row r="728" spans="1:3" x14ac:dyDescent="0.25">
      <c r="A728" s="47" t="s">
        <v>3683</v>
      </c>
      <c r="B728" s="64">
        <v>1009</v>
      </c>
      <c r="C728" s="61">
        <v>2.7124700000000002</v>
      </c>
    </row>
    <row r="729" spans="1:3" x14ac:dyDescent="0.25">
      <c r="A729" s="47" t="s">
        <v>3686</v>
      </c>
      <c r="B729" s="64">
        <v>171.94667000000001</v>
      </c>
      <c r="C729" s="61">
        <v>4.6305100000000001</v>
      </c>
    </row>
    <row r="730" spans="1:3" x14ac:dyDescent="0.25">
      <c r="A730" s="47" t="s">
        <v>3689</v>
      </c>
      <c r="B730" s="64">
        <v>171.94667000000001</v>
      </c>
      <c r="C730" s="61">
        <v>5.0172499999999998</v>
      </c>
    </row>
    <row r="731" spans="1:3" x14ac:dyDescent="0.25">
      <c r="A731" s="47" t="s">
        <v>3691</v>
      </c>
      <c r="B731" s="64">
        <v>1.2</v>
      </c>
      <c r="C731" s="61">
        <v>7.9840900000000001</v>
      </c>
    </row>
    <row r="732" spans="1:3" x14ac:dyDescent="0.25">
      <c r="A732" s="47" t="s">
        <v>3693</v>
      </c>
      <c r="B732" s="64">
        <v>0.23</v>
      </c>
      <c r="C732" s="61">
        <v>4.7378600000000004</v>
      </c>
    </row>
    <row r="733" spans="1:3" x14ac:dyDescent="0.25">
      <c r="A733" s="47" t="s">
        <v>3696</v>
      </c>
      <c r="B733" s="64">
        <v>202</v>
      </c>
      <c r="C733" s="61">
        <v>4.5842900000000002</v>
      </c>
    </row>
    <row r="734" spans="1:3" x14ac:dyDescent="0.25">
      <c r="A734" s="47" t="s">
        <v>3698</v>
      </c>
      <c r="B734" s="64">
        <v>0.19500000000000001</v>
      </c>
      <c r="C734" s="61">
        <v>5.2589100000000002</v>
      </c>
    </row>
    <row r="735" spans="1:3" x14ac:dyDescent="0.25">
      <c r="A735" s="47" t="s">
        <v>3700</v>
      </c>
      <c r="B735" s="64">
        <v>0.3</v>
      </c>
      <c r="C735" s="61">
        <v>5.03301</v>
      </c>
    </row>
    <row r="736" spans="1:3" x14ac:dyDescent="0.25">
      <c r="A736" s="47" t="s">
        <v>3702</v>
      </c>
      <c r="B736" s="64">
        <v>577.5</v>
      </c>
      <c r="C736" s="61">
        <v>4.5231399999999997</v>
      </c>
    </row>
    <row r="737" spans="1:3" x14ac:dyDescent="0.25">
      <c r="A737" s="47" t="s">
        <v>3704</v>
      </c>
      <c r="B737" s="64">
        <v>11</v>
      </c>
      <c r="C737" s="61">
        <v>4.99146</v>
      </c>
    </row>
    <row r="738" spans="1:3" x14ac:dyDescent="0.25">
      <c r="A738" s="47" t="s">
        <v>3706</v>
      </c>
      <c r="B738" s="64">
        <v>12.4</v>
      </c>
      <c r="C738" s="61">
        <v>6.9722200000000001</v>
      </c>
    </row>
    <row r="739" spans="1:3" x14ac:dyDescent="0.25">
      <c r="A739" s="47" t="s">
        <v>3709</v>
      </c>
      <c r="B739" s="64">
        <v>3.4799999999999998E-2</v>
      </c>
      <c r="C739" s="61">
        <v>13.869899999999999</v>
      </c>
    </row>
    <row r="740" spans="1:3" x14ac:dyDescent="0.25">
      <c r="A740" s="47" t="s">
        <v>3715</v>
      </c>
      <c r="B740" s="64">
        <v>2.2966700000000002</v>
      </c>
      <c r="C740" s="61">
        <v>3.2059700000000002</v>
      </c>
    </row>
    <row r="741" spans="1:3" x14ac:dyDescent="0.25">
      <c r="A741" s="47" t="s">
        <v>3717</v>
      </c>
      <c r="B741" s="64">
        <v>2100</v>
      </c>
      <c r="C741" s="61">
        <v>5.3337000000000003</v>
      </c>
    </row>
    <row r="742" spans="1:3" x14ac:dyDescent="0.25">
      <c r="A742" s="47" t="s">
        <v>3721</v>
      </c>
      <c r="B742" s="64">
        <v>14.804830000000001</v>
      </c>
      <c r="C742" s="61">
        <v>6.4469099999999999</v>
      </c>
    </row>
    <row r="743" spans="1:3" x14ac:dyDescent="0.25">
      <c r="A743" s="47" t="s">
        <v>3725</v>
      </c>
      <c r="B743" s="64">
        <v>9201.8125</v>
      </c>
      <c r="C743" s="61">
        <v>7.8883299999999998</v>
      </c>
    </row>
    <row r="744" spans="1:3" x14ac:dyDescent="0.25">
      <c r="A744" s="47" t="s">
        <v>3759</v>
      </c>
      <c r="B744" s="64">
        <v>2.9000000000000001E-2</v>
      </c>
      <c r="C744" s="61">
        <v>5.3902900000000002</v>
      </c>
    </row>
    <row r="745" spans="1:3" x14ac:dyDescent="0.25">
      <c r="A745" s="47" t="s">
        <v>3765</v>
      </c>
      <c r="B745" s="64">
        <v>2.8</v>
      </c>
      <c r="C745" s="61">
        <v>10.19613</v>
      </c>
    </row>
    <row r="746" spans="1:3" x14ac:dyDescent="0.25">
      <c r="A746" s="47" t="s">
        <v>3768</v>
      </c>
      <c r="B746" s="64">
        <v>3.3</v>
      </c>
      <c r="C746" s="61">
        <v>11.42896</v>
      </c>
    </row>
    <row r="747" spans="1:3" x14ac:dyDescent="0.25">
      <c r="A747" s="47" t="s">
        <v>3771</v>
      </c>
      <c r="B747" s="64">
        <v>1.1000000000000001</v>
      </c>
      <c r="C747" s="61">
        <v>11.433960000000001</v>
      </c>
    </row>
    <row r="748" spans="1:3" x14ac:dyDescent="0.25">
      <c r="A748" s="47" t="s">
        <v>3773</v>
      </c>
      <c r="B748" s="64">
        <v>2.9000000000000001E-2</v>
      </c>
      <c r="C748" s="61">
        <v>5.4507099999999999</v>
      </c>
    </row>
    <row r="749" spans="1:3" x14ac:dyDescent="0.25">
      <c r="A749" s="47" t="s">
        <v>3776</v>
      </c>
      <c r="B749" s="64">
        <v>2.9000000000000001E-2</v>
      </c>
      <c r="C749" s="61">
        <v>4.2757800000000001</v>
      </c>
    </row>
    <row r="750" spans="1:3" x14ac:dyDescent="0.25">
      <c r="A750" s="47" t="s">
        <v>3796</v>
      </c>
      <c r="B750" s="64">
        <v>0.38</v>
      </c>
      <c r="C750" s="61">
        <v>2.6676500000000001</v>
      </c>
    </row>
    <row r="751" spans="1:3" x14ac:dyDescent="0.25">
      <c r="A751" s="47" t="s">
        <v>3835</v>
      </c>
      <c r="B751" s="64">
        <v>38.25</v>
      </c>
      <c r="C751" s="61">
        <v>8.4</v>
      </c>
    </row>
    <row r="752" spans="1:3" x14ac:dyDescent="0.25">
      <c r="A752" s="47" t="s">
        <v>3852</v>
      </c>
      <c r="B752" s="64">
        <v>933.67600000000004</v>
      </c>
      <c r="C752" s="61">
        <v>4.9333200000000001</v>
      </c>
    </row>
    <row r="753" spans="1:3" x14ac:dyDescent="0.25">
      <c r="A753" s="47" t="s">
        <v>3856</v>
      </c>
      <c r="B753" s="64">
        <v>22</v>
      </c>
      <c r="C753" s="61">
        <v>7.7002899999999999</v>
      </c>
    </row>
    <row r="754" spans="1:3" x14ac:dyDescent="0.25">
      <c r="A754" s="47" t="s">
        <v>3859</v>
      </c>
      <c r="B754" s="64">
        <v>22</v>
      </c>
      <c r="C754" s="61">
        <v>8.4800799999999992</v>
      </c>
    </row>
    <row r="755" spans="1:3" x14ac:dyDescent="0.25">
      <c r="A755" s="47" t="s">
        <v>3862</v>
      </c>
      <c r="B755" s="64">
        <v>22</v>
      </c>
      <c r="C755" s="61">
        <v>4.6694300000000002</v>
      </c>
    </row>
    <row r="756" spans="1:3" x14ac:dyDescent="0.25">
      <c r="A756" s="47" t="s">
        <v>3865</v>
      </c>
      <c r="B756" s="64">
        <v>0.15</v>
      </c>
      <c r="C756" s="61">
        <v>61.460140000000003</v>
      </c>
    </row>
    <row r="757" spans="1:3" x14ac:dyDescent="0.25">
      <c r="A757" s="47" t="s">
        <v>3869</v>
      </c>
      <c r="B757" s="64">
        <v>0.3</v>
      </c>
      <c r="C757" s="61">
        <v>4.6295999999999999</v>
      </c>
    </row>
    <row r="758" spans="1:3" x14ac:dyDescent="0.25">
      <c r="A758" s="47" t="s">
        <v>3885</v>
      </c>
      <c r="B758" s="64">
        <v>22</v>
      </c>
      <c r="C758" s="61">
        <v>24.12321</v>
      </c>
    </row>
    <row r="759" spans="1:3" x14ac:dyDescent="0.25">
      <c r="A759" s="47" t="s">
        <v>3888</v>
      </c>
      <c r="B759" s="64">
        <v>32.4876</v>
      </c>
      <c r="C759" s="61">
        <v>6.4575500000000003</v>
      </c>
    </row>
    <row r="760" spans="1:3" x14ac:dyDescent="0.25">
      <c r="A760" s="47" t="s">
        <v>3892</v>
      </c>
      <c r="B760" s="64">
        <v>3.2366700000000002</v>
      </c>
      <c r="C760" s="61">
        <v>6.1288200000000002</v>
      </c>
    </row>
    <row r="761" spans="1:3" x14ac:dyDescent="0.25">
      <c r="A761" s="47" t="s">
        <v>3895</v>
      </c>
      <c r="B761" s="64">
        <v>22</v>
      </c>
      <c r="C761" s="61">
        <v>15.71306</v>
      </c>
    </row>
    <row r="762" spans="1:3" x14ac:dyDescent="0.25">
      <c r="A762" s="47" t="s">
        <v>3898</v>
      </c>
      <c r="B762" s="64">
        <v>18.3185</v>
      </c>
      <c r="C762" s="61">
        <v>5.1095600000000001</v>
      </c>
    </row>
    <row r="763" spans="1:3" x14ac:dyDescent="0.25">
      <c r="A763" s="47" t="s">
        <v>3906</v>
      </c>
      <c r="B763" s="64">
        <v>160</v>
      </c>
      <c r="C763" s="61">
        <v>12.90038</v>
      </c>
    </row>
    <row r="764" spans="1:3" x14ac:dyDescent="0.25">
      <c r="A764" s="47" t="s">
        <v>3909</v>
      </c>
      <c r="B764" s="64">
        <v>160</v>
      </c>
      <c r="C764" s="61">
        <v>7.6961599999999999</v>
      </c>
    </row>
    <row r="765" spans="1:3" x14ac:dyDescent="0.25">
      <c r="A765" s="47" t="s">
        <v>3912</v>
      </c>
      <c r="B765" s="64">
        <v>160</v>
      </c>
      <c r="C765" s="61">
        <v>10.358269999999999</v>
      </c>
    </row>
    <row r="766" spans="1:3" x14ac:dyDescent="0.25">
      <c r="A766" s="47" t="s">
        <v>3915</v>
      </c>
      <c r="B766" s="64">
        <v>11.75</v>
      </c>
      <c r="C766" s="61">
        <v>8.1436899999999994</v>
      </c>
    </row>
    <row r="767" spans="1:3" x14ac:dyDescent="0.25">
      <c r="A767" s="47" t="s">
        <v>3943</v>
      </c>
      <c r="B767" s="64">
        <v>0.03</v>
      </c>
      <c r="C767" s="61">
        <v>4.9137399999999998</v>
      </c>
    </row>
    <row r="768" spans="1:3" x14ac:dyDescent="0.25">
      <c r="A768" s="47" t="s">
        <v>3952</v>
      </c>
      <c r="B768" s="64">
        <v>38.1</v>
      </c>
      <c r="C768" s="61">
        <v>7.6694199999999997</v>
      </c>
    </row>
    <row r="769" spans="1:3" x14ac:dyDescent="0.25">
      <c r="A769" s="47" t="s">
        <v>3955</v>
      </c>
      <c r="B769" s="64">
        <v>0.24</v>
      </c>
      <c r="C769" s="61">
        <v>4.7243199999999996</v>
      </c>
    </row>
    <row r="770" spans="1:3" x14ac:dyDescent="0.25">
      <c r="A770" s="47" t="s">
        <v>3958</v>
      </c>
      <c r="B770" s="64">
        <v>3.46</v>
      </c>
      <c r="C770" s="61">
        <v>2.7049799999999999</v>
      </c>
    </row>
    <row r="771" spans="1:3" x14ac:dyDescent="0.25">
      <c r="A771" s="47" t="s">
        <v>3965</v>
      </c>
      <c r="B771" s="64">
        <v>9.84</v>
      </c>
      <c r="C771" s="61">
        <v>15.54623</v>
      </c>
    </row>
    <row r="772" spans="1:3" x14ac:dyDescent="0.25">
      <c r="A772" s="47" t="s">
        <v>3969</v>
      </c>
      <c r="B772" s="64">
        <v>5.93</v>
      </c>
      <c r="C772" s="61">
        <v>13.03266</v>
      </c>
    </row>
    <row r="773" spans="1:3" x14ac:dyDescent="0.25">
      <c r="A773" s="47" t="s">
        <v>3972</v>
      </c>
      <c r="B773" s="64">
        <v>16.823329999999999</v>
      </c>
      <c r="C773" s="61">
        <v>12.45458</v>
      </c>
    </row>
    <row r="774" spans="1:3" x14ac:dyDescent="0.25">
      <c r="A774" s="47" t="s">
        <v>3976</v>
      </c>
      <c r="B774" s="64">
        <v>16.823329999999999</v>
      </c>
      <c r="C774" s="61">
        <v>10.96377</v>
      </c>
    </row>
    <row r="775" spans="1:3" x14ac:dyDescent="0.25">
      <c r="A775" s="47" t="s">
        <v>3979</v>
      </c>
      <c r="B775" s="64">
        <v>7.63</v>
      </c>
      <c r="C775" s="61">
        <v>15.95407</v>
      </c>
    </row>
    <row r="776" spans="1:3" x14ac:dyDescent="0.25">
      <c r="A776" s="47" t="s">
        <v>4007</v>
      </c>
      <c r="B776" s="64">
        <v>426</v>
      </c>
      <c r="C776" s="61">
        <v>3.3</v>
      </c>
    </row>
    <row r="777" spans="1:3" x14ac:dyDescent="0.25">
      <c r="A777" s="47" t="s">
        <v>4011</v>
      </c>
      <c r="B777" s="64">
        <v>1.1000000000000001</v>
      </c>
      <c r="C777" s="61">
        <v>2.4</v>
      </c>
    </row>
    <row r="778" spans="1:3" x14ac:dyDescent="0.25">
      <c r="A778" s="47" t="s">
        <v>4015</v>
      </c>
      <c r="B778" s="64">
        <v>5.2470000000000003E-2</v>
      </c>
      <c r="C778" s="61">
        <v>49.123669999999997</v>
      </c>
    </row>
    <row r="779" spans="1:3" x14ac:dyDescent="0.25">
      <c r="A779" s="47" t="s">
        <v>4022</v>
      </c>
      <c r="B779" s="64">
        <v>9.4</v>
      </c>
      <c r="C779" s="61">
        <v>7.43194</v>
      </c>
    </row>
    <row r="780" spans="1:3" x14ac:dyDescent="0.25">
      <c r="A780" s="47" t="s">
        <v>4026</v>
      </c>
      <c r="B780" s="64">
        <v>0.25</v>
      </c>
      <c r="C780" s="61">
        <v>0.13</v>
      </c>
    </row>
    <row r="781" spans="1:3" x14ac:dyDescent="0.25">
      <c r="A781" s="47" t="s">
        <v>4030</v>
      </c>
      <c r="B781" s="64">
        <v>14.804830000000001</v>
      </c>
      <c r="C781" s="61">
        <v>9.4202700000000004</v>
      </c>
    </row>
    <row r="782" spans="1:3" x14ac:dyDescent="0.25">
      <c r="A782" s="47" t="s">
        <v>4034</v>
      </c>
      <c r="B782" s="64">
        <v>112.5575</v>
      </c>
      <c r="C782" s="61">
        <v>46.137230000000002</v>
      </c>
    </row>
    <row r="783" spans="1:3" x14ac:dyDescent="0.25">
      <c r="A783" s="47" t="s">
        <v>4038</v>
      </c>
      <c r="B783" s="64">
        <v>51.25</v>
      </c>
      <c r="C783" s="61">
        <v>3.6</v>
      </c>
    </row>
    <row r="784" spans="1:3" x14ac:dyDescent="0.25">
      <c r="A784" s="47" t="s">
        <v>4042</v>
      </c>
      <c r="B784" s="64">
        <v>37.299999999999997</v>
      </c>
      <c r="C784" s="61">
        <v>50.032760000000003</v>
      </c>
    </row>
    <row r="785" spans="1:3" x14ac:dyDescent="0.25">
      <c r="A785" s="47" t="s">
        <v>4049</v>
      </c>
      <c r="B785" s="64">
        <v>24.55</v>
      </c>
      <c r="C785" s="61">
        <v>17.399010000000001</v>
      </c>
    </row>
    <row r="786" spans="1:3" x14ac:dyDescent="0.25">
      <c r="A786" s="47" t="s">
        <v>4052</v>
      </c>
      <c r="B786" s="64">
        <v>30</v>
      </c>
      <c r="C786" s="61">
        <v>3.1585899999999998</v>
      </c>
    </row>
    <row r="787" spans="1:3" x14ac:dyDescent="0.25">
      <c r="A787" s="47" t="s">
        <v>4056</v>
      </c>
      <c r="B787" s="64">
        <v>0.74</v>
      </c>
      <c r="C787" s="61">
        <v>7.6314000000000002</v>
      </c>
    </row>
    <row r="788" spans="1:3" x14ac:dyDescent="0.25">
      <c r="A788" s="47" t="s">
        <v>4082</v>
      </c>
      <c r="B788" s="64">
        <v>4.59</v>
      </c>
      <c r="C788" s="61">
        <v>5.9151600000000002</v>
      </c>
    </row>
    <row r="789" spans="1:3" x14ac:dyDescent="0.25">
      <c r="A789" s="47" t="s">
        <v>4088</v>
      </c>
      <c r="B789" s="64">
        <v>0.23</v>
      </c>
      <c r="C789" s="61">
        <v>3.12758</v>
      </c>
    </row>
    <row r="790" spans="1:3" x14ac:dyDescent="0.25">
      <c r="A790" s="47" t="s">
        <v>4090</v>
      </c>
      <c r="B790" s="64">
        <v>780</v>
      </c>
      <c r="C790" s="61">
        <v>2.9508299999999998</v>
      </c>
    </row>
    <row r="791" spans="1:3" x14ac:dyDescent="0.25">
      <c r="A791" s="47" t="s">
        <v>4103</v>
      </c>
      <c r="B791" s="64">
        <v>18.899999999999999</v>
      </c>
      <c r="C791" s="61">
        <v>3.0644100000000001</v>
      </c>
    </row>
    <row r="792" spans="1:3" x14ac:dyDescent="0.25">
      <c r="A792" s="47" t="s">
        <v>4106</v>
      </c>
      <c r="B792" s="64">
        <v>160</v>
      </c>
      <c r="C792" s="61">
        <v>9.4736200000000004</v>
      </c>
    </row>
    <row r="793" spans="1:3" x14ac:dyDescent="0.25">
      <c r="A793" s="47" t="s">
        <v>4109</v>
      </c>
      <c r="B793" s="64">
        <v>2.3E-2</v>
      </c>
      <c r="C793" s="61">
        <v>3.2268500000000002</v>
      </c>
    </row>
    <row r="794" spans="1:3" x14ac:dyDescent="0.25">
      <c r="A794" s="47" t="s">
        <v>4113</v>
      </c>
      <c r="B794" s="64">
        <v>8.1150000000000002</v>
      </c>
      <c r="C794" s="61">
        <v>3.0549599999999999</v>
      </c>
    </row>
    <row r="795" spans="1:3" x14ac:dyDescent="0.25">
      <c r="A795" s="47" t="s">
        <v>4116</v>
      </c>
      <c r="B795" s="64">
        <v>69</v>
      </c>
      <c r="C795" s="61">
        <v>18.199339999999999</v>
      </c>
    </row>
    <row r="796" spans="1:3" x14ac:dyDescent="0.25">
      <c r="A796" s="47" t="s">
        <v>4120</v>
      </c>
      <c r="B796" s="64">
        <v>229</v>
      </c>
      <c r="C796" s="61">
        <v>10.99818</v>
      </c>
    </row>
    <row r="797" spans="1:3" x14ac:dyDescent="0.25">
      <c r="A797" s="47" t="s">
        <v>4132</v>
      </c>
      <c r="B797" s="64">
        <v>1.6</v>
      </c>
      <c r="C797" s="61">
        <v>8.76586</v>
      </c>
    </row>
    <row r="798" spans="1:3" x14ac:dyDescent="0.25">
      <c r="A798" s="47" t="s">
        <v>4136</v>
      </c>
      <c r="B798" s="64">
        <v>3.55</v>
      </c>
      <c r="C798" s="61">
        <v>4.9637399999999996</v>
      </c>
    </row>
    <row r="799" spans="1:3" x14ac:dyDescent="0.25">
      <c r="A799" s="47" t="s">
        <v>4147</v>
      </c>
      <c r="B799" s="64">
        <v>23.6</v>
      </c>
      <c r="C799" s="61">
        <v>8.3218200000000007</v>
      </c>
    </row>
    <row r="800" spans="1:3" x14ac:dyDescent="0.25">
      <c r="A800" s="47" t="s">
        <v>4149</v>
      </c>
      <c r="B800" s="64">
        <v>7.7</v>
      </c>
      <c r="C800" s="61">
        <v>10.75112</v>
      </c>
    </row>
    <row r="801" spans="1:3" x14ac:dyDescent="0.25">
      <c r="A801" s="47" t="s">
        <v>4153</v>
      </c>
      <c r="B801" s="64">
        <v>20</v>
      </c>
      <c r="C801" s="61">
        <v>2.5895700000000001</v>
      </c>
    </row>
    <row r="802" spans="1:3" x14ac:dyDescent="0.25">
      <c r="A802" s="47" t="s">
        <v>4157</v>
      </c>
      <c r="B802" s="64">
        <v>138</v>
      </c>
      <c r="C802" s="61">
        <v>8.9629300000000001</v>
      </c>
    </row>
    <row r="803" spans="1:3" x14ac:dyDescent="0.25">
      <c r="A803" s="47" t="s">
        <v>4161</v>
      </c>
      <c r="B803" s="64">
        <v>879</v>
      </c>
      <c r="C803" s="61">
        <v>4.2157999999999998</v>
      </c>
    </row>
    <row r="804" spans="1:3" x14ac:dyDescent="0.25">
      <c r="A804" s="47" t="s">
        <v>4164</v>
      </c>
      <c r="B804" s="64">
        <v>58.3</v>
      </c>
      <c r="C804" s="61">
        <v>3.6699899999999999</v>
      </c>
    </row>
    <row r="805" spans="1:3" x14ac:dyDescent="0.25">
      <c r="A805" s="47" t="s">
        <v>4168</v>
      </c>
      <c r="B805" s="64">
        <v>449.17</v>
      </c>
      <c r="C805" s="61">
        <v>8.5198599999999995</v>
      </c>
    </row>
    <row r="806" spans="1:3" x14ac:dyDescent="0.25">
      <c r="A806" s="47" t="s">
        <v>4174</v>
      </c>
      <c r="B806" s="64">
        <v>4</v>
      </c>
      <c r="C806" s="61">
        <v>2.6198299999999999</v>
      </c>
    </row>
    <row r="807" spans="1:3" x14ac:dyDescent="0.25">
      <c r="A807" s="47" t="s">
        <v>4177</v>
      </c>
      <c r="B807" s="64">
        <v>12.56</v>
      </c>
      <c r="C807" s="61">
        <v>2.66249</v>
      </c>
    </row>
    <row r="808" spans="1:3" x14ac:dyDescent="0.25">
      <c r="A808" s="47" t="s">
        <v>4181</v>
      </c>
      <c r="B808" s="64">
        <v>5.2</v>
      </c>
      <c r="C808" s="61">
        <v>15.84318</v>
      </c>
    </row>
    <row r="809" spans="1:3" x14ac:dyDescent="0.25">
      <c r="A809" s="47" t="s">
        <v>4188</v>
      </c>
      <c r="B809" s="64">
        <v>0.158</v>
      </c>
      <c r="C809" s="61">
        <v>2.58575</v>
      </c>
    </row>
    <row r="810" spans="1:3" x14ac:dyDescent="0.25">
      <c r="A810" s="47" t="s">
        <v>4192</v>
      </c>
      <c r="B810" s="64">
        <v>0.25</v>
      </c>
      <c r="C810" s="61">
        <v>25.502189999999999</v>
      </c>
    </row>
    <row r="811" spans="1:3" x14ac:dyDescent="0.25">
      <c r="A811" s="47" t="s">
        <v>4196</v>
      </c>
      <c r="B811" s="64">
        <v>368.48649999999998</v>
      </c>
      <c r="C811" s="61">
        <v>56.403910000000003</v>
      </c>
    </row>
    <row r="812" spans="1:3" x14ac:dyDescent="0.25">
      <c r="A812" s="47" t="s">
        <v>4211</v>
      </c>
      <c r="B812" s="64">
        <v>7000</v>
      </c>
      <c r="C812" s="61">
        <v>6.0702800000000003</v>
      </c>
    </row>
    <row r="813" spans="1:3" x14ac:dyDescent="0.25">
      <c r="A813" s="47" t="s">
        <v>4215</v>
      </c>
      <c r="B813" s="64">
        <v>21.75</v>
      </c>
      <c r="C813" s="61">
        <v>4.8830299999999998</v>
      </c>
    </row>
    <row r="814" spans="1:3" x14ac:dyDescent="0.25">
      <c r="A814" s="47" t="s">
        <v>4219</v>
      </c>
      <c r="B814" s="64">
        <v>36</v>
      </c>
      <c r="C814" s="61">
        <v>5</v>
      </c>
    </row>
    <row r="815" spans="1:3" x14ac:dyDescent="0.25">
      <c r="A815" s="47" t="s">
        <v>4223</v>
      </c>
      <c r="B815" s="64">
        <v>153.85</v>
      </c>
      <c r="C815" s="61">
        <v>19.31888</v>
      </c>
    </row>
    <row r="816" spans="1:3" x14ac:dyDescent="0.25">
      <c r="A816" s="47" t="s">
        <v>4226</v>
      </c>
      <c r="B816" s="64">
        <v>35</v>
      </c>
      <c r="C816" s="61">
        <v>17.01727</v>
      </c>
    </row>
    <row r="817" spans="1:3" x14ac:dyDescent="0.25">
      <c r="A817" s="47" t="s">
        <v>4230</v>
      </c>
      <c r="B817" s="64">
        <v>3.2</v>
      </c>
      <c r="C817" s="61">
        <v>17.421410000000002</v>
      </c>
    </row>
    <row r="818" spans="1:3" x14ac:dyDescent="0.25">
      <c r="A818" s="47" t="s">
        <v>4234</v>
      </c>
      <c r="B818" s="64">
        <v>4.3499999999999996</v>
      </c>
      <c r="C818" s="61">
        <v>37.63935</v>
      </c>
    </row>
    <row r="819" spans="1:3" x14ac:dyDescent="0.25">
      <c r="A819" s="47" t="s">
        <v>4238</v>
      </c>
      <c r="B819" s="64">
        <v>112</v>
      </c>
      <c r="C819" s="61">
        <v>4.7720000000000002</v>
      </c>
    </row>
    <row r="820" spans="1:3" x14ac:dyDescent="0.25">
      <c r="A820" s="47" t="s">
        <v>4241</v>
      </c>
      <c r="B820" s="64">
        <v>66.45</v>
      </c>
      <c r="C820" s="61">
        <v>75.072640000000007</v>
      </c>
    </row>
    <row r="821" spans="1:3" x14ac:dyDescent="0.25">
      <c r="A821" s="47" t="s">
        <v>4245</v>
      </c>
      <c r="B821" s="64">
        <v>40.200000000000003</v>
      </c>
      <c r="C821" s="61">
        <v>22.073029999999999</v>
      </c>
    </row>
    <row r="822" spans="1:3" x14ac:dyDescent="0.25">
      <c r="A822" s="47" t="s">
        <v>4248</v>
      </c>
      <c r="B822" s="64">
        <v>1500</v>
      </c>
      <c r="C822" s="61">
        <v>8.0572099999999995</v>
      </c>
    </row>
    <row r="823" spans="1:3" x14ac:dyDescent="0.25">
      <c r="A823" s="47" t="s">
        <v>4251</v>
      </c>
      <c r="B823" s="64">
        <v>68</v>
      </c>
      <c r="C823" s="61">
        <v>111.51922</v>
      </c>
    </row>
    <row r="824" spans="1:3" x14ac:dyDescent="0.25">
      <c r="A824" s="47" t="s">
        <v>4254</v>
      </c>
      <c r="B824" s="64">
        <v>21.94</v>
      </c>
      <c r="C824" s="61">
        <v>2.5833599999999999</v>
      </c>
    </row>
    <row r="825" spans="1:3" x14ac:dyDescent="0.25">
      <c r="A825" s="47" t="s">
        <v>4260</v>
      </c>
      <c r="B825" s="64">
        <v>2.16</v>
      </c>
      <c r="C825" s="61">
        <v>2.7609400000000002</v>
      </c>
    </row>
    <row r="826" spans="1:3" x14ac:dyDescent="0.25">
      <c r="A826" s="47" t="s">
        <v>4262</v>
      </c>
      <c r="B826" s="64">
        <v>22</v>
      </c>
      <c r="C826" s="61">
        <v>20.261649999999999</v>
      </c>
    </row>
    <row r="827" spans="1:3" x14ac:dyDescent="0.25">
      <c r="A827" s="47" t="s">
        <v>4266</v>
      </c>
      <c r="B827" s="64">
        <v>845</v>
      </c>
      <c r="C827" s="61">
        <v>11.349550000000001</v>
      </c>
    </row>
    <row r="828" spans="1:3" x14ac:dyDescent="0.25">
      <c r="A828" s="47" t="s">
        <v>4269</v>
      </c>
      <c r="B828" s="64">
        <v>0.30249999999999999</v>
      </c>
      <c r="C828" s="61">
        <v>2.8969499999999999</v>
      </c>
    </row>
    <row r="829" spans="1:3" x14ac:dyDescent="0.25">
      <c r="A829" s="47" t="s">
        <v>4273</v>
      </c>
      <c r="B829" s="64">
        <v>44.93</v>
      </c>
      <c r="C829" s="61">
        <v>4.40991</v>
      </c>
    </row>
    <row r="830" spans="1:3" x14ac:dyDescent="0.25">
      <c r="A830" s="47" t="s">
        <v>4276</v>
      </c>
      <c r="B830" s="64">
        <v>0.28299999999999997</v>
      </c>
      <c r="C830" s="61">
        <v>1E-3</v>
      </c>
    </row>
    <row r="831" spans="1:3" x14ac:dyDescent="0.25">
      <c r="A831" s="47" t="s">
        <v>4283</v>
      </c>
      <c r="B831" s="64">
        <v>104</v>
      </c>
      <c r="C831" s="61">
        <v>4.4855600000000004</v>
      </c>
    </row>
    <row r="832" spans="1:3" x14ac:dyDescent="0.25">
      <c r="A832" s="47" t="s">
        <v>4286</v>
      </c>
      <c r="B832" s="64">
        <v>60503.775000000001</v>
      </c>
      <c r="C832" s="61">
        <v>5.3214100000000002</v>
      </c>
    </row>
    <row r="833" spans="1:3" x14ac:dyDescent="0.25">
      <c r="A833" s="47" t="s">
        <v>4289</v>
      </c>
      <c r="B833" s="64">
        <v>200</v>
      </c>
      <c r="C833" s="61">
        <v>228</v>
      </c>
    </row>
    <row r="834" spans="1:3" x14ac:dyDescent="0.25">
      <c r="A834" s="47" t="s">
        <v>4293</v>
      </c>
      <c r="B834" s="63">
        <v>9.4499999999999998E-4</v>
      </c>
      <c r="C834" s="61">
        <v>34.338790000000003</v>
      </c>
    </row>
    <row r="835" spans="1:3" x14ac:dyDescent="0.25">
      <c r="A835" s="47" t="s">
        <v>4297</v>
      </c>
      <c r="B835" s="64">
        <v>368.48649999999998</v>
      </c>
      <c r="C835" s="61">
        <v>10.40498</v>
      </c>
    </row>
    <row r="836" spans="1:3" x14ac:dyDescent="0.25">
      <c r="A836" s="47" t="s">
        <v>4304</v>
      </c>
      <c r="B836" s="64">
        <v>32.4876</v>
      </c>
      <c r="C836" s="61">
        <v>2.8912300000000002</v>
      </c>
    </row>
    <row r="837" spans="1:3" x14ac:dyDescent="0.25">
      <c r="A837" s="47" t="s">
        <v>4307</v>
      </c>
      <c r="B837" s="64">
        <v>14.7</v>
      </c>
      <c r="C837" s="61">
        <v>4.9267099999999999</v>
      </c>
    </row>
    <row r="838" spans="1:3" x14ac:dyDescent="0.25">
      <c r="A838" s="47" t="s">
        <v>4317</v>
      </c>
      <c r="B838" s="64">
        <v>1.4</v>
      </c>
      <c r="C838" s="61">
        <v>17.984860000000001</v>
      </c>
    </row>
    <row r="839" spans="1:3" x14ac:dyDescent="0.25">
      <c r="A839" s="47" t="s">
        <v>4328</v>
      </c>
      <c r="B839" s="64">
        <v>1831</v>
      </c>
      <c r="C839" s="61">
        <v>7.3196500000000002</v>
      </c>
    </row>
    <row r="840" spans="1:3" x14ac:dyDescent="0.25">
      <c r="A840" s="47" t="s">
        <v>4334</v>
      </c>
      <c r="B840" s="64">
        <v>25</v>
      </c>
      <c r="C840" s="61">
        <v>6.5597000000000003</v>
      </c>
    </row>
    <row r="841" spans="1:3" x14ac:dyDescent="0.25">
      <c r="A841" s="47" t="s">
        <v>4337</v>
      </c>
      <c r="B841" s="64">
        <v>26.21</v>
      </c>
      <c r="C841" s="61">
        <v>7.9480700000000004</v>
      </c>
    </row>
    <row r="842" spans="1:3" x14ac:dyDescent="0.25">
      <c r="A842" s="47" t="s">
        <v>4341</v>
      </c>
      <c r="B842" s="64">
        <v>8.6095000000000006</v>
      </c>
      <c r="C842" s="61">
        <v>7.5075900000000004</v>
      </c>
    </row>
    <row r="843" spans="1:3" x14ac:dyDescent="0.25">
      <c r="A843" s="47" t="s">
        <v>4343</v>
      </c>
      <c r="B843" s="64">
        <v>63.62</v>
      </c>
      <c r="C843" s="61">
        <v>12.31756</v>
      </c>
    </row>
    <row r="844" spans="1:3" x14ac:dyDescent="0.25">
      <c r="A844" s="47" t="s">
        <v>4347</v>
      </c>
      <c r="B844" s="64">
        <v>1.4</v>
      </c>
      <c r="C844" s="61">
        <v>0.02</v>
      </c>
    </row>
    <row r="845" spans="1:3" x14ac:dyDescent="0.25">
      <c r="A845" s="47" t="s">
        <v>4351</v>
      </c>
      <c r="B845" s="64">
        <v>8.3300000000000006E-3</v>
      </c>
      <c r="C845" s="61">
        <v>4.9922700000000004</v>
      </c>
    </row>
    <row r="846" spans="1:3" x14ac:dyDescent="0.25">
      <c r="A846" s="47" t="s">
        <v>4355</v>
      </c>
      <c r="B846" s="64">
        <v>16</v>
      </c>
      <c r="C846" s="61">
        <v>78</v>
      </c>
    </row>
    <row r="847" spans="1:3" x14ac:dyDescent="0.25">
      <c r="A847" s="47" t="s">
        <v>4359</v>
      </c>
      <c r="B847" s="64">
        <v>13.5</v>
      </c>
      <c r="C847" s="61">
        <v>20</v>
      </c>
    </row>
    <row r="848" spans="1:3" x14ac:dyDescent="0.25">
      <c r="A848" s="47" t="s">
        <v>4362</v>
      </c>
      <c r="B848" s="64">
        <v>5.8</v>
      </c>
      <c r="C848" s="61">
        <v>10</v>
      </c>
    </row>
    <row r="849" spans="1:3" x14ac:dyDescent="0.25">
      <c r="A849" s="47" t="s">
        <v>4365</v>
      </c>
      <c r="B849" s="64">
        <v>118</v>
      </c>
      <c r="C849" s="61">
        <v>7.6408699999999996</v>
      </c>
    </row>
    <row r="850" spans="1:3" x14ac:dyDescent="0.25">
      <c r="A850" s="47" t="s">
        <v>4369</v>
      </c>
      <c r="B850" s="64">
        <v>13.5</v>
      </c>
      <c r="C850" s="61">
        <v>10</v>
      </c>
    </row>
    <row r="851" spans="1:3" x14ac:dyDescent="0.25">
      <c r="A851" s="47" t="s">
        <v>4385</v>
      </c>
      <c r="B851" s="64">
        <v>79.8</v>
      </c>
      <c r="C851" s="61">
        <v>278</v>
      </c>
    </row>
    <row r="852" spans="1:3" x14ac:dyDescent="0.25">
      <c r="A852" s="47" t="s">
        <v>4387</v>
      </c>
      <c r="B852" s="64">
        <v>14</v>
      </c>
      <c r="C852" s="61">
        <v>45.579920000000001</v>
      </c>
    </row>
    <row r="853" spans="1:3" x14ac:dyDescent="0.25">
      <c r="A853" s="47" t="s">
        <v>4391</v>
      </c>
      <c r="B853" s="64">
        <v>327</v>
      </c>
      <c r="C853" s="61">
        <v>72</v>
      </c>
    </row>
    <row r="854" spans="1:3" x14ac:dyDescent="0.25">
      <c r="A854" s="47" t="s">
        <v>4395</v>
      </c>
      <c r="B854" s="64">
        <v>1076</v>
      </c>
      <c r="C854" s="61">
        <v>19.72288</v>
      </c>
    </row>
    <row r="855" spans="1:3" x14ac:dyDescent="0.25">
      <c r="A855" s="47" t="s">
        <v>4398</v>
      </c>
      <c r="B855" s="64">
        <v>1.4</v>
      </c>
      <c r="C855" s="61">
        <v>0.02</v>
      </c>
    </row>
    <row r="856" spans="1:3" x14ac:dyDescent="0.25">
      <c r="A856" s="47" t="s">
        <v>4402</v>
      </c>
      <c r="B856" s="64">
        <v>0.55000000000000004</v>
      </c>
      <c r="C856" s="61">
        <v>2.5835300000000001</v>
      </c>
    </row>
    <row r="857" spans="1:3" x14ac:dyDescent="0.25">
      <c r="A857" s="47" t="s">
        <v>4417</v>
      </c>
      <c r="B857" s="64">
        <v>247.03570999999999</v>
      </c>
      <c r="C857" s="61">
        <v>14.2691</v>
      </c>
    </row>
    <row r="858" spans="1:3" x14ac:dyDescent="0.25">
      <c r="A858" s="47" t="s">
        <v>4419</v>
      </c>
      <c r="B858" s="63">
        <v>3.6333300000000003E-4</v>
      </c>
      <c r="C858" s="61">
        <v>18.021059999999999</v>
      </c>
    </row>
    <row r="859" spans="1:3" x14ac:dyDescent="0.25">
      <c r="A859" s="47" t="s">
        <v>4422</v>
      </c>
      <c r="B859" s="64">
        <v>185.2</v>
      </c>
      <c r="C859" s="61">
        <v>2.76512</v>
      </c>
    </row>
    <row r="860" spans="1:3" x14ac:dyDescent="0.25">
      <c r="A860" s="47" t="s">
        <v>4426</v>
      </c>
      <c r="B860" s="64">
        <v>25</v>
      </c>
      <c r="C860" s="61">
        <v>5.7533899999999996</v>
      </c>
    </row>
    <row r="861" spans="1:3" x14ac:dyDescent="0.25">
      <c r="A861" s="47" t="s">
        <v>4429</v>
      </c>
      <c r="B861" s="64">
        <v>5.76</v>
      </c>
      <c r="C861" s="61">
        <v>3.7526999999999999</v>
      </c>
    </row>
    <row r="862" spans="1:3" x14ac:dyDescent="0.25">
      <c r="A862" s="47" t="s">
        <v>4433</v>
      </c>
      <c r="B862" s="64">
        <v>4.2</v>
      </c>
      <c r="C862" s="61">
        <v>3.9237099999999998</v>
      </c>
    </row>
    <row r="863" spans="1:3" x14ac:dyDescent="0.25">
      <c r="A863" s="47" t="s">
        <v>4436</v>
      </c>
      <c r="B863" s="64">
        <v>3.5</v>
      </c>
      <c r="C863" s="61">
        <v>4.3987600000000002</v>
      </c>
    </row>
    <row r="864" spans="1:3" x14ac:dyDescent="0.25">
      <c r="A864" s="47" t="s">
        <v>4439</v>
      </c>
      <c r="B864" s="64">
        <v>4.0650000000000004</v>
      </c>
      <c r="C864" s="61">
        <v>6.08901</v>
      </c>
    </row>
    <row r="865" spans="1:3" x14ac:dyDescent="0.25">
      <c r="A865" s="47" t="s">
        <v>4445</v>
      </c>
      <c r="B865" s="64">
        <v>2.4900000000000002</v>
      </c>
      <c r="C865" s="61">
        <v>2.74187</v>
      </c>
    </row>
    <row r="866" spans="1:3" x14ac:dyDescent="0.25">
      <c r="A866" s="47" t="s">
        <v>4448</v>
      </c>
      <c r="B866" s="64">
        <v>1.71</v>
      </c>
      <c r="C866" s="61">
        <v>6.3855700000000004</v>
      </c>
    </row>
    <row r="867" spans="1:3" x14ac:dyDescent="0.25">
      <c r="A867" s="47" t="s">
        <v>4452</v>
      </c>
      <c r="B867" s="64">
        <v>50</v>
      </c>
      <c r="C867" s="61">
        <v>33.25647</v>
      </c>
    </row>
    <row r="868" spans="1:3" x14ac:dyDescent="0.25">
      <c r="A868" s="47" t="s">
        <v>4459</v>
      </c>
      <c r="B868" s="64">
        <v>6.7519999999999998</v>
      </c>
      <c r="C868" s="61">
        <v>11.84707</v>
      </c>
    </row>
    <row r="869" spans="1:3" x14ac:dyDescent="0.25">
      <c r="A869" s="47" t="s">
        <v>4478</v>
      </c>
      <c r="B869" s="64">
        <v>339.90499999999997</v>
      </c>
      <c r="C869" s="61">
        <v>3.0117099999999999</v>
      </c>
    </row>
    <row r="870" spans="1:3" x14ac:dyDescent="0.25">
      <c r="A870" s="47" t="s">
        <v>4482</v>
      </c>
      <c r="B870" s="64">
        <v>13.5</v>
      </c>
      <c r="C870" s="61">
        <v>3.9687600000000001</v>
      </c>
    </row>
    <row r="871" spans="1:3" x14ac:dyDescent="0.25">
      <c r="A871" s="47" t="s">
        <v>4486</v>
      </c>
      <c r="B871" s="64">
        <v>24.053059999999999</v>
      </c>
      <c r="C871" s="61">
        <v>8.9956700000000005</v>
      </c>
    </row>
    <row r="872" spans="1:3" x14ac:dyDescent="0.25">
      <c r="A872" s="47" t="s">
        <v>4490</v>
      </c>
      <c r="B872" s="64">
        <v>111.86944</v>
      </c>
      <c r="C872" s="61">
        <v>214.51599999999999</v>
      </c>
    </row>
    <row r="873" spans="1:3" x14ac:dyDescent="0.25">
      <c r="A873" s="47" t="s">
        <v>4494</v>
      </c>
      <c r="B873" s="64">
        <v>22</v>
      </c>
      <c r="C873" s="61">
        <v>10.240539999999999</v>
      </c>
    </row>
    <row r="874" spans="1:3" x14ac:dyDescent="0.25">
      <c r="A874" s="47" t="s">
        <v>4497</v>
      </c>
      <c r="B874" s="64">
        <v>79.479489999999998</v>
      </c>
      <c r="C874" s="61">
        <v>2.8736199999999998</v>
      </c>
    </row>
    <row r="875" spans="1:3" x14ac:dyDescent="0.25">
      <c r="A875" s="47" t="s">
        <v>4504</v>
      </c>
      <c r="B875" s="64">
        <v>45.92333</v>
      </c>
      <c r="C875" s="61">
        <v>2.7815500000000002</v>
      </c>
    </row>
    <row r="876" spans="1:3" x14ac:dyDescent="0.25">
      <c r="A876" s="47" t="s">
        <v>4508</v>
      </c>
      <c r="B876" s="64">
        <v>1.3</v>
      </c>
      <c r="C876" s="61">
        <v>11.981719999999999</v>
      </c>
    </row>
    <row r="877" spans="1:3" x14ac:dyDescent="0.25">
      <c r="A877" s="47" t="s">
        <v>4511</v>
      </c>
      <c r="B877" s="64">
        <v>47</v>
      </c>
      <c r="C877" s="61">
        <v>6.85677</v>
      </c>
    </row>
    <row r="878" spans="1:3" x14ac:dyDescent="0.25">
      <c r="A878" s="47" t="s">
        <v>4514</v>
      </c>
      <c r="B878" s="64">
        <v>79.479489999999998</v>
      </c>
      <c r="C878" s="61">
        <v>3.0102500000000001</v>
      </c>
    </row>
    <row r="879" spans="1:3" x14ac:dyDescent="0.25">
      <c r="A879" s="47" t="s">
        <v>4520</v>
      </c>
      <c r="B879" s="64">
        <v>30</v>
      </c>
      <c r="C879" s="61">
        <v>17.946840000000002</v>
      </c>
    </row>
    <row r="880" spans="1:3" x14ac:dyDescent="0.25">
      <c r="A880" s="47" t="s">
        <v>4535</v>
      </c>
      <c r="B880" s="64">
        <v>2.8666700000000001</v>
      </c>
      <c r="C880" s="61">
        <v>3.0904500000000001</v>
      </c>
    </row>
    <row r="881" spans="1:3" x14ac:dyDescent="0.25">
      <c r="A881" s="47" t="s">
        <v>4539</v>
      </c>
      <c r="B881" s="64">
        <v>18.3185</v>
      </c>
      <c r="C881" s="61">
        <v>9.4451199999999993</v>
      </c>
    </row>
    <row r="882" spans="1:3" x14ac:dyDescent="0.25">
      <c r="A882" s="47" t="s">
        <v>4545</v>
      </c>
      <c r="B882" s="64">
        <v>4.3575499999999998</v>
      </c>
      <c r="C882" s="61">
        <v>26.410699999999999</v>
      </c>
    </row>
    <row r="883" spans="1:3" x14ac:dyDescent="0.25">
      <c r="A883" s="47" t="s">
        <v>4548</v>
      </c>
      <c r="B883" s="64">
        <v>4.3575499999999998</v>
      </c>
      <c r="C883" s="61">
        <v>4.2307499999999996</v>
      </c>
    </row>
    <row r="884" spans="1:3" x14ac:dyDescent="0.25">
      <c r="A884" s="47" t="s">
        <v>4552</v>
      </c>
      <c r="B884" s="64">
        <v>71</v>
      </c>
      <c r="C884" s="61">
        <v>3.8826000000000001</v>
      </c>
    </row>
    <row r="885" spans="1:3" x14ac:dyDescent="0.25">
      <c r="A885" s="47" t="s">
        <v>4555</v>
      </c>
      <c r="B885" s="64">
        <v>0.29199999999999998</v>
      </c>
      <c r="C885" s="61">
        <v>2.75366</v>
      </c>
    </row>
    <row r="886" spans="1:3" x14ac:dyDescent="0.25">
      <c r="A886" s="47" t="s">
        <v>4583</v>
      </c>
      <c r="B886" s="64">
        <v>879</v>
      </c>
      <c r="C886" s="61">
        <v>8.0000000000000002E-3</v>
      </c>
    </row>
    <row r="887" spans="1:3" x14ac:dyDescent="0.25">
      <c r="A887" s="47" t="s">
        <v>4607</v>
      </c>
      <c r="B887" s="64">
        <v>14.804830000000001</v>
      </c>
      <c r="C887" s="61">
        <v>5.8263499999999997</v>
      </c>
    </row>
    <row r="888" spans="1:3" x14ac:dyDescent="0.25">
      <c r="A888" s="47" t="s">
        <v>4611</v>
      </c>
      <c r="B888" s="64">
        <v>79.479489999999998</v>
      </c>
      <c r="C888" s="61">
        <v>6.2245299999999997</v>
      </c>
    </row>
    <row r="889" spans="1:3" x14ac:dyDescent="0.25">
      <c r="A889" s="47" t="s">
        <v>4614</v>
      </c>
      <c r="B889" s="64">
        <v>14.804830000000001</v>
      </c>
      <c r="C889" s="61">
        <v>7.2252400000000003</v>
      </c>
    </row>
    <row r="890" spans="1:3" x14ac:dyDescent="0.25">
      <c r="A890" s="47" t="s">
        <v>4617</v>
      </c>
      <c r="B890" s="64">
        <v>45.1</v>
      </c>
      <c r="C890" s="61">
        <v>6.5980499999999997</v>
      </c>
    </row>
    <row r="891" spans="1:3" x14ac:dyDescent="0.25">
      <c r="A891" s="47" t="s">
        <v>4620</v>
      </c>
      <c r="B891" s="64">
        <v>9.84</v>
      </c>
      <c r="C891" s="61">
        <v>2.7448199999999998</v>
      </c>
    </row>
    <row r="892" spans="1:3" x14ac:dyDescent="0.25">
      <c r="A892" s="47" t="s">
        <v>4622</v>
      </c>
      <c r="B892" s="64">
        <v>3.3</v>
      </c>
      <c r="C892" s="61">
        <v>3.6554099999999998</v>
      </c>
    </row>
    <row r="893" spans="1:3" x14ac:dyDescent="0.25">
      <c r="A893" s="47" t="s">
        <v>4626</v>
      </c>
      <c r="B893" s="64">
        <v>900</v>
      </c>
      <c r="C893" s="61">
        <v>2.6065499999999999</v>
      </c>
    </row>
    <row r="894" spans="1:3" x14ac:dyDescent="0.25">
      <c r="A894" s="47" t="s">
        <v>4630</v>
      </c>
      <c r="B894" s="64">
        <v>185.2</v>
      </c>
      <c r="C894" s="61">
        <v>2.7651300000000001</v>
      </c>
    </row>
    <row r="895" spans="1:3" x14ac:dyDescent="0.25">
      <c r="A895" s="47" t="s">
        <v>4642</v>
      </c>
      <c r="B895" s="64">
        <v>3011</v>
      </c>
      <c r="C895" s="61">
        <v>3.30552</v>
      </c>
    </row>
    <row r="896" spans="1:3" x14ac:dyDescent="0.25">
      <c r="A896" s="47" t="s">
        <v>4646</v>
      </c>
      <c r="B896" s="64">
        <v>3.4000000000000002E-2</v>
      </c>
      <c r="C896" s="61">
        <v>0.34</v>
      </c>
    </row>
    <row r="897" spans="1:3" x14ac:dyDescent="0.25">
      <c r="A897" s="47" t="s">
        <v>4650</v>
      </c>
      <c r="B897" s="64">
        <v>2.62</v>
      </c>
      <c r="C897" s="61">
        <v>4.4798099999999996</v>
      </c>
    </row>
    <row r="898" spans="1:3" x14ac:dyDescent="0.25">
      <c r="A898" s="47" t="s">
        <v>4654</v>
      </c>
      <c r="B898" s="64">
        <v>72</v>
      </c>
      <c r="C898" s="61">
        <v>7.68093</v>
      </c>
    </row>
    <row r="899" spans="1:3" x14ac:dyDescent="0.25">
      <c r="A899" s="47" t="s">
        <v>4667</v>
      </c>
      <c r="B899" s="64">
        <v>226.64240000000001</v>
      </c>
      <c r="C899" s="61">
        <v>2.8333599999999999</v>
      </c>
    </row>
    <row r="900" spans="1:3" x14ac:dyDescent="0.25">
      <c r="A900" s="47" t="s">
        <v>4670</v>
      </c>
      <c r="B900" s="64">
        <v>1.08</v>
      </c>
      <c r="C900" s="61">
        <v>10</v>
      </c>
    </row>
    <row r="901" spans="1:3" x14ac:dyDescent="0.25">
      <c r="A901" s="47" t="s">
        <v>4674</v>
      </c>
      <c r="B901" s="64">
        <v>0.75</v>
      </c>
      <c r="C901" s="61">
        <v>36.114379999999997</v>
      </c>
    </row>
    <row r="902" spans="1:3" x14ac:dyDescent="0.25">
      <c r="A902" s="47" t="s">
        <v>4677</v>
      </c>
      <c r="B902" s="64">
        <v>3.3</v>
      </c>
      <c r="C902" s="61">
        <v>2.5834100000000002</v>
      </c>
    </row>
    <row r="903" spans="1:3" x14ac:dyDescent="0.25">
      <c r="A903" s="47" t="s">
        <v>4679</v>
      </c>
      <c r="B903" s="64">
        <v>1016</v>
      </c>
      <c r="C903" s="61">
        <v>2.5833699999999999</v>
      </c>
    </row>
    <row r="904" spans="1:3" x14ac:dyDescent="0.25">
      <c r="A904" s="47" t="s">
        <v>4683</v>
      </c>
      <c r="B904" s="64">
        <v>1016</v>
      </c>
      <c r="C904" s="61">
        <v>5.9424000000000001</v>
      </c>
    </row>
    <row r="905" spans="1:3" x14ac:dyDescent="0.25">
      <c r="A905" s="47" t="s">
        <v>4686</v>
      </c>
      <c r="B905" s="64">
        <v>1016</v>
      </c>
      <c r="C905" s="61">
        <v>3.2800199999999999</v>
      </c>
    </row>
    <row r="906" spans="1:3" x14ac:dyDescent="0.25">
      <c r="A906" s="47" t="s">
        <v>4689</v>
      </c>
      <c r="B906" s="64">
        <v>1016</v>
      </c>
      <c r="C906" s="61">
        <v>2.8044600000000002</v>
      </c>
    </row>
    <row r="907" spans="1:3" x14ac:dyDescent="0.25">
      <c r="A907" s="47" t="s">
        <v>4695</v>
      </c>
      <c r="B907" s="64">
        <v>21.94</v>
      </c>
      <c r="C907" s="61">
        <v>4.7000700000000002</v>
      </c>
    </row>
    <row r="908" spans="1:3" x14ac:dyDescent="0.25">
      <c r="A908" s="47" t="s">
        <v>4698</v>
      </c>
      <c r="B908" s="64">
        <v>21.94</v>
      </c>
      <c r="C908" s="61">
        <v>5.33901</v>
      </c>
    </row>
    <row r="909" spans="1:3" x14ac:dyDescent="0.25">
      <c r="A909" s="47" t="s">
        <v>4710</v>
      </c>
      <c r="B909" s="64">
        <v>69.507140000000007</v>
      </c>
      <c r="C909" s="61">
        <v>6.8335699999999999</v>
      </c>
    </row>
    <row r="910" spans="1:3" x14ac:dyDescent="0.25">
      <c r="A910" s="47" t="s">
        <v>4713</v>
      </c>
      <c r="B910" s="64">
        <v>69.507140000000007</v>
      </c>
      <c r="C910" s="61">
        <v>9.2910599999999999</v>
      </c>
    </row>
    <row r="911" spans="1:3" x14ac:dyDescent="0.25">
      <c r="A911" s="47" t="s">
        <v>4716</v>
      </c>
      <c r="B911" s="64">
        <v>1016</v>
      </c>
      <c r="C911" s="61">
        <v>2.5833499999999998</v>
      </c>
    </row>
    <row r="912" spans="1:3" x14ac:dyDescent="0.25">
      <c r="A912" s="47" t="s">
        <v>4719</v>
      </c>
      <c r="B912" s="64">
        <v>1016</v>
      </c>
      <c r="C912" s="61">
        <v>2.9288699999999999</v>
      </c>
    </row>
    <row r="913" spans="1:3" x14ac:dyDescent="0.25">
      <c r="A913" s="47" t="s">
        <v>4722</v>
      </c>
      <c r="B913" s="64">
        <v>1016</v>
      </c>
      <c r="C913" s="61">
        <v>2.5833499999999998</v>
      </c>
    </row>
    <row r="914" spans="1:3" x14ac:dyDescent="0.25">
      <c r="A914" s="47" t="s">
        <v>4725</v>
      </c>
      <c r="B914" s="64">
        <v>1016</v>
      </c>
      <c r="C914" s="61">
        <v>2.8044600000000002</v>
      </c>
    </row>
    <row r="915" spans="1:3" x14ac:dyDescent="0.25">
      <c r="A915" s="47" t="s">
        <v>4728</v>
      </c>
      <c r="B915" s="64">
        <v>1016</v>
      </c>
      <c r="C915" s="61">
        <v>2.5833499999999998</v>
      </c>
    </row>
    <row r="916" spans="1:3" x14ac:dyDescent="0.25">
      <c r="A916" s="47" t="s">
        <v>4737</v>
      </c>
      <c r="B916" s="64">
        <v>4.8062500000000004</v>
      </c>
      <c r="C916" s="61">
        <v>4.61991</v>
      </c>
    </row>
    <row r="917" spans="1:3" x14ac:dyDescent="0.25">
      <c r="A917" s="47" t="s">
        <v>4741</v>
      </c>
      <c r="B917" s="64">
        <v>1.6E-2</v>
      </c>
      <c r="C917" s="61">
        <v>2.7048199999999998</v>
      </c>
    </row>
    <row r="918" spans="1:3" x14ac:dyDescent="0.25">
      <c r="A918" s="47" t="s">
        <v>4744</v>
      </c>
      <c r="B918" s="64">
        <v>1.6E-2</v>
      </c>
      <c r="C918" s="61">
        <v>7.2206000000000001</v>
      </c>
    </row>
    <row r="919" spans="1:3" x14ac:dyDescent="0.25">
      <c r="A919" s="47" t="s">
        <v>4747</v>
      </c>
      <c r="B919" s="64">
        <v>1016</v>
      </c>
      <c r="C919" s="61">
        <v>4.2398300000000004</v>
      </c>
    </row>
    <row r="920" spans="1:3" x14ac:dyDescent="0.25">
      <c r="A920" s="47" t="s">
        <v>4750</v>
      </c>
      <c r="B920" s="64">
        <v>2.48</v>
      </c>
      <c r="C920" s="61">
        <v>2.5833499999999998</v>
      </c>
    </row>
    <row r="921" spans="1:3" x14ac:dyDescent="0.25">
      <c r="A921" s="47" t="s">
        <v>4754</v>
      </c>
      <c r="B921" s="64">
        <v>1.1000000000000001</v>
      </c>
      <c r="C921" s="61">
        <v>2.5886499999999999</v>
      </c>
    </row>
    <row r="922" spans="1:3" x14ac:dyDescent="0.25">
      <c r="A922" s="47" t="s">
        <v>4758</v>
      </c>
      <c r="B922" s="64">
        <v>2.48</v>
      </c>
      <c r="C922" s="61">
        <v>3.3773</v>
      </c>
    </row>
    <row r="923" spans="1:3" x14ac:dyDescent="0.25">
      <c r="A923" s="47" t="s">
        <v>4761</v>
      </c>
      <c r="B923" s="64">
        <v>21.94</v>
      </c>
      <c r="C923" s="61">
        <v>5.3611500000000003</v>
      </c>
    </row>
    <row r="924" spans="1:3" x14ac:dyDescent="0.25">
      <c r="A924" s="47" t="s">
        <v>4764</v>
      </c>
      <c r="B924" s="64">
        <v>21.94</v>
      </c>
      <c r="C924" s="61">
        <v>2.5833599999999999</v>
      </c>
    </row>
    <row r="925" spans="1:3" x14ac:dyDescent="0.25">
      <c r="A925" s="47" t="s">
        <v>4767</v>
      </c>
      <c r="B925" s="64">
        <v>290</v>
      </c>
      <c r="C925" s="61">
        <v>8.4704499999999996</v>
      </c>
    </row>
    <row r="926" spans="1:3" x14ac:dyDescent="0.25">
      <c r="A926" s="47" t="s">
        <v>4770</v>
      </c>
      <c r="B926" s="64">
        <v>46.809010000000001</v>
      </c>
      <c r="C926" s="61">
        <v>23.289650000000002</v>
      </c>
    </row>
    <row r="927" spans="1:3" x14ac:dyDescent="0.25">
      <c r="A927" s="47" t="s">
        <v>4774</v>
      </c>
      <c r="B927" s="64">
        <v>0.65</v>
      </c>
      <c r="C927" s="61">
        <v>10.63086</v>
      </c>
    </row>
    <row r="928" spans="1:3" x14ac:dyDescent="0.25">
      <c r="A928" s="47" t="s">
        <v>4778</v>
      </c>
      <c r="B928" s="64">
        <v>380.5</v>
      </c>
      <c r="C928" s="61">
        <v>10.28351</v>
      </c>
    </row>
    <row r="929" spans="1:3" x14ac:dyDescent="0.25">
      <c r="A929" s="47" t="s">
        <v>4781</v>
      </c>
      <c r="B929" s="64">
        <v>117</v>
      </c>
      <c r="C929" s="61">
        <v>9.6112699999999993</v>
      </c>
    </row>
    <row r="930" spans="1:3" x14ac:dyDescent="0.25">
      <c r="A930" s="47" t="s">
        <v>4783</v>
      </c>
      <c r="B930" s="64">
        <v>1.08</v>
      </c>
      <c r="C930" s="61">
        <v>5.6717899999999997</v>
      </c>
    </row>
    <row r="931" spans="1:3" x14ac:dyDescent="0.25">
      <c r="A931" s="47" t="s">
        <v>4787</v>
      </c>
      <c r="B931" s="64">
        <v>43.65</v>
      </c>
      <c r="C931" s="61">
        <v>0.02</v>
      </c>
    </row>
    <row r="932" spans="1:3" x14ac:dyDescent="0.25">
      <c r="A932" s="47" t="s">
        <v>4791</v>
      </c>
      <c r="B932" s="64">
        <v>1132.5</v>
      </c>
      <c r="C932" s="61">
        <v>3.8</v>
      </c>
    </row>
    <row r="933" spans="1:3" x14ac:dyDescent="0.25">
      <c r="A933" s="47" t="s">
        <v>4795</v>
      </c>
      <c r="B933" s="64">
        <v>7.0000000000000007E-2</v>
      </c>
      <c r="C933" s="61">
        <v>11.644399999999999</v>
      </c>
    </row>
    <row r="934" spans="1:3" x14ac:dyDescent="0.25">
      <c r="A934" s="47" t="s">
        <v>4798</v>
      </c>
      <c r="B934" s="64">
        <v>1.3</v>
      </c>
      <c r="C934" s="61">
        <v>8.8969199999999997</v>
      </c>
    </row>
    <row r="935" spans="1:3" x14ac:dyDescent="0.25">
      <c r="A935" s="47" t="s">
        <v>4801</v>
      </c>
      <c r="B935" s="64">
        <v>104</v>
      </c>
      <c r="C935" s="61">
        <v>2.59049</v>
      </c>
    </row>
    <row r="936" spans="1:3" x14ac:dyDescent="0.25">
      <c r="A936" s="47" t="s">
        <v>4803</v>
      </c>
      <c r="B936" s="64">
        <v>3.4</v>
      </c>
      <c r="C936" s="61">
        <v>9.9292599999999993</v>
      </c>
    </row>
    <row r="937" spans="1:3" x14ac:dyDescent="0.25">
      <c r="A937" s="47" t="s">
        <v>4807</v>
      </c>
      <c r="B937" s="64">
        <v>38</v>
      </c>
      <c r="C937" s="61">
        <v>2.6265000000000001</v>
      </c>
    </row>
    <row r="938" spans="1:3" x14ac:dyDescent="0.25">
      <c r="A938" s="47" t="s">
        <v>4811</v>
      </c>
      <c r="B938" s="64">
        <v>3.7650000000000001</v>
      </c>
      <c r="C938" s="61">
        <v>6.12479</v>
      </c>
    </row>
    <row r="939" spans="1:3" x14ac:dyDescent="0.25">
      <c r="A939" s="47" t="s">
        <v>4817</v>
      </c>
      <c r="B939" s="64">
        <v>2.9000000000000001E-2</v>
      </c>
      <c r="C939" s="61">
        <v>5.7259700000000002</v>
      </c>
    </row>
    <row r="940" spans="1:3" x14ac:dyDescent="0.25">
      <c r="A940" s="47" t="s">
        <v>4820</v>
      </c>
      <c r="B940" s="64">
        <v>15</v>
      </c>
      <c r="C940" s="61">
        <v>2.5833499999999998</v>
      </c>
    </row>
    <row r="941" spans="1:3" x14ac:dyDescent="0.25">
      <c r="A941" s="47" t="s">
        <v>4824</v>
      </c>
      <c r="B941" s="64">
        <v>0.72499999999999998</v>
      </c>
      <c r="C941" s="61">
        <v>2.5833499999999998</v>
      </c>
    </row>
    <row r="942" spans="1:3" x14ac:dyDescent="0.25">
      <c r="A942" s="47" t="s">
        <v>4827</v>
      </c>
      <c r="B942" s="64">
        <v>5.3</v>
      </c>
      <c r="C942" s="61">
        <v>2.6069499999999999</v>
      </c>
    </row>
    <row r="943" spans="1:3" x14ac:dyDescent="0.25">
      <c r="A943" s="47" t="s">
        <v>4831</v>
      </c>
      <c r="B943" s="64">
        <v>5.3</v>
      </c>
      <c r="C943" s="61">
        <v>2.5833400000000002</v>
      </c>
    </row>
    <row r="944" spans="1:3" x14ac:dyDescent="0.25">
      <c r="A944" s="47" t="s">
        <v>4834</v>
      </c>
      <c r="B944" s="64">
        <v>8.92</v>
      </c>
      <c r="C944" s="61">
        <v>66</v>
      </c>
    </row>
    <row r="945" spans="1:3" x14ac:dyDescent="0.25">
      <c r="A945" s="47" t="s">
        <v>4838</v>
      </c>
      <c r="B945" s="64">
        <v>8.92</v>
      </c>
      <c r="C945" s="61">
        <v>78</v>
      </c>
    </row>
    <row r="946" spans="1:3" x14ac:dyDescent="0.25">
      <c r="A946" s="47" t="s">
        <v>4841</v>
      </c>
      <c r="B946" s="64">
        <v>8.92</v>
      </c>
      <c r="C946" s="61">
        <v>2.6667399999999999</v>
      </c>
    </row>
    <row r="947" spans="1:3" x14ac:dyDescent="0.25">
      <c r="A947" s="47" t="s">
        <v>4844</v>
      </c>
      <c r="B947" s="64">
        <v>90.131770000000003</v>
      </c>
      <c r="C947" s="61">
        <v>2.8638699999999999</v>
      </c>
    </row>
    <row r="948" spans="1:3" x14ac:dyDescent="0.25">
      <c r="A948" s="47" t="s">
        <v>4848</v>
      </c>
      <c r="B948" s="64">
        <v>1</v>
      </c>
      <c r="C948" s="61">
        <v>5.8921299999999999</v>
      </c>
    </row>
    <row r="949" spans="1:3" x14ac:dyDescent="0.25">
      <c r="A949" s="47" t="s">
        <v>4852</v>
      </c>
      <c r="B949" s="64">
        <v>1</v>
      </c>
      <c r="C949" s="61">
        <v>5.1735800000000003</v>
      </c>
    </row>
    <row r="950" spans="1:3" x14ac:dyDescent="0.25">
      <c r="A950" s="47" t="s">
        <v>4856</v>
      </c>
      <c r="B950" s="64">
        <v>1.6E-2</v>
      </c>
      <c r="C950" s="61">
        <v>2.6793399999999998</v>
      </c>
    </row>
    <row r="951" spans="1:3" x14ac:dyDescent="0.25">
      <c r="A951" s="47" t="s">
        <v>4859</v>
      </c>
      <c r="B951" s="64">
        <v>61.375</v>
      </c>
      <c r="C951" s="61">
        <v>12.453430000000001</v>
      </c>
    </row>
    <row r="952" spans="1:3" x14ac:dyDescent="0.25">
      <c r="A952" s="47" t="s">
        <v>4862</v>
      </c>
      <c r="B952" s="64">
        <v>17</v>
      </c>
      <c r="C952" s="61">
        <v>41.344900000000003</v>
      </c>
    </row>
    <row r="953" spans="1:3" x14ac:dyDescent="0.25">
      <c r="A953" s="47" t="s">
        <v>4865</v>
      </c>
      <c r="B953" s="64">
        <v>159</v>
      </c>
      <c r="C953" s="61">
        <v>2.5833599999999999</v>
      </c>
    </row>
    <row r="954" spans="1:3" x14ac:dyDescent="0.25">
      <c r="A954" s="47" t="s">
        <v>4868</v>
      </c>
      <c r="B954" s="64">
        <v>3.7614999999999998</v>
      </c>
      <c r="C954" s="61">
        <v>2.8437000000000001</v>
      </c>
    </row>
    <row r="955" spans="1:3" x14ac:dyDescent="0.25">
      <c r="A955" s="47" t="s">
        <v>4871</v>
      </c>
      <c r="B955" s="64">
        <v>2.48</v>
      </c>
      <c r="C955" s="61">
        <v>2.5833499999999998</v>
      </c>
    </row>
    <row r="956" spans="1:3" x14ac:dyDescent="0.25">
      <c r="A956" s="47" t="s">
        <v>4880</v>
      </c>
      <c r="B956" s="64">
        <v>0.72499999999999998</v>
      </c>
      <c r="C956" s="61">
        <v>2.5833499999999998</v>
      </c>
    </row>
    <row r="957" spans="1:3" x14ac:dyDescent="0.25">
      <c r="A957" s="47" t="s">
        <v>4883</v>
      </c>
      <c r="B957" s="64">
        <v>0.59</v>
      </c>
      <c r="C957" s="61">
        <v>2.5833400000000002</v>
      </c>
    </row>
    <row r="958" spans="1:3" x14ac:dyDescent="0.25">
      <c r="A958" s="47" t="s">
        <v>4887</v>
      </c>
      <c r="B958" s="64">
        <v>6.7000000000000004E-2</v>
      </c>
      <c r="C958" s="61">
        <v>31.92426</v>
      </c>
    </row>
    <row r="959" spans="1:3" x14ac:dyDescent="0.25">
      <c r="A959" s="47" t="s">
        <v>4894</v>
      </c>
      <c r="B959" s="64">
        <v>39.261749999999999</v>
      </c>
      <c r="C959" s="61">
        <v>6.1292099999999996</v>
      </c>
    </row>
    <row r="960" spans="1:3" x14ac:dyDescent="0.25">
      <c r="A960" s="47" t="s">
        <v>4897</v>
      </c>
      <c r="B960" s="64">
        <v>39.261749999999999</v>
      </c>
      <c r="C960" s="61">
        <v>43</v>
      </c>
    </row>
    <row r="961" spans="1:3" x14ac:dyDescent="0.25">
      <c r="A961" s="47" t="s">
        <v>4906</v>
      </c>
      <c r="B961" s="64">
        <v>22.85</v>
      </c>
      <c r="C961" s="61">
        <v>5.9403800000000002</v>
      </c>
    </row>
    <row r="962" spans="1:3" x14ac:dyDescent="0.25">
      <c r="A962" s="47" t="s">
        <v>4910</v>
      </c>
      <c r="B962" s="64">
        <v>46.809010000000001</v>
      </c>
      <c r="C962" s="61">
        <v>6.28566</v>
      </c>
    </row>
    <row r="963" spans="1:3" x14ac:dyDescent="0.25">
      <c r="A963" s="47" t="s">
        <v>4913</v>
      </c>
      <c r="B963" s="64">
        <v>1.6E-2</v>
      </c>
      <c r="C963" s="61">
        <v>5.9223100000000004</v>
      </c>
    </row>
    <row r="964" spans="1:3" x14ac:dyDescent="0.25">
      <c r="A964" s="47" t="s">
        <v>4916</v>
      </c>
      <c r="B964" s="64">
        <v>1.6E-2</v>
      </c>
      <c r="C964" s="61">
        <v>7.2235699999999996</v>
      </c>
    </row>
    <row r="965" spans="1:3" x14ac:dyDescent="0.25">
      <c r="A965" s="47" t="s">
        <v>4919</v>
      </c>
      <c r="B965" s="64">
        <v>2.48</v>
      </c>
      <c r="C965" s="61">
        <v>2.5833499999999998</v>
      </c>
    </row>
    <row r="966" spans="1:3" x14ac:dyDescent="0.25">
      <c r="A966" s="47" t="s">
        <v>4922</v>
      </c>
      <c r="B966" s="64">
        <v>2.48</v>
      </c>
      <c r="C966" s="61">
        <v>2.9810300000000001</v>
      </c>
    </row>
    <row r="967" spans="1:3" x14ac:dyDescent="0.25">
      <c r="A967" s="47" t="s">
        <v>4925</v>
      </c>
      <c r="B967" s="64">
        <v>2.48</v>
      </c>
      <c r="C967" s="61">
        <v>2.59199</v>
      </c>
    </row>
    <row r="968" spans="1:3" x14ac:dyDescent="0.25">
      <c r="A968" s="47" t="s">
        <v>4939</v>
      </c>
      <c r="B968" s="64">
        <v>1.6E-2</v>
      </c>
      <c r="C968" s="61">
        <v>2.6793399999999998</v>
      </c>
    </row>
    <row r="969" spans="1:3" x14ac:dyDescent="0.25">
      <c r="A969" s="47" t="s">
        <v>4942</v>
      </c>
      <c r="B969" s="64">
        <v>92</v>
      </c>
      <c r="C969" s="61">
        <v>8.2256</v>
      </c>
    </row>
    <row r="970" spans="1:3" x14ac:dyDescent="0.25">
      <c r="A970" s="47" t="s">
        <v>4967</v>
      </c>
      <c r="B970" s="64">
        <v>1.6E-2</v>
      </c>
      <c r="C970" s="61">
        <v>9.3624700000000001</v>
      </c>
    </row>
    <row r="971" spans="1:3" x14ac:dyDescent="0.25">
      <c r="A971" s="47" t="s">
        <v>4970</v>
      </c>
      <c r="B971" s="64">
        <v>1.6E-2</v>
      </c>
      <c r="C971" s="61">
        <v>4.7814100000000002</v>
      </c>
    </row>
    <row r="972" spans="1:3" x14ac:dyDescent="0.25">
      <c r="A972" s="47" t="s">
        <v>4973</v>
      </c>
      <c r="B972" s="64">
        <v>1.6E-2</v>
      </c>
      <c r="C972" s="61">
        <v>4.7006600000000001</v>
      </c>
    </row>
    <row r="973" spans="1:3" x14ac:dyDescent="0.25">
      <c r="A973" s="47" t="s">
        <v>4976</v>
      </c>
      <c r="B973" s="64">
        <v>1.6E-2</v>
      </c>
      <c r="C973" s="61">
        <v>5.19008</v>
      </c>
    </row>
    <row r="974" spans="1:3" x14ac:dyDescent="0.25">
      <c r="A974" s="47" t="s">
        <v>4979</v>
      </c>
      <c r="B974" s="64">
        <v>1.6E-2</v>
      </c>
      <c r="C974" s="61">
        <v>2.68032</v>
      </c>
    </row>
    <row r="975" spans="1:3" x14ac:dyDescent="0.25">
      <c r="A975" s="47" t="s">
        <v>4982</v>
      </c>
      <c r="B975" s="64">
        <v>1016</v>
      </c>
      <c r="C975" s="61">
        <v>4.1061699999999997</v>
      </c>
    </row>
    <row r="976" spans="1:3" x14ac:dyDescent="0.25">
      <c r="A976" s="47" t="s">
        <v>4985</v>
      </c>
      <c r="B976" s="64">
        <v>1016</v>
      </c>
      <c r="C976" s="61">
        <v>2.7018200000000001</v>
      </c>
    </row>
    <row r="977" spans="1:3" x14ac:dyDescent="0.25">
      <c r="A977" s="47" t="s">
        <v>4988</v>
      </c>
      <c r="B977" s="64">
        <v>1016</v>
      </c>
      <c r="C977" s="61">
        <v>11.436920000000001</v>
      </c>
    </row>
    <row r="978" spans="1:3" x14ac:dyDescent="0.25">
      <c r="A978" s="47" t="s">
        <v>4991</v>
      </c>
      <c r="B978" s="64">
        <v>1016</v>
      </c>
      <c r="C978" s="61">
        <v>3.97288</v>
      </c>
    </row>
    <row r="979" spans="1:3" x14ac:dyDescent="0.25">
      <c r="A979" s="47" t="s">
        <v>4994</v>
      </c>
      <c r="B979" s="64">
        <v>1016</v>
      </c>
      <c r="C979" s="61">
        <v>7.9359400000000004</v>
      </c>
    </row>
    <row r="980" spans="1:3" x14ac:dyDescent="0.25">
      <c r="A980" s="47" t="s">
        <v>4997</v>
      </c>
      <c r="B980" s="64">
        <v>1016</v>
      </c>
      <c r="C980" s="61">
        <v>5.4446500000000002</v>
      </c>
    </row>
    <row r="981" spans="1:3" x14ac:dyDescent="0.25">
      <c r="A981" s="47" t="s">
        <v>5000</v>
      </c>
      <c r="B981" s="64">
        <v>1</v>
      </c>
      <c r="C981" s="61">
        <v>5.04758</v>
      </c>
    </row>
    <row r="982" spans="1:3" x14ac:dyDescent="0.25">
      <c r="A982" s="47" t="s">
        <v>5003</v>
      </c>
      <c r="B982" s="64">
        <v>1</v>
      </c>
      <c r="C982" s="61">
        <v>5.8839699999999997</v>
      </c>
    </row>
    <row r="983" spans="1:3" x14ac:dyDescent="0.25">
      <c r="A983" s="47" t="s">
        <v>5021</v>
      </c>
      <c r="B983" s="64">
        <v>2.48</v>
      </c>
      <c r="C983" s="61">
        <v>2.5833499999999998</v>
      </c>
    </row>
    <row r="984" spans="1:3" x14ac:dyDescent="0.25">
      <c r="A984" s="47" t="s">
        <v>5024</v>
      </c>
      <c r="B984" s="64">
        <v>1</v>
      </c>
      <c r="C984" s="61">
        <v>7.5838000000000001</v>
      </c>
    </row>
    <row r="985" spans="1:3" x14ac:dyDescent="0.25">
      <c r="A985" s="47" t="s">
        <v>5027</v>
      </c>
      <c r="B985" s="64">
        <v>46.809010000000001</v>
      </c>
      <c r="C985" s="61">
        <v>4.4920600000000004</v>
      </c>
    </row>
    <row r="986" spans="1:3" x14ac:dyDescent="0.25">
      <c r="A986" s="47" t="s">
        <v>5030</v>
      </c>
      <c r="B986" s="64">
        <v>46.809010000000001</v>
      </c>
      <c r="C986" s="61">
        <v>7.7551699999999997</v>
      </c>
    </row>
    <row r="987" spans="1:3" x14ac:dyDescent="0.25">
      <c r="A987" s="47" t="s">
        <v>5033</v>
      </c>
      <c r="B987" s="64">
        <v>1.6E-2</v>
      </c>
      <c r="C987" s="61">
        <v>4.8457499999999998</v>
      </c>
    </row>
    <row r="988" spans="1:3" x14ac:dyDescent="0.25">
      <c r="A988" s="47" t="s">
        <v>5036</v>
      </c>
      <c r="B988" s="64">
        <v>1016</v>
      </c>
      <c r="C988" s="61">
        <v>4.2262300000000002</v>
      </c>
    </row>
    <row r="989" spans="1:3" x14ac:dyDescent="0.25">
      <c r="A989" s="47" t="s">
        <v>5039</v>
      </c>
      <c r="B989" s="64">
        <v>1016</v>
      </c>
      <c r="C989" s="61">
        <v>2.7209300000000001</v>
      </c>
    </row>
    <row r="990" spans="1:3" x14ac:dyDescent="0.25">
      <c r="A990" s="47" t="s">
        <v>5042</v>
      </c>
      <c r="B990" s="64">
        <v>1016</v>
      </c>
      <c r="C990" s="61">
        <v>7.5419</v>
      </c>
    </row>
    <row r="991" spans="1:3" x14ac:dyDescent="0.25">
      <c r="A991" s="47" t="s">
        <v>5045</v>
      </c>
      <c r="B991" s="64">
        <v>1016</v>
      </c>
      <c r="C991" s="61">
        <v>2.7018300000000002</v>
      </c>
    </row>
    <row r="992" spans="1:3" x14ac:dyDescent="0.25">
      <c r="A992" s="47" t="s">
        <v>5048</v>
      </c>
      <c r="B992" s="64">
        <v>1016</v>
      </c>
      <c r="C992" s="61">
        <v>6.7118799999999998</v>
      </c>
    </row>
    <row r="993" spans="1:3" x14ac:dyDescent="0.25">
      <c r="A993" s="47" t="s">
        <v>5051</v>
      </c>
      <c r="B993" s="64">
        <v>1016</v>
      </c>
      <c r="C993" s="61">
        <v>4.5715700000000004</v>
      </c>
    </row>
    <row r="994" spans="1:3" x14ac:dyDescent="0.25">
      <c r="A994" s="47" t="s">
        <v>5054</v>
      </c>
      <c r="B994" s="64">
        <v>1016</v>
      </c>
      <c r="C994" s="61">
        <v>2.7136399999999998</v>
      </c>
    </row>
    <row r="995" spans="1:3" x14ac:dyDescent="0.25">
      <c r="A995" s="47" t="s">
        <v>5057</v>
      </c>
      <c r="B995" s="64">
        <v>2.9000000000000001E-2</v>
      </c>
      <c r="C995" s="61">
        <v>5.1456999999999997</v>
      </c>
    </row>
    <row r="996" spans="1:3" x14ac:dyDescent="0.25">
      <c r="A996" s="47" t="s">
        <v>5060</v>
      </c>
      <c r="B996" s="64">
        <v>2.9000000000000001E-2</v>
      </c>
      <c r="C996" s="61">
        <v>6.1109799999999996</v>
      </c>
    </row>
    <row r="997" spans="1:3" x14ac:dyDescent="0.25">
      <c r="A997" s="47" t="s">
        <v>5069</v>
      </c>
      <c r="B997" s="64">
        <v>24</v>
      </c>
      <c r="C997" s="61">
        <v>2.6414</v>
      </c>
    </row>
    <row r="998" spans="1:3" x14ac:dyDescent="0.25">
      <c r="A998" s="47" t="s">
        <v>5073</v>
      </c>
      <c r="B998" s="64">
        <v>24</v>
      </c>
      <c r="C998" s="61">
        <v>4.8614100000000002</v>
      </c>
    </row>
    <row r="999" spans="1:3" x14ac:dyDescent="0.25">
      <c r="A999" s="47" t="s">
        <v>5076</v>
      </c>
      <c r="B999" s="64">
        <v>24</v>
      </c>
      <c r="C999" s="61">
        <v>2.6496300000000002</v>
      </c>
    </row>
    <row r="1000" spans="1:3" x14ac:dyDescent="0.25">
      <c r="A1000" s="47" t="s">
        <v>5079</v>
      </c>
      <c r="B1000" s="64">
        <v>24</v>
      </c>
      <c r="C1000" s="61">
        <v>2.64527</v>
      </c>
    </row>
    <row r="1001" spans="1:3" x14ac:dyDescent="0.25">
      <c r="A1001" s="47" t="s">
        <v>5082</v>
      </c>
      <c r="B1001" s="64">
        <v>1.1000000000000001</v>
      </c>
      <c r="C1001" s="61">
        <v>3.0809899999999999</v>
      </c>
    </row>
    <row r="1002" spans="1:3" x14ac:dyDescent="0.25">
      <c r="A1002" s="47" t="s">
        <v>5085</v>
      </c>
      <c r="B1002" s="64">
        <v>2.48</v>
      </c>
      <c r="C1002" s="61">
        <v>2.5919699999999999</v>
      </c>
    </row>
    <row r="1003" spans="1:3" x14ac:dyDescent="0.25">
      <c r="A1003" s="47" t="s">
        <v>5088</v>
      </c>
      <c r="B1003" s="64">
        <v>2.48</v>
      </c>
      <c r="C1003" s="61">
        <v>2.5920299999999998</v>
      </c>
    </row>
    <row r="1004" spans="1:3" x14ac:dyDescent="0.25">
      <c r="A1004" s="47" t="s">
        <v>5091</v>
      </c>
      <c r="B1004" s="64">
        <v>1</v>
      </c>
      <c r="C1004" s="61">
        <v>9.3012800000000002</v>
      </c>
    </row>
    <row r="1005" spans="1:3" x14ac:dyDescent="0.25">
      <c r="A1005" s="47" t="s">
        <v>5094</v>
      </c>
      <c r="B1005" s="64">
        <v>1</v>
      </c>
      <c r="C1005" s="61">
        <v>6.6606199999999998</v>
      </c>
    </row>
    <row r="1006" spans="1:3" x14ac:dyDescent="0.25">
      <c r="A1006" s="47" t="s">
        <v>5103</v>
      </c>
      <c r="B1006" s="64">
        <v>152</v>
      </c>
      <c r="C1006" s="61">
        <v>4.3155700000000001</v>
      </c>
    </row>
    <row r="1007" spans="1:3" x14ac:dyDescent="0.25">
      <c r="A1007" s="47" t="s">
        <v>5107</v>
      </c>
      <c r="B1007" s="64">
        <v>152</v>
      </c>
      <c r="C1007" s="61">
        <v>2.63679</v>
      </c>
    </row>
    <row r="1008" spans="1:3" x14ac:dyDescent="0.25">
      <c r="A1008" s="47" t="s">
        <v>5110</v>
      </c>
      <c r="B1008" s="64">
        <v>152</v>
      </c>
      <c r="C1008" s="61">
        <v>4.9840600000000004</v>
      </c>
    </row>
    <row r="1009" spans="1:3" x14ac:dyDescent="0.25">
      <c r="A1009" s="47" t="s">
        <v>5113</v>
      </c>
      <c r="B1009" s="64">
        <v>184</v>
      </c>
      <c r="C1009" s="61">
        <v>2.62453</v>
      </c>
    </row>
    <row r="1010" spans="1:3" x14ac:dyDescent="0.25">
      <c r="A1010" s="47" t="s">
        <v>5117</v>
      </c>
      <c r="B1010" s="64">
        <v>152</v>
      </c>
      <c r="C1010" s="61">
        <v>4.1174799999999996</v>
      </c>
    </row>
    <row r="1011" spans="1:3" x14ac:dyDescent="0.25">
      <c r="A1011" s="47" t="s">
        <v>5120</v>
      </c>
      <c r="B1011" s="64">
        <v>152</v>
      </c>
      <c r="C1011" s="61">
        <v>4.5228299999999999</v>
      </c>
    </row>
    <row r="1012" spans="1:3" x14ac:dyDescent="0.25">
      <c r="A1012" s="47" t="s">
        <v>5123</v>
      </c>
      <c r="B1012" s="64">
        <v>1265.4616699999999</v>
      </c>
      <c r="C1012" s="61">
        <v>13.94336</v>
      </c>
    </row>
    <row r="1013" spans="1:3" x14ac:dyDescent="0.25">
      <c r="A1013" s="47" t="s">
        <v>5127</v>
      </c>
      <c r="B1013" s="64">
        <v>1.4149999999999999E-2</v>
      </c>
      <c r="C1013" s="61">
        <v>6.4878099999999996</v>
      </c>
    </row>
    <row r="1014" spans="1:3" x14ac:dyDescent="0.25">
      <c r="A1014" s="47" t="s">
        <v>5149</v>
      </c>
      <c r="B1014" s="64">
        <v>36.35</v>
      </c>
      <c r="C1014" s="61">
        <v>2.82734</v>
      </c>
    </row>
    <row r="1015" spans="1:3" x14ac:dyDescent="0.25">
      <c r="A1015" s="47" t="s">
        <v>5161</v>
      </c>
      <c r="B1015" s="64">
        <v>84.075969999999998</v>
      </c>
      <c r="C1015" s="61">
        <v>16.419779999999999</v>
      </c>
    </row>
    <row r="1016" spans="1:3" x14ac:dyDescent="0.25">
      <c r="A1016" s="47" t="s">
        <v>5171</v>
      </c>
      <c r="B1016" s="64">
        <v>1500</v>
      </c>
      <c r="C1016" s="61">
        <v>1464.4276500000001</v>
      </c>
    </row>
    <row r="1017" spans="1:3" x14ac:dyDescent="0.25">
      <c r="A1017" s="47" t="s">
        <v>5180</v>
      </c>
      <c r="B1017" s="64">
        <v>18.3185</v>
      </c>
      <c r="C1017" s="61">
        <v>15.085229999999999</v>
      </c>
    </row>
    <row r="1018" spans="1:3" x14ac:dyDescent="0.25">
      <c r="A1018" s="47" t="s">
        <v>5185</v>
      </c>
      <c r="B1018" s="64">
        <v>34</v>
      </c>
      <c r="C1018" s="61">
        <v>6.4243300000000003</v>
      </c>
    </row>
    <row r="1019" spans="1:3" x14ac:dyDescent="0.25">
      <c r="A1019" s="47" t="s">
        <v>5191</v>
      </c>
      <c r="B1019" s="64">
        <v>5.665</v>
      </c>
      <c r="C1019" s="61">
        <v>5.7975300000000001</v>
      </c>
    </row>
    <row r="1020" spans="1:3" x14ac:dyDescent="0.25">
      <c r="A1020" s="47" t="s">
        <v>5195</v>
      </c>
      <c r="B1020" s="64">
        <v>1.41</v>
      </c>
      <c r="C1020" s="61">
        <v>15.136990000000001</v>
      </c>
    </row>
    <row r="1021" spans="1:3" x14ac:dyDescent="0.25">
      <c r="A1021" s="47" t="s">
        <v>5199</v>
      </c>
      <c r="B1021" s="64">
        <v>2.4</v>
      </c>
      <c r="C1021" s="61">
        <v>9.6791800000000006</v>
      </c>
    </row>
    <row r="1022" spans="1:3" x14ac:dyDescent="0.25">
      <c r="A1022" s="47" t="s">
        <v>5202</v>
      </c>
      <c r="B1022" s="64">
        <v>5.2470000000000003E-2</v>
      </c>
      <c r="C1022" s="61">
        <v>10.4626</v>
      </c>
    </row>
    <row r="1023" spans="1:3" x14ac:dyDescent="0.25">
      <c r="A1023" s="47" t="s">
        <v>5206</v>
      </c>
      <c r="B1023" s="64">
        <v>350</v>
      </c>
      <c r="C1023" s="61">
        <v>8.2710799999999995</v>
      </c>
    </row>
    <row r="1024" spans="1:3" x14ac:dyDescent="0.25">
      <c r="A1024" s="47" t="s">
        <v>5209</v>
      </c>
      <c r="B1024" s="64">
        <v>845</v>
      </c>
      <c r="C1024" s="61">
        <v>14.253740000000001</v>
      </c>
    </row>
    <row r="1025" spans="1:3" x14ac:dyDescent="0.25">
      <c r="A1025" s="47" t="s">
        <v>5212</v>
      </c>
      <c r="B1025" s="64">
        <v>2.8</v>
      </c>
      <c r="C1025" s="61">
        <v>4.4824099999999998</v>
      </c>
    </row>
    <row r="1026" spans="1:3" x14ac:dyDescent="0.25">
      <c r="A1026" s="47" t="s">
        <v>5214</v>
      </c>
      <c r="B1026" s="64">
        <v>0.76600000000000001</v>
      </c>
      <c r="C1026" s="61">
        <v>2.7403599999999999</v>
      </c>
    </row>
    <row r="1027" spans="1:3" x14ac:dyDescent="0.25">
      <c r="A1027" s="47" t="s">
        <v>5218</v>
      </c>
      <c r="B1027" s="64">
        <v>185.2</v>
      </c>
      <c r="C1027" s="61">
        <v>4.8762299999999996</v>
      </c>
    </row>
    <row r="1028" spans="1:3" x14ac:dyDescent="0.25">
      <c r="A1028" s="47" t="s">
        <v>5221</v>
      </c>
      <c r="B1028" s="64">
        <v>36.57</v>
      </c>
      <c r="C1028" s="61">
        <v>5.2214</v>
      </c>
    </row>
    <row r="1029" spans="1:3" x14ac:dyDescent="0.25">
      <c r="A1029" s="47" t="s">
        <v>5225</v>
      </c>
      <c r="B1029" s="64">
        <v>36.57</v>
      </c>
      <c r="C1029" s="61">
        <v>3.0977199999999998</v>
      </c>
    </row>
    <row r="1030" spans="1:3" x14ac:dyDescent="0.25">
      <c r="A1030" s="47" t="s">
        <v>5228</v>
      </c>
      <c r="B1030" s="64">
        <v>1.41</v>
      </c>
      <c r="C1030" s="61">
        <v>11.86054</v>
      </c>
    </row>
    <row r="1031" spans="1:3" x14ac:dyDescent="0.25">
      <c r="A1031" s="47" t="s">
        <v>5231</v>
      </c>
      <c r="B1031" s="64">
        <v>1.41</v>
      </c>
      <c r="C1031" s="61">
        <v>34.943440000000002</v>
      </c>
    </row>
    <row r="1032" spans="1:3" x14ac:dyDescent="0.25">
      <c r="A1032" s="47" t="s">
        <v>5233</v>
      </c>
      <c r="B1032" s="64">
        <v>79.479489999999998</v>
      </c>
      <c r="C1032" s="61">
        <v>104.15317</v>
      </c>
    </row>
    <row r="1033" spans="1:3" x14ac:dyDescent="0.25">
      <c r="A1033" s="47" t="s">
        <v>5243</v>
      </c>
      <c r="B1033" s="64">
        <v>17.504999999999999</v>
      </c>
      <c r="C1033" s="61">
        <v>18.260429999999999</v>
      </c>
    </row>
    <row r="1034" spans="1:3" x14ac:dyDescent="0.25">
      <c r="A1034" s="47" t="s">
        <v>5250</v>
      </c>
      <c r="B1034" s="63">
        <v>5.6400000000000005E-4</v>
      </c>
      <c r="C1034" s="61">
        <v>9.7494999999999994</v>
      </c>
    </row>
    <row r="1035" spans="1:3" x14ac:dyDescent="0.25">
      <c r="A1035" s="47" t="s">
        <v>5254</v>
      </c>
      <c r="B1035" s="64">
        <v>22</v>
      </c>
      <c r="C1035" s="61">
        <v>49.146279999999997</v>
      </c>
    </row>
    <row r="1036" spans="1:3" x14ac:dyDescent="0.25">
      <c r="A1036" s="47" t="s">
        <v>5257</v>
      </c>
      <c r="B1036" s="64">
        <v>16.080249999999999</v>
      </c>
      <c r="C1036" s="61">
        <v>7.9552100000000001</v>
      </c>
    </row>
    <row r="1037" spans="1:3" x14ac:dyDescent="0.25">
      <c r="A1037" s="47" t="s">
        <v>5261</v>
      </c>
      <c r="B1037" s="64">
        <v>2.8482799999999999</v>
      </c>
      <c r="C1037" s="61">
        <v>7.0000000000000001E-3</v>
      </c>
    </row>
    <row r="1038" spans="1:3" x14ac:dyDescent="0.25">
      <c r="A1038" s="47" t="s">
        <v>5265</v>
      </c>
      <c r="B1038" s="64">
        <v>146.19999999999999</v>
      </c>
      <c r="C1038" s="61">
        <v>5.9872800000000002</v>
      </c>
    </row>
    <row r="1039" spans="1:3" x14ac:dyDescent="0.25">
      <c r="A1039" s="47" t="s">
        <v>5269</v>
      </c>
      <c r="B1039" s="64">
        <v>0.29199999999999998</v>
      </c>
      <c r="C1039" s="61">
        <v>0.12</v>
      </c>
    </row>
    <row r="1040" spans="1:3" x14ac:dyDescent="0.25">
      <c r="A1040" s="47" t="s">
        <v>5272</v>
      </c>
      <c r="B1040" s="64">
        <v>0.13</v>
      </c>
      <c r="C1040" s="61">
        <v>0.03</v>
      </c>
    </row>
    <row r="1041" spans="1:3" x14ac:dyDescent="0.25">
      <c r="A1041" s="47" t="s">
        <v>5275</v>
      </c>
      <c r="B1041" s="64">
        <v>2.48</v>
      </c>
      <c r="C1041" s="61">
        <v>2.5919699999999999</v>
      </c>
    </row>
    <row r="1042" spans="1:3" x14ac:dyDescent="0.25">
      <c r="A1042" s="47" t="s">
        <v>5278</v>
      </c>
      <c r="B1042" s="64">
        <v>1016</v>
      </c>
      <c r="C1042" s="61">
        <v>2.5833599999999999</v>
      </c>
    </row>
    <row r="1043" spans="1:3" x14ac:dyDescent="0.25">
      <c r="A1043" s="47" t="s">
        <v>5284</v>
      </c>
      <c r="B1043" s="64">
        <v>320.5</v>
      </c>
      <c r="C1043" s="61">
        <v>570.15333999999996</v>
      </c>
    </row>
    <row r="1044" spans="1:3" x14ac:dyDescent="0.25">
      <c r="A1044" s="47" t="s">
        <v>5287</v>
      </c>
      <c r="B1044" s="64">
        <v>5.3</v>
      </c>
      <c r="C1044" s="61">
        <v>4.1173099999999998</v>
      </c>
    </row>
    <row r="1045" spans="1:3" x14ac:dyDescent="0.25">
      <c r="A1045" s="47" t="s">
        <v>5290</v>
      </c>
      <c r="B1045" s="64">
        <v>5.3</v>
      </c>
      <c r="C1045" s="61">
        <v>6.7375499999999997</v>
      </c>
    </row>
    <row r="1046" spans="1:3" x14ac:dyDescent="0.25">
      <c r="A1046" s="47" t="s">
        <v>5293</v>
      </c>
      <c r="B1046" s="64">
        <v>5.3</v>
      </c>
      <c r="C1046" s="61">
        <v>4.7135699999999998</v>
      </c>
    </row>
    <row r="1047" spans="1:3" x14ac:dyDescent="0.25">
      <c r="A1047" s="47" t="s">
        <v>5296</v>
      </c>
      <c r="B1047" s="64">
        <v>166.8</v>
      </c>
      <c r="C1047" s="61">
        <v>2.69693</v>
      </c>
    </row>
    <row r="1048" spans="1:3" x14ac:dyDescent="0.25">
      <c r="A1048" s="47" t="s">
        <v>5300</v>
      </c>
      <c r="B1048" s="64">
        <v>166.8</v>
      </c>
      <c r="C1048" s="61">
        <v>5.06168</v>
      </c>
    </row>
    <row r="1049" spans="1:3" x14ac:dyDescent="0.25">
      <c r="A1049" s="47" t="s">
        <v>5303</v>
      </c>
      <c r="B1049" s="64">
        <v>8.92</v>
      </c>
      <c r="C1049" s="61">
        <v>6.7577699999999998</v>
      </c>
    </row>
    <row r="1050" spans="1:3" x14ac:dyDescent="0.25">
      <c r="A1050" s="47" t="s">
        <v>5306</v>
      </c>
      <c r="B1050" s="64">
        <v>8.92</v>
      </c>
      <c r="C1050" s="61">
        <v>4.7987700000000002</v>
      </c>
    </row>
    <row r="1051" spans="1:3" x14ac:dyDescent="0.25">
      <c r="A1051" s="47" t="s">
        <v>5309</v>
      </c>
      <c r="B1051" s="64">
        <v>8.92</v>
      </c>
      <c r="C1051" s="61">
        <v>6.6272799999999998</v>
      </c>
    </row>
    <row r="1052" spans="1:3" x14ac:dyDescent="0.25">
      <c r="A1052" s="47" t="s">
        <v>5312</v>
      </c>
      <c r="B1052" s="64">
        <v>90.131770000000003</v>
      </c>
      <c r="C1052" s="61">
        <v>9.3087199999999992</v>
      </c>
    </row>
    <row r="1053" spans="1:3" x14ac:dyDescent="0.25">
      <c r="A1053" s="47" t="s">
        <v>5315</v>
      </c>
      <c r="B1053" s="64">
        <v>90.131770000000003</v>
      </c>
      <c r="C1053" s="61">
        <v>8.3499800000000004</v>
      </c>
    </row>
    <row r="1054" spans="1:3" x14ac:dyDescent="0.25">
      <c r="A1054" s="47" t="s">
        <v>5318</v>
      </c>
      <c r="B1054" s="64">
        <v>1</v>
      </c>
      <c r="C1054" s="61">
        <v>5.2084000000000001</v>
      </c>
    </row>
    <row r="1055" spans="1:3" x14ac:dyDescent="0.25">
      <c r="A1055" s="47" t="s">
        <v>5321</v>
      </c>
      <c r="B1055" s="64">
        <v>4</v>
      </c>
      <c r="C1055" s="61">
        <v>0.01</v>
      </c>
    </row>
    <row r="1056" spans="1:3" x14ac:dyDescent="0.25">
      <c r="A1056" s="47" t="s">
        <v>5324</v>
      </c>
      <c r="B1056" s="64">
        <v>7.3455000000000004</v>
      </c>
      <c r="C1056" s="61">
        <v>22</v>
      </c>
    </row>
    <row r="1057" spans="1:3" x14ac:dyDescent="0.25">
      <c r="A1057" s="47" t="s">
        <v>5327</v>
      </c>
      <c r="B1057" s="64">
        <v>99.3</v>
      </c>
      <c r="C1057" s="61">
        <v>2.5833400000000002</v>
      </c>
    </row>
    <row r="1058" spans="1:3" x14ac:dyDescent="0.25">
      <c r="A1058" s="47" t="s">
        <v>5330</v>
      </c>
      <c r="B1058" s="64">
        <v>368.48649999999998</v>
      </c>
      <c r="C1058" s="61">
        <v>2.5833400000000002</v>
      </c>
    </row>
    <row r="1059" spans="1:3" x14ac:dyDescent="0.25">
      <c r="A1059" s="47" t="s">
        <v>5334</v>
      </c>
      <c r="B1059" s="64">
        <v>368.48649999999998</v>
      </c>
      <c r="C1059" s="61">
        <v>2.5833499999999998</v>
      </c>
    </row>
    <row r="1060" spans="1:3" x14ac:dyDescent="0.25">
      <c r="A1060" s="47" t="s">
        <v>5337</v>
      </c>
      <c r="B1060" s="64">
        <v>5.3</v>
      </c>
      <c r="C1060" s="61">
        <v>3.5783499999999999</v>
      </c>
    </row>
    <row r="1061" spans="1:3" x14ac:dyDescent="0.25">
      <c r="A1061" s="47" t="s">
        <v>5343</v>
      </c>
      <c r="B1061" s="64">
        <v>5.3</v>
      </c>
      <c r="C1061" s="61">
        <v>2.5833400000000002</v>
      </c>
    </row>
    <row r="1062" spans="1:3" x14ac:dyDescent="0.25">
      <c r="A1062" s="47" t="s">
        <v>5346</v>
      </c>
      <c r="B1062" s="64">
        <v>46.809010000000001</v>
      </c>
      <c r="C1062" s="61">
        <v>2.5834000000000001</v>
      </c>
    </row>
    <row r="1063" spans="1:3" x14ac:dyDescent="0.25">
      <c r="A1063" s="47" t="s">
        <v>5350</v>
      </c>
      <c r="B1063" s="64">
        <v>24</v>
      </c>
      <c r="C1063" s="61">
        <v>2.5833499999999998</v>
      </c>
    </row>
    <row r="1064" spans="1:3" x14ac:dyDescent="0.25">
      <c r="A1064" s="47" t="s">
        <v>5353</v>
      </c>
      <c r="B1064" s="64">
        <v>10.40333</v>
      </c>
      <c r="C1064" s="61">
        <v>5.0644400000000003</v>
      </c>
    </row>
    <row r="1065" spans="1:3" x14ac:dyDescent="0.25">
      <c r="A1065" s="47" t="s">
        <v>5357</v>
      </c>
      <c r="B1065" s="64">
        <v>1</v>
      </c>
      <c r="C1065" s="61">
        <v>6.2748400000000002</v>
      </c>
    </row>
    <row r="1066" spans="1:3" x14ac:dyDescent="0.25">
      <c r="A1066" s="47" t="s">
        <v>5360</v>
      </c>
      <c r="B1066" s="64">
        <v>1</v>
      </c>
      <c r="C1066" s="61">
        <v>18</v>
      </c>
    </row>
    <row r="1067" spans="1:3" x14ac:dyDescent="0.25">
      <c r="A1067" s="47" t="s">
        <v>5363</v>
      </c>
      <c r="B1067" s="64">
        <v>1</v>
      </c>
      <c r="C1067" s="61">
        <v>2.97932</v>
      </c>
    </row>
    <row r="1068" spans="1:3" x14ac:dyDescent="0.25">
      <c r="A1068" s="47" t="s">
        <v>5366</v>
      </c>
      <c r="B1068" s="64">
        <v>75.042000000000002</v>
      </c>
      <c r="C1068" s="61">
        <v>6.7</v>
      </c>
    </row>
    <row r="1069" spans="1:3" x14ac:dyDescent="0.25">
      <c r="A1069" s="47" t="s">
        <v>5370</v>
      </c>
      <c r="B1069" s="64">
        <v>75.042000000000002</v>
      </c>
      <c r="C1069" s="61">
        <v>7.9</v>
      </c>
    </row>
    <row r="1070" spans="1:3" x14ac:dyDescent="0.25">
      <c r="A1070" s="47" t="s">
        <v>5373</v>
      </c>
      <c r="B1070" s="64">
        <v>75.042000000000002</v>
      </c>
      <c r="C1070" s="61">
        <v>3.0664400000000001</v>
      </c>
    </row>
    <row r="1071" spans="1:3" x14ac:dyDescent="0.25">
      <c r="A1071" s="47" t="s">
        <v>5376</v>
      </c>
      <c r="B1071" s="64">
        <v>95.195830000000001</v>
      </c>
      <c r="C1071" s="61">
        <v>2.7355499999999999</v>
      </c>
    </row>
    <row r="1072" spans="1:3" x14ac:dyDescent="0.25">
      <c r="A1072" s="47" t="s">
        <v>5379</v>
      </c>
      <c r="B1072" s="64">
        <v>3.86</v>
      </c>
      <c r="C1072" s="61">
        <v>2.5886499999999999</v>
      </c>
    </row>
    <row r="1073" spans="1:3" x14ac:dyDescent="0.25">
      <c r="A1073" s="47" t="s">
        <v>5383</v>
      </c>
      <c r="B1073" s="64">
        <v>3.86</v>
      </c>
      <c r="C1073" s="61">
        <v>2.5886499999999999</v>
      </c>
    </row>
    <row r="1074" spans="1:3" x14ac:dyDescent="0.25">
      <c r="A1074" s="47" t="s">
        <v>5386</v>
      </c>
      <c r="B1074" s="64">
        <v>3.86</v>
      </c>
      <c r="C1074" s="61">
        <v>2.5833499999999998</v>
      </c>
    </row>
    <row r="1075" spans="1:3" x14ac:dyDescent="0.25">
      <c r="A1075" s="47" t="s">
        <v>5401</v>
      </c>
      <c r="B1075" s="64">
        <v>15.8</v>
      </c>
      <c r="C1075" s="61">
        <v>11.36116</v>
      </c>
    </row>
    <row r="1076" spans="1:3" x14ac:dyDescent="0.25">
      <c r="A1076" s="47" t="s">
        <v>5405</v>
      </c>
      <c r="B1076" s="64">
        <v>110</v>
      </c>
      <c r="C1076" s="61">
        <v>106.43438999999999</v>
      </c>
    </row>
    <row r="1077" spans="1:3" x14ac:dyDescent="0.25">
      <c r="A1077" s="47" t="s">
        <v>5409</v>
      </c>
      <c r="B1077" s="64">
        <v>1016</v>
      </c>
      <c r="C1077" s="61">
        <v>2.6692</v>
      </c>
    </row>
    <row r="1078" spans="1:3" x14ac:dyDescent="0.25">
      <c r="A1078" s="47" t="s">
        <v>5412</v>
      </c>
      <c r="B1078" s="64">
        <v>3.3</v>
      </c>
      <c r="C1078" s="61">
        <v>8.5577900000000007</v>
      </c>
    </row>
    <row r="1079" spans="1:3" x14ac:dyDescent="0.25">
      <c r="A1079" s="47" t="s">
        <v>5418</v>
      </c>
      <c r="B1079" s="64">
        <v>1016</v>
      </c>
      <c r="C1079" s="61">
        <v>4.1705300000000003</v>
      </c>
    </row>
    <row r="1080" spans="1:3" x14ac:dyDescent="0.25">
      <c r="A1080" s="47" t="s">
        <v>5421</v>
      </c>
      <c r="B1080" s="64">
        <v>1016</v>
      </c>
      <c r="C1080" s="61">
        <v>2.5833499999999998</v>
      </c>
    </row>
    <row r="1081" spans="1:3" x14ac:dyDescent="0.25">
      <c r="A1081" s="47" t="s">
        <v>5424</v>
      </c>
      <c r="B1081" s="64">
        <v>1016</v>
      </c>
      <c r="C1081" s="61">
        <v>2.5833499999999998</v>
      </c>
    </row>
    <row r="1082" spans="1:3" x14ac:dyDescent="0.25">
      <c r="A1082" s="47" t="s">
        <v>5427</v>
      </c>
      <c r="B1082" s="64">
        <v>1016</v>
      </c>
      <c r="C1082" s="61">
        <v>2.70879</v>
      </c>
    </row>
    <row r="1083" spans="1:3" x14ac:dyDescent="0.25">
      <c r="A1083" s="47" t="s">
        <v>5430</v>
      </c>
      <c r="B1083" s="64">
        <v>1016</v>
      </c>
      <c r="C1083" s="61">
        <v>4.2761199999999997</v>
      </c>
    </row>
    <row r="1084" spans="1:3" x14ac:dyDescent="0.25">
      <c r="A1084" s="47" t="s">
        <v>5433</v>
      </c>
      <c r="B1084" s="64">
        <v>1016</v>
      </c>
      <c r="C1084" s="61">
        <v>2.6687400000000001</v>
      </c>
    </row>
    <row r="1085" spans="1:3" x14ac:dyDescent="0.25">
      <c r="A1085" s="47" t="s">
        <v>5436</v>
      </c>
      <c r="B1085" s="64">
        <v>2.48</v>
      </c>
      <c r="C1085" s="61">
        <v>2.6811500000000001</v>
      </c>
    </row>
    <row r="1086" spans="1:3" x14ac:dyDescent="0.25">
      <c r="A1086" s="47" t="s">
        <v>5439</v>
      </c>
      <c r="B1086" s="64">
        <v>2.48</v>
      </c>
      <c r="C1086" s="61">
        <v>2.6054300000000001</v>
      </c>
    </row>
    <row r="1087" spans="1:3" x14ac:dyDescent="0.25">
      <c r="A1087" s="47" t="s">
        <v>5442</v>
      </c>
      <c r="B1087" s="64">
        <v>2.48</v>
      </c>
      <c r="C1087" s="61">
        <v>2.5921799999999999</v>
      </c>
    </row>
    <row r="1088" spans="1:3" x14ac:dyDescent="0.25">
      <c r="A1088" s="47" t="s">
        <v>5445</v>
      </c>
      <c r="B1088" s="64">
        <v>2.48</v>
      </c>
      <c r="C1088" s="61">
        <v>3.3565700000000001</v>
      </c>
    </row>
    <row r="1089" spans="1:3" x14ac:dyDescent="0.25">
      <c r="A1089" s="47" t="s">
        <v>5454</v>
      </c>
      <c r="B1089" s="64">
        <v>3.3</v>
      </c>
      <c r="C1089" s="61">
        <v>12.539429999999999</v>
      </c>
    </row>
    <row r="1090" spans="1:3" x14ac:dyDescent="0.25">
      <c r="A1090" s="47" t="s">
        <v>5457</v>
      </c>
      <c r="B1090" s="64">
        <v>1016</v>
      </c>
      <c r="C1090" s="61">
        <v>2.5833499999999998</v>
      </c>
    </row>
    <row r="1091" spans="1:3" x14ac:dyDescent="0.25">
      <c r="A1091" s="47" t="s">
        <v>5460</v>
      </c>
      <c r="B1091" s="64">
        <v>1016</v>
      </c>
      <c r="C1091" s="61">
        <v>3.9555699999999998</v>
      </c>
    </row>
    <row r="1092" spans="1:3" x14ac:dyDescent="0.25">
      <c r="A1092" s="47" t="s">
        <v>5463</v>
      </c>
      <c r="B1092" s="64">
        <v>1016</v>
      </c>
      <c r="C1092" s="61">
        <v>2.5833499999999998</v>
      </c>
    </row>
    <row r="1093" spans="1:3" x14ac:dyDescent="0.25">
      <c r="A1093" s="47" t="s">
        <v>5466</v>
      </c>
      <c r="B1093" s="64">
        <v>71</v>
      </c>
      <c r="C1093" s="61">
        <v>28.39443</v>
      </c>
    </row>
    <row r="1094" spans="1:3" x14ac:dyDescent="0.25">
      <c r="A1094" s="47" t="s">
        <v>5470</v>
      </c>
      <c r="B1094" s="64">
        <v>47</v>
      </c>
      <c r="C1094" s="61">
        <v>71.233140000000006</v>
      </c>
    </row>
    <row r="1095" spans="1:3" x14ac:dyDescent="0.25">
      <c r="A1095" s="47" t="s">
        <v>5475</v>
      </c>
      <c r="B1095" s="64">
        <v>2.48</v>
      </c>
      <c r="C1095" s="61">
        <v>3.27949</v>
      </c>
    </row>
    <row r="1096" spans="1:3" x14ac:dyDescent="0.25">
      <c r="A1096" s="47" t="s">
        <v>5478</v>
      </c>
      <c r="B1096" s="64">
        <v>2.48</v>
      </c>
      <c r="C1096" s="61">
        <v>2.5833499999999998</v>
      </c>
    </row>
    <row r="1097" spans="1:3" x14ac:dyDescent="0.25">
      <c r="A1097" s="47" t="s">
        <v>5481</v>
      </c>
      <c r="B1097" s="64">
        <v>2.48</v>
      </c>
      <c r="C1097" s="61">
        <v>2.5833499999999998</v>
      </c>
    </row>
    <row r="1098" spans="1:3" x14ac:dyDescent="0.25">
      <c r="A1098" s="47" t="s">
        <v>5484</v>
      </c>
      <c r="B1098" s="64">
        <v>368.48649999999998</v>
      </c>
      <c r="C1098" s="61">
        <v>2.5833400000000002</v>
      </c>
    </row>
    <row r="1099" spans="1:3" x14ac:dyDescent="0.25">
      <c r="A1099" s="47" t="s">
        <v>5487</v>
      </c>
      <c r="B1099" s="64">
        <v>2.48</v>
      </c>
      <c r="C1099" s="61">
        <v>2.5919699999999999</v>
      </c>
    </row>
    <row r="1100" spans="1:3" x14ac:dyDescent="0.25">
      <c r="A1100" s="47" t="s">
        <v>5490</v>
      </c>
      <c r="B1100" s="64">
        <v>2.48</v>
      </c>
      <c r="C1100" s="61">
        <v>2.5834100000000002</v>
      </c>
    </row>
    <row r="1101" spans="1:3" x14ac:dyDescent="0.25">
      <c r="A1101" s="47" t="s">
        <v>5493</v>
      </c>
      <c r="B1101" s="64">
        <v>2.68</v>
      </c>
      <c r="C1101" s="61">
        <v>3.0746899999999999</v>
      </c>
    </row>
    <row r="1102" spans="1:3" x14ac:dyDescent="0.25">
      <c r="A1102" s="47" t="s">
        <v>5496</v>
      </c>
      <c r="B1102" s="64">
        <v>5.3</v>
      </c>
      <c r="C1102" s="61">
        <v>2.5833400000000002</v>
      </c>
    </row>
    <row r="1103" spans="1:3" x14ac:dyDescent="0.25">
      <c r="A1103" s="47" t="s">
        <v>5499</v>
      </c>
      <c r="B1103" s="64">
        <v>5.3</v>
      </c>
      <c r="C1103" s="61">
        <v>2.5833400000000002</v>
      </c>
    </row>
    <row r="1104" spans="1:3" x14ac:dyDescent="0.25">
      <c r="A1104" s="47" t="s">
        <v>5502</v>
      </c>
      <c r="B1104" s="64">
        <v>0.59</v>
      </c>
      <c r="C1104" s="61">
        <v>4.7203999999999997</v>
      </c>
    </row>
    <row r="1105" spans="1:3" x14ac:dyDescent="0.25">
      <c r="A1105" s="47" t="s">
        <v>5505</v>
      </c>
      <c r="B1105" s="64">
        <v>368.48649999999998</v>
      </c>
      <c r="C1105" s="61">
        <v>2.5833400000000002</v>
      </c>
    </row>
    <row r="1106" spans="1:3" x14ac:dyDescent="0.25">
      <c r="A1106" s="47" t="s">
        <v>5508</v>
      </c>
      <c r="B1106" s="64">
        <v>5.3</v>
      </c>
      <c r="C1106" s="61">
        <v>2.5833400000000002</v>
      </c>
    </row>
    <row r="1107" spans="1:3" x14ac:dyDescent="0.25">
      <c r="A1107" s="47" t="s">
        <v>5511</v>
      </c>
      <c r="B1107" s="64">
        <v>21.5</v>
      </c>
      <c r="C1107" s="61">
        <v>20.86666</v>
      </c>
    </row>
    <row r="1108" spans="1:3" x14ac:dyDescent="0.25">
      <c r="A1108" s="47" t="s">
        <v>5518</v>
      </c>
      <c r="B1108" s="64">
        <v>1.41</v>
      </c>
      <c r="C1108" s="61">
        <v>7.3610499999999996</v>
      </c>
    </row>
    <row r="1109" spans="1:3" x14ac:dyDescent="0.25">
      <c r="A1109" s="47" t="s">
        <v>5521</v>
      </c>
      <c r="B1109" s="64">
        <v>1.41</v>
      </c>
      <c r="C1109" s="61">
        <v>7.3914099999999996</v>
      </c>
    </row>
    <row r="1110" spans="1:3" x14ac:dyDescent="0.25">
      <c r="A1110" s="47" t="s">
        <v>5524</v>
      </c>
      <c r="B1110" s="64">
        <v>5.3</v>
      </c>
      <c r="C1110" s="61">
        <v>5.1406799999999997</v>
      </c>
    </row>
    <row r="1111" spans="1:3" x14ac:dyDescent="0.25">
      <c r="A1111" s="47" t="s">
        <v>5527</v>
      </c>
      <c r="B1111" s="64">
        <v>5.3</v>
      </c>
      <c r="C1111" s="61">
        <v>4.3832800000000001</v>
      </c>
    </row>
    <row r="1112" spans="1:3" x14ac:dyDescent="0.25">
      <c r="A1112" s="47" t="s">
        <v>5530</v>
      </c>
      <c r="B1112" s="64">
        <v>0.72499999999999998</v>
      </c>
      <c r="C1112" s="61">
        <v>3.6678199999999999</v>
      </c>
    </row>
    <row r="1113" spans="1:3" x14ac:dyDescent="0.25">
      <c r="A1113" s="47" t="s">
        <v>5534</v>
      </c>
      <c r="B1113" s="64">
        <v>5.3</v>
      </c>
      <c r="C1113" s="61">
        <v>2.6076700000000002</v>
      </c>
    </row>
    <row r="1114" spans="1:3" x14ac:dyDescent="0.25">
      <c r="A1114" s="47" t="s">
        <v>5537</v>
      </c>
      <c r="B1114" s="64">
        <v>166.8</v>
      </c>
      <c r="C1114" s="61">
        <v>5.8582000000000001</v>
      </c>
    </row>
    <row r="1115" spans="1:3" x14ac:dyDescent="0.25">
      <c r="A1115" s="47" t="s">
        <v>5540</v>
      </c>
      <c r="B1115" s="64">
        <v>166.8</v>
      </c>
      <c r="C1115" s="61">
        <v>5.46035</v>
      </c>
    </row>
    <row r="1116" spans="1:3" x14ac:dyDescent="0.25">
      <c r="A1116" s="47" t="s">
        <v>5543</v>
      </c>
      <c r="B1116" s="64">
        <v>166.8</v>
      </c>
      <c r="C1116" s="61">
        <v>6.0194799999999997</v>
      </c>
    </row>
    <row r="1117" spans="1:3" x14ac:dyDescent="0.25">
      <c r="A1117" s="47" t="s">
        <v>5546</v>
      </c>
      <c r="B1117" s="64">
        <v>46.809010000000001</v>
      </c>
      <c r="C1117" s="61">
        <v>136</v>
      </c>
    </row>
    <row r="1118" spans="1:3" x14ac:dyDescent="0.25">
      <c r="A1118" s="47" t="s">
        <v>5549</v>
      </c>
      <c r="B1118" s="64">
        <v>90.131770000000003</v>
      </c>
      <c r="C1118" s="61">
        <v>2.5834000000000001</v>
      </c>
    </row>
    <row r="1119" spans="1:3" x14ac:dyDescent="0.25">
      <c r="A1119" s="47" t="s">
        <v>5552</v>
      </c>
      <c r="B1119" s="64">
        <v>106.3</v>
      </c>
      <c r="C1119" s="61">
        <v>3.3474300000000001</v>
      </c>
    </row>
    <row r="1120" spans="1:3" x14ac:dyDescent="0.25">
      <c r="A1120" s="47" t="s">
        <v>5555</v>
      </c>
      <c r="B1120" s="64">
        <v>5.3</v>
      </c>
      <c r="C1120" s="61">
        <v>2.5833400000000002</v>
      </c>
    </row>
    <row r="1121" spans="1:3" x14ac:dyDescent="0.25">
      <c r="A1121" s="47" t="s">
        <v>5558</v>
      </c>
      <c r="B1121" s="64">
        <v>5.3</v>
      </c>
      <c r="C1121" s="61">
        <v>2.5833400000000002</v>
      </c>
    </row>
    <row r="1122" spans="1:3" x14ac:dyDescent="0.25">
      <c r="A1122" s="47" t="s">
        <v>5561</v>
      </c>
      <c r="B1122" s="64">
        <v>0.59</v>
      </c>
      <c r="C1122" s="61">
        <v>2.5833400000000002</v>
      </c>
    </row>
    <row r="1123" spans="1:3" x14ac:dyDescent="0.25">
      <c r="A1123" s="47" t="s">
        <v>5564</v>
      </c>
      <c r="B1123" s="64">
        <v>0.59</v>
      </c>
      <c r="C1123" s="61">
        <v>2.5833499999999998</v>
      </c>
    </row>
    <row r="1124" spans="1:3" x14ac:dyDescent="0.25">
      <c r="A1124" s="47" t="s">
        <v>5567</v>
      </c>
      <c r="B1124" s="64">
        <v>368.48649999999998</v>
      </c>
      <c r="C1124" s="61">
        <v>2.5833400000000002</v>
      </c>
    </row>
    <row r="1125" spans="1:3" x14ac:dyDescent="0.25">
      <c r="A1125" s="47" t="s">
        <v>5570</v>
      </c>
      <c r="B1125" s="64">
        <v>5.3</v>
      </c>
      <c r="C1125" s="61">
        <v>3.9145599999999998</v>
      </c>
    </row>
    <row r="1126" spans="1:3" x14ac:dyDescent="0.25">
      <c r="A1126" s="47" t="s">
        <v>5573</v>
      </c>
      <c r="B1126" s="64">
        <v>75.042000000000002</v>
      </c>
      <c r="C1126" s="61">
        <v>6.5237100000000003</v>
      </c>
    </row>
    <row r="1127" spans="1:3" x14ac:dyDescent="0.25">
      <c r="A1127" s="47" t="s">
        <v>5576</v>
      </c>
      <c r="B1127" s="64">
        <v>10</v>
      </c>
      <c r="C1127" s="61">
        <v>6.8710699999999996</v>
      </c>
    </row>
    <row r="1128" spans="1:3" x14ac:dyDescent="0.25">
      <c r="A1128" s="47" t="s">
        <v>5580</v>
      </c>
      <c r="B1128" s="64">
        <v>90.131770000000003</v>
      </c>
      <c r="C1128" s="61">
        <v>8.9812799999999999</v>
      </c>
    </row>
    <row r="1129" spans="1:3" x14ac:dyDescent="0.25">
      <c r="A1129" s="47" t="s">
        <v>5583</v>
      </c>
      <c r="B1129" s="64">
        <v>1</v>
      </c>
      <c r="C1129" s="61">
        <v>2.64934</v>
      </c>
    </row>
    <row r="1130" spans="1:3" x14ac:dyDescent="0.25">
      <c r="A1130" s="47" t="s">
        <v>5586</v>
      </c>
      <c r="B1130" s="64">
        <v>1016</v>
      </c>
      <c r="C1130" s="61">
        <v>2.8820399999999999</v>
      </c>
    </row>
    <row r="1131" spans="1:3" x14ac:dyDescent="0.25">
      <c r="A1131" s="47" t="s">
        <v>5589</v>
      </c>
      <c r="B1131" s="64">
        <v>1016</v>
      </c>
      <c r="C1131" s="61">
        <v>2.5833499999999998</v>
      </c>
    </row>
    <row r="1132" spans="1:3" x14ac:dyDescent="0.25">
      <c r="A1132" s="47" t="s">
        <v>5592</v>
      </c>
      <c r="B1132" s="64">
        <v>1016</v>
      </c>
      <c r="C1132" s="61">
        <v>2.6687400000000001</v>
      </c>
    </row>
    <row r="1133" spans="1:3" x14ac:dyDescent="0.25">
      <c r="A1133" s="47" t="s">
        <v>5595</v>
      </c>
      <c r="B1133" s="64">
        <v>1016</v>
      </c>
      <c r="C1133" s="61">
        <v>3.83249</v>
      </c>
    </row>
    <row r="1134" spans="1:3" x14ac:dyDescent="0.25">
      <c r="A1134" s="47" t="s">
        <v>5598</v>
      </c>
      <c r="B1134" s="64">
        <v>1016</v>
      </c>
      <c r="C1134" s="61">
        <v>2.5833400000000002</v>
      </c>
    </row>
    <row r="1135" spans="1:3" x14ac:dyDescent="0.25">
      <c r="A1135" s="47" t="s">
        <v>5601</v>
      </c>
      <c r="B1135" s="64">
        <v>19.600000000000001</v>
      </c>
      <c r="C1135" s="61">
        <v>21.63391</v>
      </c>
    </row>
    <row r="1136" spans="1:3" x14ac:dyDescent="0.25">
      <c r="A1136" s="47" t="s">
        <v>5604</v>
      </c>
      <c r="B1136" s="64">
        <v>106.3</v>
      </c>
      <c r="C1136" s="61">
        <v>17.158709999999999</v>
      </c>
    </row>
    <row r="1137" spans="1:3" x14ac:dyDescent="0.25">
      <c r="A1137" s="47" t="s">
        <v>5607</v>
      </c>
      <c r="B1137" s="64">
        <v>24</v>
      </c>
      <c r="C1137" s="61">
        <v>10.97279</v>
      </c>
    </row>
    <row r="1138" spans="1:3" x14ac:dyDescent="0.25">
      <c r="A1138" s="47" t="s">
        <v>5609</v>
      </c>
      <c r="B1138" s="64">
        <v>24</v>
      </c>
      <c r="C1138" s="61">
        <v>2.64134</v>
      </c>
    </row>
    <row r="1139" spans="1:3" x14ac:dyDescent="0.25">
      <c r="A1139" s="47" t="s">
        <v>5612</v>
      </c>
      <c r="B1139" s="64">
        <v>1</v>
      </c>
      <c r="C1139" s="61">
        <v>2.71306</v>
      </c>
    </row>
    <row r="1140" spans="1:3" x14ac:dyDescent="0.25">
      <c r="A1140" s="47" t="s">
        <v>5615</v>
      </c>
      <c r="B1140" s="64">
        <v>24</v>
      </c>
      <c r="C1140" s="61">
        <v>2.75589</v>
      </c>
    </row>
    <row r="1141" spans="1:3" x14ac:dyDescent="0.25">
      <c r="A1141" s="47" t="s">
        <v>5617</v>
      </c>
      <c r="B1141" s="64">
        <v>24</v>
      </c>
      <c r="C1141" s="61">
        <v>2.5833499999999998</v>
      </c>
    </row>
    <row r="1142" spans="1:3" x14ac:dyDescent="0.25">
      <c r="A1142" s="47" t="s">
        <v>5620</v>
      </c>
      <c r="B1142" s="64">
        <v>1.41</v>
      </c>
      <c r="C1142" s="61">
        <v>42.225250000000003</v>
      </c>
    </row>
    <row r="1143" spans="1:3" x14ac:dyDescent="0.25">
      <c r="A1143" s="47" t="s">
        <v>5623</v>
      </c>
      <c r="B1143" s="64">
        <v>291.62043</v>
      </c>
      <c r="C1143" s="61">
        <v>7.3365099999999996</v>
      </c>
    </row>
    <row r="1144" spans="1:3" x14ac:dyDescent="0.25">
      <c r="A1144" s="47" t="s">
        <v>5627</v>
      </c>
      <c r="B1144" s="64">
        <v>166.8</v>
      </c>
      <c r="C1144" s="61">
        <v>2.5833499999999998</v>
      </c>
    </row>
    <row r="1145" spans="1:3" x14ac:dyDescent="0.25">
      <c r="A1145" s="47" t="s">
        <v>5630</v>
      </c>
      <c r="B1145" s="64">
        <v>46.809010000000001</v>
      </c>
      <c r="C1145" s="61">
        <v>3.0578599999999998</v>
      </c>
    </row>
    <row r="1146" spans="1:3" x14ac:dyDescent="0.25">
      <c r="A1146" s="47" t="s">
        <v>5633</v>
      </c>
      <c r="B1146" s="64">
        <v>1</v>
      </c>
      <c r="C1146" s="61">
        <v>2.9327200000000002</v>
      </c>
    </row>
    <row r="1147" spans="1:3" x14ac:dyDescent="0.25">
      <c r="A1147" s="47" t="s">
        <v>5636</v>
      </c>
      <c r="B1147" s="64">
        <v>106.3</v>
      </c>
      <c r="C1147" s="61">
        <v>19.865369999999999</v>
      </c>
    </row>
    <row r="1148" spans="1:3" x14ac:dyDescent="0.25">
      <c r="A1148" s="47" t="s">
        <v>5639</v>
      </c>
      <c r="B1148" s="64">
        <v>1.28</v>
      </c>
      <c r="C1148" s="61">
        <v>4.2280199999999999</v>
      </c>
    </row>
    <row r="1149" spans="1:3" x14ac:dyDescent="0.25">
      <c r="A1149" s="47" t="s">
        <v>5642</v>
      </c>
      <c r="B1149" s="64">
        <v>99.3</v>
      </c>
      <c r="C1149" s="61">
        <v>1.3</v>
      </c>
    </row>
    <row r="1150" spans="1:3" x14ac:dyDescent="0.25">
      <c r="A1150" s="47" t="s">
        <v>5645</v>
      </c>
      <c r="B1150" s="64">
        <v>99.3</v>
      </c>
      <c r="C1150" s="61">
        <v>2.5833400000000002</v>
      </c>
    </row>
    <row r="1151" spans="1:3" x14ac:dyDescent="0.25">
      <c r="A1151" s="47" t="s">
        <v>5648</v>
      </c>
      <c r="B1151" s="64">
        <v>1</v>
      </c>
      <c r="C1151" s="61">
        <v>6.5181500000000003</v>
      </c>
    </row>
    <row r="1152" spans="1:3" x14ac:dyDescent="0.25">
      <c r="A1152" s="47" t="s">
        <v>5651</v>
      </c>
      <c r="B1152" s="64">
        <v>368.48649999999998</v>
      </c>
      <c r="C1152" s="61">
        <v>4.6524000000000001</v>
      </c>
    </row>
    <row r="1153" spans="1:3" x14ac:dyDescent="0.25">
      <c r="A1153" s="47" t="s">
        <v>5654</v>
      </c>
      <c r="B1153" s="64">
        <v>24</v>
      </c>
      <c r="C1153" s="61">
        <v>2.6415999999999999</v>
      </c>
    </row>
    <row r="1154" spans="1:3" x14ac:dyDescent="0.25">
      <c r="A1154" s="47" t="s">
        <v>5657</v>
      </c>
      <c r="B1154" s="64">
        <v>24</v>
      </c>
      <c r="C1154" s="61">
        <v>4.8266600000000004</v>
      </c>
    </row>
    <row r="1155" spans="1:3" x14ac:dyDescent="0.25">
      <c r="A1155" s="47" t="s">
        <v>5660</v>
      </c>
      <c r="B1155" s="64">
        <v>24</v>
      </c>
      <c r="C1155" s="61">
        <v>2.6521400000000002</v>
      </c>
    </row>
    <row r="1156" spans="1:3" x14ac:dyDescent="0.25">
      <c r="A1156" s="47" t="s">
        <v>5663</v>
      </c>
      <c r="B1156" s="64">
        <v>24</v>
      </c>
      <c r="C1156" s="61">
        <v>4.7872199999999996</v>
      </c>
    </row>
    <row r="1157" spans="1:3" x14ac:dyDescent="0.25">
      <c r="A1157" s="47" t="s">
        <v>5666</v>
      </c>
      <c r="B1157" s="64">
        <v>90.131770000000003</v>
      </c>
      <c r="C1157" s="61">
        <v>17.539359999999999</v>
      </c>
    </row>
    <row r="1158" spans="1:3" x14ac:dyDescent="0.25">
      <c r="A1158" s="47" t="s">
        <v>5669</v>
      </c>
      <c r="B1158" s="64">
        <v>1009</v>
      </c>
      <c r="C1158" s="61">
        <v>2.73685</v>
      </c>
    </row>
    <row r="1159" spans="1:3" x14ac:dyDescent="0.25">
      <c r="A1159" s="47" t="s">
        <v>5681</v>
      </c>
      <c r="B1159" s="64">
        <v>75.042000000000002</v>
      </c>
      <c r="C1159" s="61">
        <v>7.3447300000000002</v>
      </c>
    </row>
    <row r="1160" spans="1:3" x14ac:dyDescent="0.25">
      <c r="A1160" s="47" t="s">
        <v>5705</v>
      </c>
      <c r="B1160" s="64">
        <v>152</v>
      </c>
      <c r="C1160" s="61">
        <v>2.5833499999999998</v>
      </c>
    </row>
    <row r="1161" spans="1:3" x14ac:dyDescent="0.25">
      <c r="A1161" s="47" t="s">
        <v>5711</v>
      </c>
      <c r="B1161" s="64">
        <v>1.41</v>
      </c>
      <c r="C1161" s="61">
        <v>3.26959</v>
      </c>
    </row>
    <row r="1162" spans="1:3" x14ac:dyDescent="0.25">
      <c r="A1162" s="47" t="s">
        <v>5714</v>
      </c>
      <c r="B1162" s="64">
        <v>1</v>
      </c>
      <c r="C1162" s="61">
        <v>2.9985400000000002</v>
      </c>
    </row>
    <row r="1163" spans="1:3" x14ac:dyDescent="0.25">
      <c r="A1163" s="47" t="s">
        <v>5717</v>
      </c>
      <c r="B1163" s="64">
        <v>1</v>
      </c>
      <c r="C1163" s="61">
        <v>8.9708600000000001</v>
      </c>
    </row>
    <row r="1164" spans="1:3" x14ac:dyDescent="0.25">
      <c r="A1164" s="47" t="s">
        <v>5726</v>
      </c>
      <c r="B1164" s="64">
        <v>6.7000000000000004E-2</v>
      </c>
      <c r="C1164" s="61">
        <v>14.60009</v>
      </c>
    </row>
    <row r="1165" spans="1:3" x14ac:dyDescent="0.25">
      <c r="A1165" s="47" t="s">
        <v>5729</v>
      </c>
      <c r="B1165" s="64">
        <v>6.7000000000000004E-2</v>
      </c>
      <c r="C1165" s="61">
        <v>447.84208000000001</v>
      </c>
    </row>
    <row r="1166" spans="1:3" x14ac:dyDescent="0.25">
      <c r="A1166" s="47" t="s">
        <v>5732</v>
      </c>
      <c r="B1166" s="64">
        <v>6.7000000000000004E-2</v>
      </c>
      <c r="C1166" s="61">
        <v>29.938230000000001</v>
      </c>
    </row>
    <row r="1167" spans="1:3" x14ac:dyDescent="0.25">
      <c r="A1167" s="47" t="s">
        <v>5735</v>
      </c>
      <c r="B1167" s="64">
        <v>184</v>
      </c>
      <c r="C1167" s="61">
        <v>4.4974499999999997</v>
      </c>
    </row>
    <row r="1168" spans="1:3" x14ac:dyDescent="0.25">
      <c r="A1168" s="47" t="s">
        <v>5738</v>
      </c>
      <c r="B1168" s="64">
        <v>152</v>
      </c>
      <c r="C1168" s="61">
        <v>4.2148500000000002</v>
      </c>
    </row>
    <row r="1169" spans="1:3" x14ac:dyDescent="0.25">
      <c r="A1169" s="47" t="s">
        <v>5741</v>
      </c>
      <c r="B1169" s="64">
        <v>152</v>
      </c>
      <c r="C1169" s="61">
        <v>5.4075300000000004</v>
      </c>
    </row>
    <row r="1170" spans="1:3" x14ac:dyDescent="0.25">
      <c r="A1170" s="47" t="s">
        <v>5744</v>
      </c>
      <c r="B1170" s="64">
        <v>1</v>
      </c>
      <c r="C1170" s="61">
        <v>6.5554500000000004</v>
      </c>
    </row>
    <row r="1171" spans="1:3" x14ac:dyDescent="0.25">
      <c r="A1171" s="47" t="s">
        <v>5748</v>
      </c>
      <c r="B1171" s="64">
        <v>1</v>
      </c>
      <c r="C1171" s="61">
        <v>15</v>
      </c>
    </row>
    <row r="1172" spans="1:3" x14ac:dyDescent="0.25">
      <c r="A1172" s="47" t="s">
        <v>5751</v>
      </c>
      <c r="B1172" s="64">
        <v>1</v>
      </c>
      <c r="C1172" s="61">
        <v>5.0847499999999997</v>
      </c>
    </row>
    <row r="1173" spans="1:3" x14ac:dyDescent="0.25">
      <c r="A1173" s="47" t="s">
        <v>5754</v>
      </c>
      <c r="B1173" s="64">
        <v>10.40333</v>
      </c>
      <c r="C1173" s="61">
        <v>2.6163799999999999</v>
      </c>
    </row>
    <row r="1174" spans="1:3" x14ac:dyDescent="0.25">
      <c r="A1174" s="47" t="s">
        <v>5757</v>
      </c>
      <c r="B1174" s="64">
        <v>10.40333</v>
      </c>
      <c r="C1174" s="61">
        <v>2.61639</v>
      </c>
    </row>
    <row r="1175" spans="1:3" x14ac:dyDescent="0.25">
      <c r="A1175" s="47" t="s">
        <v>5760</v>
      </c>
      <c r="B1175" s="64">
        <v>10.40333</v>
      </c>
      <c r="C1175" s="61">
        <v>2.5834199999999998</v>
      </c>
    </row>
    <row r="1176" spans="1:3" x14ac:dyDescent="0.25">
      <c r="A1176" s="47" t="s">
        <v>5763</v>
      </c>
      <c r="B1176" s="64">
        <v>10.40333</v>
      </c>
      <c r="C1176" s="61">
        <v>5.0271600000000003</v>
      </c>
    </row>
    <row r="1177" spans="1:3" x14ac:dyDescent="0.25">
      <c r="A1177" s="47" t="s">
        <v>5766</v>
      </c>
      <c r="B1177" s="64">
        <v>46.809010000000001</v>
      </c>
      <c r="C1177" s="61">
        <v>19.768039999999999</v>
      </c>
    </row>
    <row r="1178" spans="1:3" x14ac:dyDescent="0.25">
      <c r="A1178" s="47" t="s">
        <v>5769</v>
      </c>
      <c r="B1178" s="64">
        <v>1.41</v>
      </c>
      <c r="C1178" s="61">
        <v>9.1976600000000008</v>
      </c>
    </row>
    <row r="1179" spans="1:3" x14ac:dyDescent="0.25">
      <c r="A1179" s="47" t="s">
        <v>5772</v>
      </c>
      <c r="B1179" s="64">
        <v>1.41</v>
      </c>
      <c r="C1179" s="61">
        <v>7.3133299999999997</v>
      </c>
    </row>
    <row r="1180" spans="1:3" x14ac:dyDescent="0.25">
      <c r="A1180" s="47" t="s">
        <v>5775</v>
      </c>
      <c r="B1180" s="64">
        <v>291.62043</v>
      </c>
      <c r="C1180" s="61">
        <v>8.7993199999999998</v>
      </c>
    </row>
    <row r="1181" spans="1:3" x14ac:dyDescent="0.25">
      <c r="A1181" s="47" t="s">
        <v>5781</v>
      </c>
      <c r="B1181" s="64">
        <v>368.48649999999998</v>
      </c>
      <c r="C1181" s="61">
        <v>3.7840600000000002</v>
      </c>
    </row>
    <row r="1182" spans="1:3" x14ac:dyDescent="0.25">
      <c r="A1182" s="47" t="s">
        <v>5784</v>
      </c>
      <c r="B1182" s="64">
        <v>2.48</v>
      </c>
      <c r="C1182" s="61">
        <v>2.5833400000000002</v>
      </c>
    </row>
    <row r="1183" spans="1:3" x14ac:dyDescent="0.25">
      <c r="A1183" s="47" t="s">
        <v>5787</v>
      </c>
      <c r="B1183" s="64">
        <v>0.97</v>
      </c>
      <c r="C1183" s="61">
        <v>3.9474499999999999</v>
      </c>
    </row>
    <row r="1184" spans="1:3" x14ac:dyDescent="0.25">
      <c r="A1184" s="47" t="s">
        <v>5790</v>
      </c>
      <c r="B1184" s="64">
        <v>1.0999999999999999E-2</v>
      </c>
      <c r="C1184" s="61">
        <v>2.5833499999999998</v>
      </c>
    </row>
    <row r="1185" spans="1:3" x14ac:dyDescent="0.25">
      <c r="A1185" s="47" t="s">
        <v>5793</v>
      </c>
      <c r="B1185" s="64">
        <v>99.3</v>
      </c>
      <c r="C1185" s="61">
        <v>4.0768399999999998</v>
      </c>
    </row>
    <row r="1186" spans="1:3" x14ac:dyDescent="0.25">
      <c r="A1186" s="47" t="s">
        <v>5796</v>
      </c>
      <c r="B1186" s="64">
        <v>99.3</v>
      </c>
      <c r="C1186" s="61">
        <v>2.5833400000000002</v>
      </c>
    </row>
    <row r="1187" spans="1:3" x14ac:dyDescent="0.25">
      <c r="A1187" s="47" t="s">
        <v>5799</v>
      </c>
      <c r="B1187" s="64">
        <v>106.3</v>
      </c>
      <c r="C1187" s="61">
        <v>3.18675</v>
      </c>
    </row>
    <row r="1188" spans="1:3" x14ac:dyDescent="0.25">
      <c r="A1188" s="47" t="s">
        <v>5802</v>
      </c>
      <c r="B1188" s="64">
        <v>106.3</v>
      </c>
      <c r="C1188" s="61">
        <v>10.61323</v>
      </c>
    </row>
    <row r="1189" spans="1:3" x14ac:dyDescent="0.25">
      <c r="A1189" s="47" t="s">
        <v>5820</v>
      </c>
      <c r="B1189" s="64">
        <v>2.48</v>
      </c>
      <c r="C1189" s="61">
        <v>2.5919699999999999</v>
      </c>
    </row>
    <row r="1190" spans="1:3" x14ac:dyDescent="0.25">
      <c r="A1190" s="47" t="s">
        <v>5823</v>
      </c>
      <c r="B1190" s="64">
        <v>2.48</v>
      </c>
      <c r="C1190" s="61">
        <v>2.5833499999999998</v>
      </c>
    </row>
    <row r="1191" spans="1:3" x14ac:dyDescent="0.25">
      <c r="A1191" s="47" t="s">
        <v>5826</v>
      </c>
      <c r="B1191" s="64">
        <v>1016</v>
      </c>
      <c r="C1191" s="61">
        <v>6.3018200000000002</v>
      </c>
    </row>
    <row r="1192" spans="1:3" x14ac:dyDescent="0.25">
      <c r="A1192" s="47" t="s">
        <v>5829</v>
      </c>
      <c r="B1192" s="64">
        <v>1016</v>
      </c>
      <c r="C1192" s="61">
        <v>4.5310800000000002</v>
      </c>
    </row>
    <row r="1193" spans="1:3" x14ac:dyDescent="0.25">
      <c r="A1193" s="47" t="s">
        <v>5832</v>
      </c>
      <c r="B1193" s="64">
        <v>1016</v>
      </c>
      <c r="C1193" s="61">
        <v>2.81576</v>
      </c>
    </row>
    <row r="1194" spans="1:3" x14ac:dyDescent="0.25">
      <c r="A1194" s="47" t="s">
        <v>5859</v>
      </c>
      <c r="B1194" s="64">
        <v>1016</v>
      </c>
      <c r="C1194" s="61">
        <v>2.5833499999999998</v>
      </c>
    </row>
    <row r="1195" spans="1:3" x14ac:dyDescent="0.25">
      <c r="A1195" s="47" t="s">
        <v>5871</v>
      </c>
      <c r="B1195" s="64">
        <v>24</v>
      </c>
      <c r="C1195" s="61">
        <v>2.6412800000000001</v>
      </c>
    </row>
    <row r="1196" spans="1:3" x14ac:dyDescent="0.25">
      <c r="A1196" s="47" t="s">
        <v>5880</v>
      </c>
      <c r="B1196" s="64">
        <v>152</v>
      </c>
      <c r="C1196" s="61">
        <v>9.1683800000000009</v>
      </c>
    </row>
    <row r="1197" spans="1:3" x14ac:dyDescent="0.25">
      <c r="A1197" s="47" t="s">
        <v>5883</v>
      </c>
      <c r="B1197" s="64">
        <v>152</v>
      </c>
      <c r="C1197" s="61">
        <v>2.6508099999999999</v>
      </c>
    </row>
    <row r="1198" spans="1:3" x14ac:dyDescent="0.25">
      <c r="A1198" s="47" t="s">
        <v>5886</v>
      </c>
      <c r="B1198" s="64">
        <v>152</v>
      </c>
      <c r="C1198" s="61">
        <v>4.93546</v>
      </c>
    </row>
    <row r="1199" spans="1:3" x14ac:dyDescent="0.25">
      <c r="A1199" s="47" t="s">
        <v>5892</v>
      </c>
      <c r="B1199" s="64">
        <v>22</v>
      </c>
      <c r="C1199" s="61">
        <v>5.7981199999999999</v>
      </c>
    </row>
    <row r="1200" spans="1:3" x14ac:dyDescent="0.25">
      <c r="A1200" s="47" t="s">
        <v>5895</v>
      </c>
      <c r="B1200" s="64">
        <v>22</v>
      </c>
      <c r="C1200" s="61">
        <v>3.2984800000000001</v>
      </c>
    </row>
    <row r="1201" spans="1:3" x14ac:dyDescent="0.25">
      <c r="A1201" s="47" t="s">
        <v>5898</v>
      </c>
      <c r="B1201" s="64">
        <v>1.40385</v>
      </c>
      <c r="C1201" s="61">
        <v>10.333600000000001</v>
      </c>
    </row>
    <row r="1202" spans="1:3" x14ac:dyDescent="0.25">
      <c r="A1202" s="47" t="s">
        <v>5909</v>
      </c>
      <c r="B1202" s="64">
        <v>3.86</v>
      </c>
      <c r="C1202" s="61">
        <v>2.5886499999999999</v>
      </c>
    </row>
    <row r="1203" spans="1:3" x14ac:dyDescent="0.25">
      <c r="A1203" s="47" t="s">
        <v>5912</v>
      </c>
      <c r="B1203" s="64">
        <v>3.86</v>
      </c>
      <c r="C1203" s="61">
        <v>4.1137699999999997</v>
      </c>
    </row>
    <row r="1204" spans="1:3" x14ac:dyDescent="0.25">
      <c r="A1204" s="47" t="s">
        <v>5915</v>
      </c>
      <c r="B1204" s="64">
        <v>1016</v>
      </c>
      <c r="C1204" s="61">
        <v>2.5833599999999999</v>
      </c>
    </row>
    <row r="1205" spans="1:3" x14ac:dyDescent="0.25">
      <c r="A1205" s="47" t="s">
        <v>5918</v>
      </c>
      <c r="B1205" s="64">
        <v>5.3</v>
      </c>
      <c r="C1205" s="61">
        <v>3.7013600000000002</v>
      </c>
    </row>
    <row r="1206" spans="1:3" x14ac:dyDescent="0.25">
      <c r="A1206" s="47" t="s">
        <v>5921</v>
      </c>
      <c r="B1206" s="64">
        <v>5.3</v>
      </c>
      <c r="C1206" s="61">
        <v>4.4371600000000004</v>
      </c>
    </row>
    <row r="1207" spans="1:3" x14ac:dyDescent="0.25">
      <c r="A1207" s="47" t="s">
        <v>5924</v>
      </c>
      <c r="B1207" s="64">
        <v>5.3</v>
      </c>
      <c r="C1207" s="61">
        <v>2.5833400000000002</v>
      </c>
    </row>
    <row r="1208" spans="1:3" x14ac:dyDescent="0.25">
      <c r="A1208" s="47" t="s">
        <v>5927</v>
      </c>
      <c r="B1208" s="64">
        <v>5.3</v>
      </c>
      <c r="C1208" s="61">
        <v>4.2350000000000003</v>
      </c>
    </row>
    <row r="1209" spans="1:3" x14ac:dyDescent="0.25">
      <c r="A1209" s="47" t="s">
        <v>5930</v>
      </c>
      <c r="B1209" s="64">
        <v>0.72499999999999998</v>
      </c>
      <c r="C1209" s="61">
        <v>2.5833499999999998</v>
      </c>
    </row>
    <row r="1210" spans="1:3" x14ac:dyDescent="0.25">
      <c r="A1210" s="47" t="s">
        <v>5933</v>
      </c>
      <c r="B1210" s="64">
        <v>1.63</v>
      </c>
      <c r="C1210" s="61">
        <v>2.5833499999999998</v>
      </c>
    </row>
    <row r="1211" spans="1:3" x14ac:dyDescent="0.25">
      <c r="A1211" s="47" t="s">
        <v>5936</v>
      </c>
      <c r="B1211" s="64">
        <v>3.1</v>
      </c>
      <c r="C1211" s="61">
        <v>2.5833499999999998</v>
      </c>
    </row>
    <row r="1212" spans="1:3" x14ac:dyDescent="0.25">
      <c r="A1212" s="47" t="s">
        <v>5939</v>
      </c>
      <c r="B1212" s="64">
        <v>0.35599999999999998</v>
      </c>
      <c r="C1212" s="61">
        <v>2.5833499999999998</v>
      </c>
    </row>
    <row r="1213" spans="1:3" x14ac:dyDescent="0.25">
      <c r="A1213" s="47" t="s">
        <v>5942</v>
      </c>
      <c r="B1213" s="64">
        <v>99.3</v>
      </c>
      <c r="C1213" s="61">
        <v>3.29636</v>
      </c>
    </row>
    <row r="1214" spans="1:3" x14ac:dyDescent="0.25">
      <c r="A1214" s="47" t="s">
        <v>5945</v>
      </c>
      <c r="B1214" s="64">
        <v>99.3</v>
      </c>
      <c r="C1214" s="61">
        <v>2.5833400000000002</v>
      </c>
    </row>
    <row r="1215" spans="1:3" x14ac:dyDescent="0.25">
      <c r="A1215" s="47" t="s">
        <v>5948</v>
      </c>
      <c r="B1215" s="64">
        <v>368.48649999999998</v>
      </c>
      <c r="C1215" s="61">
        <v>9.8317300000000003</v>
      </c>
    </row>
    <row r="1216" spans="1:3" x14ac:dyDescent="0.25">
      <c r="A1216" s="47" t="s">
        <v>5951</v>
      </c>
      <c r="B1216" s="64">
        <v>368.48649999999998</v>
      </c>
      <c r="C1216" s="61">
        <v>2.5833400000000002</v>
      </c>
    </row>
    <row r="1217" spans="1:3" x14ac:dyDescent="0.25">
      <c r="A1217" s="47" t="s">
        <v>5954</v>
      </c>
      <c r="B1217" s="64">
        <v>368.48649999999998</v>
      </c>
      <c r="C1217" s="61">
        <v>2.6913900000000002</v>
      </c>
    </row>
    <row r="1218" spans="1:3" x14ac:dyDescent="0.25">
      <c r="A1218" s="47" t="s">
        <v>5957</v>
      </c>
      <c r="B1218" s="64">
        <v>368.48649999999998</v>
      </c>
      <c r="C1218" s="61">
        <v>2.5833499999999998</v>
      </c>
    </row>
    <row r="1219" spans="1:3" x14ac:dyDescent="0.25">
      <c r="A1219" s="47" t="s">
        <v>5960</v>
      </c>
      <c r="B1219" s="64">
        <v>46.809010000000001</v>
      </c>
      <c r="C1219" s="61">
        <v>2.5834000000000001</v>
      </c>
    </row>
    <row r="1220" spans="1:3" x14ac:dyDescent="0.25">
      <c r="A1220" s="47" t="s">
        <v>5963</v>
      </c>
      <c r="B1220" s="64">
        <v>46.809010000000001</v>
      </c>
      <c r="C1220" s="61">
        <v>5.1810900000000002</v>
      </c>
    </row>
    <row r="1221" spans="1:3" x14ac:dyDescent="0.25">
      <c r="A1221" s="47" t="s">
        <v>5966</v>
      </c>
      <c r="B1221" s="64">
        <v>46.809010000000001</v>
      </c>
      <c r="C1221" s="61">
        <v>160</v>
      </c>
    </row>
    <row r="1222" spans="1:3" x14ac:dyDescent="0.25">
      <c r="A1222" s="47" t="s">
        <v>5969</v>
      </c>
      <c r="B1222" s="64">
        <v>8.92</v>
      </c>
      <c r="C1222" s="61">
        <v>2.6512500000000001</v>
      </c>
    </row>
    <row r="1223" spans="1:3" x14ac:dyDescent="0.25">
      <c r="A1223" s="47" t="s">
        <v>5972</v>
      </c>
      <c r="B1223" s="64">
        <v>5.3</v>
      </c>
      <c r="C1223" s="61">
        <v>12.272030000000001</v>
      </c>
    </row>
    <row r="1224" spans="1:3" x14ac:dyDescent="0.25">
      <c r="A1224" s="47" t="s">
        <v>5975</v>
      </c>
      <c r="B1224" s="64">
        <v>5.3</v>
      </c>
      <c r="C1224" s="61">
        <v>3.9723999999999999</v>
      </c>
    </row>
    <row r="1225" spans="1:3" x14ac:dyDescent="0.25">
      <c r="A1225" s="47" t="s">
        <v>5978</v>
      </c>
      <c r="B1225" s="64">
        <v>0.5</v>
      </c>
      <c r="C1225" s="61">
        <v>11.855829999999999</v>
      </c>
    </row>
    <row r="1226" spans="1:3" x14ac:dyDescent="0.25">
      <c r="A1226" s="47" t="s">
        <v>5982</v>
      </c>
      <c r="B1226" s="64">
        <v>0.5</v>
      </c>
      <c r="C1226" s="61">
        <v>8.3042499999999997</v>
      </c>
    </row>
    <row r="1227" spans="1:3" x14ac:dyDescent="0.25">
      <c r="A1227" s="47" t="s">
        <v>5985</v>
      </c>
      <c r="B1227" s="64">
        <v>291.62043</v>
      </c>
      <c r="C1227" s="61">
        <v>20.04316</v>
      </c>
    </row>
    <row r="1228" spans="1:3" x14ac:dyDescent="0.25">
      <c r="A1228" s="47" t="s">
        <v>5988</v>
      </c>
      <c r="B1228" s="64">
        <v>291.62043</v>
      </c>
      <c r="C1228" s="61">
        <v>4.0558300000000003</v>
      </c>
    </row>
    <row r="1229" spans="1:3" x14ac:dyDescent="0.25">
      <c r="A1229" s="47" t="s">
        <v>5991</v>
      </c>
      <c r="B1229" s="64">
        <v>5.3</v>
      </c>
      <c r="C1229" s="61">
        <v>3.7667999999999999</v>
      </c>
    </row>
    <row r="1230" spans="1:3" x14ac:dyDescent="0.25">
      <c r="A1230" s="47" t="s">
        <v>5994</v>
      </c>
      <c r="B1230" s="64">
        <v>5.3</v>
      </c>
      <c r="C1230" s="61">
        <v>4.0852500000000003</v>
      </c>
    </row>
    <row r="1231" spans="1:3" x14ac:dyDescent="0.25">
      <c r="A1231" s="47" t="s">
        <v>6000</v>
      </c>
      <c r="B1231" s="64">
        <v>38.493250000000003</v>
      </c>
      <c r="C1231" s="61">
        <v>2.7855099999999999</v>
      </c>
    </row>
    <row r="1232" spans="1:3" x14ac:dyDescent="0.25">
      <c r="A1232" s="47" t="s">
        <v>6003</v>
      </c>
      <c r="B1232" s="64">
        <v>0.72499999999999998</v>
      </c>
      <c r="C1232" s="61">
        <v>4.6730400000000003</v>
      </c>
    </row>
    <row r="1233" spans="1:3" x14ac:dyDescent="0.25">
      <c r="A1233" s="47" t="s">
        <v>6006</v>
      </c>
      <c r="B1233" s="64">
        <v>368.48649999999998</v>
      </c>
      <c r="C1233" s="61">
        <v>2.6249600000000002</v>
      </c>
    </row>
    <row r="1234" spans="1:3" x14ac:dyDescent="0.25">
      <c r="A1234" s="47" t="s">
        <v>6009</v>
      </c>
      <c r="B1234" s="64">
        <v>90.131770000000003</v>
      </c>
      <c r="C1234" s="61">
        <v>8.8612500000000001</v>
      </c>
    </row>
    <row r="1235" spans="1:3" x14ac:dyDescent="0.25">
      <c r="A1235" s="47" t="s">
        <v>6012</v>
      </c>
      <c r="B1235" s="64">
        <v>1</v>
      </c>
      <c r="C1235" s="61">
        <v>6.0574700000000004</v>
      </c>
    </row>
    <row r="1236" spans="1:3" x14ac:dyDescent="0.25">
      <c r="A1236" s="47" t="s">
        <v>6015</v>
      </c>
      <c r="B1236" s="64">
        <v>75.042000000000002</v>
      </c>
      <c r="C1236" s="61">
        <v>10.736520000000001</v>
      </c>
    </row>
    <row r="1237" spans="1:3" x14ac:dyDescent="0.25">
      <c r="A1237" s="47" t="s">
        <v>6018</v>
      </c>
      <c r="B1237" s="64">
        <v>152</v>
      </c>
      <c r="C1237" s="61">
        <v>10.223610000000001</v>
      </c>
    </row>
    <row r="1238" spans="1:3" x14ac:dyDescent="0.25">
      <c r="A1238" s="47" t="s">
        <v>6021</v>
      </c>
      <c r="B1238" s="64">
        <v>1.41</v>
      </c>
      <c r="C1238" s="61">
        <v>8.3390000000000004</v>
      </c>
    </row>
    <row r="1239" spans="1:3" x14ac:dyDescent="0.25">
      <c r="A1239" s="47" t="s">
        <v>6024</v>
      </c>
      <c r="B1239" s="64">
        <v>1.41</v>
      </c>
      <c r="C1239" s="61">
        <v>54.01914</v>
      </c>
    </row>
    <row r="1240" spans="1:3" x14ac:dyDescent="0.25">
      <c r="A1240" s="47" t="s">
        <v>6027</v>
      </c>
      <c r="B1240" s="64">
        <v>75.042000000000002</v>
      </c>
      <c r="C1240" s="61">
        <v>5.0193099999999999</v>
      </c>
    </row>
    <row r="1241" spans="1:3" x14ac:dyDescent="0.25">
      <c r="A1241" s="47" t="s">
        <v>6030</v>
      </c>
      <c r="B1241" s="64">
        <v>10.40333</v>
      </c>
      <c r="C1241" s="61">
        <v>2.5834299999999999</v>
      </c>
    </row>
    <row r="1242" spans="1:3" x14ac:dyDescent="0.25">
      <c r="A1242" s="47" t="s">
        <v>6033</v>
      </c>
      <c r="B1242" s="64">
        <v>10.40333</v>
      </c>
      <c r="C1242" s="61">
        <v>3.7239599999999999</v>
      </c>
    </row>
    <row r="1243" spans="1:3" x14ac:dyDescent="0.25">
      <c r="A1243" s="47" t="s">
        <v>6036</v>
      </c>
      <c r="B1243" s="64">
        <v>2.48</v>
      </c>
      <c r="C1243" s="61">
        <v>2.91405</v>
      </c>
    </row>
    <row r="1244" spans="1:3" x14ac:dyDescent="0.25">
      <c r="A1244" s="47" t="s">
        <v>6039</v>
      </c>
      <c r="B1244" s="64">
        <v>2.48</v>
      </c>
      <c r="C1244" s="61">
        <v>2.5833499999999998</v>
      </c>
    </row>
    <row r="1245" spans="1:3" x14ac:dyDescent="0.25">
      <c r="A1245" s="47" t="s">
        <v>6042</v>
      </c>
      <c r="B1245" s="64">
        <v>2.48</v>
      </c>
      <c r="C1245" s="61">
        <v>3.2944200000000001</v>
      </c>
    </row>
    <row r="1246" spans="1:3" x14ac:dyDescent="0.25">
      <c r="A1246" s="47" t="s">
        <v>6045</v>
      </c>
      <c r="B1246" s="64">
        <v>1016</v>
      </c>
      <c r="C1246" s="61">
        <v>2.6687400000000001</v>
      </c>
    </row>
    <row r="1247" spans="1:3" x14ac:dyDescent="0.25">
      <c r="A1247" s="47" t="s">
        <v>6048</v>
      </c>
      <c r="B1247" s="64">
        <v>1016</v>
      </c>
      <c r="C1247" s="61">
        <v>5.9485200000000003</v>
      </c>
    </row>
    <row r="1248" spans="1:3" x14ac:dyDescent="0.25">
      <c r="A1248" s="47" t="s">
        <v>6051</v>
      </c>
      <c r="B1248" s="64">
        <v>1016</v>
      </c>
      <c r="C1248" s="61">
        <v>4.37643</v>
      </c>
    </row>
    <row r="1249" spans="1:3" x14ac:dyDescent="0.25">
      <c r="A1249" s="47" t="s">
        <v>6054</v>
      </c>
      <c r="B1249" s="64">
        <v>1016</v>
      </c>
      <c r="C1249" s="61">
        <v>5.0136799999999999</v>
      </c>
    </row>
    <row r="1250" spans="1:3" x14ac:dyDescent="0.25">
      <c r="A1250" s="47" t="s">
        <v>6057</v>
      </c>
      <c r="B1250" s="64">
        <v>99.3</v>
      </c>
      <c r="C1250" s="61">
        <v>2.5962800000000001</v>
      </c>
    </row>
    <row r="1251" spans="1:3" x14ac:dyDescent="0.25">
      <c r="A1251" s="47" t="s">
        <v>6060</v>
      </c>
      <c r="B1251" s="64">
        <v>166.8</v>
      </c>
      <c r="C1251" s="61">
        <v>2.7462399999999998</v>
      </c>
    </row>
    <row r="1252" spans="1:3" x14ac:dyDescent="0.25">
      <c r="A1252" s="47" t="s">
        <v>6063</v>
      </c>
      <c r="B1252" s="64">
        <v>1</v>
      </c>
      <c r="C1252" s="61">
        <v>2.6493500000000001</v>
      </c>
    </row>
    <row r="1253" spans="1:3" x14ac:dyDescent="0.25">
      <c r="A1253" s="47" t="s">
        <v>6075</v>
      </c>
      <c r="B1253" s="64">
        <v>1.1000000000000001</v>
      </c>
      <c r="C1253" s="61">
        <v>2.83161</v>
      </c>
    </row>
    <row r="1254" spans="1:3" x14ac:dyDescent="0.25">
      <c r="A1254" s="47" t="s">
        <v>6079</v>
      </c>
      <c r="B1254" s="64">
        <v>2.3824999999999998</v>
      </c>
      <c r="C1254" s="61">
        <v>46.902569999999997</v>
      </c>
    </row>
    <row r="1255" spans="1:3" x14ac:dyDescent="0.25">
      <c r="A1255" s="47" t="s">
        <v>6083</v>
      </c>
      <c r="B1255" s="64">
        <v>5.13</v>
      </c>
      <c r="C1255" s="61">
        <v>21.15231</v>
      </c>
    </row>
    <row r="1256" spans="1:3" x14ac:dyDescent="0.25">
      <c r="A1256" s="47" t="s">
        <v>6086</v>
      </c>
      <c r="B1256" s="64">
        <v>9.17</v>
      </c>
      <c r="C1256" s="61">
        <v>61.945430000000002</v>
      </c>
    </row>
    <row r="1257" spans="1:3" x14ac:dyDescent="0.25">
      <c r="A1257" s="47" t="s">
        <v>6090</v>
      </c>
      <c r="B1257" s="64">
        <v>9.625</v>
      </c>
      <c r="C1257" s="61">
        <v>104.13494</v>
      </c>
    </row>
    <row r="1258" spans="1:3" x14ac:dyDescent="0.25">
      <c r="A1258" s="47" t="s">
        <v>6093</v>
      </c>
      <c r="B1258" s="64">
        <v>4700</v>
      </c>
      <c r="C1258" s="61">
        <v>118.39824</v>
      </c>
    </row>
    <row r="1259" spans="1:3" x14ac:dyDescent="0.25">
      <c r="A1259" s="47" t="s">
        <v>6097</v>
      </c>
      <c r="B1259" s="64">
        <v>782.86221999999998</v>
      </c>
      <c r="C1259" s="61">
        <v>51.610300000000002</v>
      </c>
    </row>
    <row r="1260" spans="1:3" x14ac:dyDescent="0.25">
      <c r="A1260" s="47" t="s">
        <v>6100</v>
      </c>
      <c r="B1260" s="64">
        <v>5.5566700000000004</v>
      </c>
      <c r="C1260" s="61">
        <v>57.95581</v>
      </c>
    </row>
    <row r="1261" spans="1:3" x14ac:dyDescent="0.25">
      <c r="A1261" s="47" t="s">
        <v>6103</v>
      </c>
      <c r="B1261" s="64">
        <v>767.5</v>
      </c>
      <c r="C1261" s="61">
        <v>194.49333999999999</v>
      </c>
    </row>
    <row r="1262" spans="1:3" x14ac:dyDescent="0.25">
      <c r="A1262" s="47" t="s">
        <v>6107</v>
      </c>
      <c r="B1262" s="64">
        <v>767.5</v>
      </c>
      <c r="C1262" s="61">
        <v>3.3469899999999999</v>
      </c>
    </row>
    <row r="1263" spans="1:3" x14ac:dyDescent="0.25">
      <c r="A1263" s="47" t="s">
        <v>6122</v>
      </c>
      <c r="B1263" s="64">
        <v>11.589499999999999</v>
      </c>
      <c r="C1263" s="61">
        <v>3.0215700000000001</v>
      </c>
    </row>
    <row r="1264" spans="1:3" x14ac:dyDescent="0.25">
      <c r="A1264" s="47" t="s">
        <v>6126</v>
      </c>
      <c r="B1264" s="64">
        <v>170</v>
      </c>
      <c r="C1264" s="61">
        <v>10.39059</v>
      </c>
    </row>
    <row r="1265" spans="1:3" x14ac:dyDescent="0.25">
      <c r="A1265" s="47" t="s">
        <v>6129</v>
      </c>
      <c r="B1265" s="64">
        <v>151</v>
      </c>
      <c r="C1265" s="61">
        <v>16.24859</v>
      </c>
    </row>
    <row r="1266" spans="1:3" x14ac:dyDescent="0.25">
      <c r="A1266" s="47" t="s">
        <v>6132</v>
      </c>
      <c r="B1266" s="64">
        <v>5.2470000000000003E-2</v>
      </c>
      <c r="C1266" s="61">
        <v>7.0576600000000003</v>
      </c>
    </row>
    <row r="1267" spans="1:3" x14ac:dyDescent="0.25">
      <c r="A1267" s="47" t="s">
        <v>6136</v>
      </c>
      <c r="B1267" s="64">
        <v>4.0000000000000001E-3</v>
      </c>
      <c r="C1267" s="61">
        <v>4.9122599999999998</v>
      </c>
    </row>
    <row r="1268" spans="1:3" x14ac:dyDescent="0.25">
      <c r="A1268" s="47" t="s">
        <v>6140</v>
      </c>
      <c r="B1268" s="64">
        <v>4.0000000000000001E-3</v>
      </c>
      <c r="C1268" s="61">
        <v>2.6410499999999999</v>
      </c>
    </row>
    <row r="1269" spans="1:3" x14ac:dyDescent="0.25">
      <c r="A1269" s="47" t="s">
        <v>6142</v>
      </c>
      <c r="B1269" s="64">
        <v>4.0000000000000001E-3</v>
      </c>
      <c r="C1269" s="61">
        <v>27.84807</v>
      </c>
    </row>
    <row r="1270" spans="1:3" x14ac:dyDescent="0.25">
      <c r="A1270" s="47" t="s">
        <v>6144</v>
      </c>
      <c r="B1270" s="64">
        <v>4.0000000000000001E-3</v>
      </c>
      <c r="C1270" s="61">
        <v>2.6410900000000002</v>
      </c>
    </row>
    <row r="1271" spans="1:3" x14ac:dyDescent="0.25">
      <c r="A1271" s="47" t="s">
        <v>6146</v>
      </c>
      <c r="B1271" s="64">
        <v>11.589499999999999</v>
      </c>
      <c r="C1271" s="61">
        <v>5.6156699999999997</v>
      </c>
    </row>
    <row r="1272" spans="1:3" x14ac:dyDescent="0.25">
      <c r="A1272" s="47" t="s">
        <v>6149</v>
      </c>
      <c r="B1272" s="64">
        <v>11.589499999999999</v>
      </c>
      <c r="C1272" s="61">
        <v>2.81758</v>
      </c>
    </row>
    <row r="1273" spans="1:3" x14ac:dyDescent="0.25">
      <c r="A1273" s="47" t="s">
        <v>6158</v>
      </c>
      <c r="B1273" s="64">
        <v>9201.8125</v>
      </c>
      <c r="C1273" s="61">
        <v>5.6520900000000003</v>
      </c>
    </row>
    <row r="1274" spans="1:3" x14ac:dyDescent="0.25">
      <c r="A1274" s="47" t="s">
        <v>6170</v>
      </c>
      <c r="B1274" s="64">
        <v>60.7</v>
      </c>
      <c r="C1274" s="61">
        <v>3.1354600000000001</v>
      </c>
    </row>
    <row r="1275" spans="1:3" x14ac:dyDescent="0.25">
      <c r="A1275" s="47" t="s">
        <v>6174</v>
      </c>
      <c r="B1275" s="64">
        <v>1016</v>
      </c>
      <c r="C1275" s="61">
        <v>2.5833499999999998</v>
      </c>
    </row>
    <row r="1276" spans="1:3" x14ac:dyDescent="0.25">
      <c r="A1276" s="47" t="s">
        <v>6177</v>
      </c>
      <c r="B1276" s="64">
        <v>1016</v>
      </c>
      <c r="C1276" s="61">
        <v>2.8121499999999999</v>
      </c>
    </row>
    <row r="1277" spans="1:3" x14ac:dyDescent="0.25">
      <c r="A1277" s="47" t="s">
        <v>6180</v>
      </c>
      <c r="B1277" s="64">
        <v>1016</v>
      </c>
      <c r="C1277" s="61">
        <v>7.0572299999999997</v>
      </c>
    </row>
    <row r="1278" spans="1:3" x14ac:dyDescent="0.25">
      <c r="A1278" s="47" t="s">
        <v>6183</v>
      </c>
      <c r="B1278" s="64">
        <v>1016</v>
      </c>
      <c r="C1278" s="61">
        <v>5.23325</v>
      </c>
    </row>
    <row r="1279" spans="1:3" x14ac:dyDescent="0.25">
      <c r="A1279" s="47" t="s">
        <v>6186</v>
      </c>
      <c r="B1279" s="64">
        <v>1016</v>
      </c>
      <c r="C1279" s="61">
        <v>3.6366100000000001</v>
      </c>
    </row>
    <row r="1280" spans="1:3" x14ac:dyDescent="0.25">
      <c r="A1280" s="47" t="s">
        <v>6189</v>
      </c>
      <c r="B1280" s="64">
        <v>4.83</v>
      </c>
      <c r="C1280" s="61">
        <v>2.6170200000000001</v>
      </c>
    </row>
    <row r="1281" spans="1:3" x14ac:dyDescent="0.25">
      <c r="A1281" s="47" t="s">
        <v>6193</v>
      </c>
      <c r="B1281" s="64">
        <v>4.83</v>
      </c>
      <c r="C1281" s="61">
        <v>2.5857000000000001</v>
      </c>
    </row>
    <row r="1282" spans="1:3" x14ac:dyDescent="0.25">
      <c r="A1282" s="47" t="s">
        <v>6196</v>
      </c>
      <c r="B1282" s="64">
        <v>90.131770000000003</v>
      </c>
      <c r="C1282" s="61">
        <v>2.8251400000000002</v>
      </c>
    </row>
    <row r="1283" spans="1:3" x14ac:dyDescent="0.25">
      <c r="A1283" s="47" t="s">
        <v>6208</v>
      </c>
      <c r="B1283" s="64">
        <v>1.1000000000000001</v>
      </c>
      <c r="C1283" s="61">
        <v>2.5833400000000002</v>
      </c>
    </row>
    <row r="1284" spans="1:3" x14ac:dyDescent="0.25">
      <c r="A1284" s="47" t="s">
        <v>6211</v>
      </c>
      <c r="B1284" s="64">
        <v>1.1000000000000001</v>
      </c>
      <c r="C1284" s="61">
        <v>2.5833400000000002</v>
      </c>
    </row>
    <row r="1285" spans="1:3" x14ac:dyDescent="0.25">
      <c r="A1285" s="47" t="s">
        <v>6214</v>
      </c>
      <c r="B1285" s="64">
        <v>1.1000000000000001</v>
      </c>
      <c r="C1285" s="61">
        <v>2.5833499999999998</v>
      </c>
    </row>
    <row r="1286" spans="1:3" x14ac:dyDescent="0.25">
      <c r="A1286" s="47" t="s">
        <v>6217</v>
      </c>
      <c r="B1286" s="64">
        <v>1.1000000000000001</v>
      </c>
      <c r="C1286" s="61">
        <v>3.5402999999999998</v>
      </c>
    </row>
    <row r="1287" spans="1:3" x14ac:dyDescent="0.25">
      <c r="A1287" s="47" t="s">
        <v>6220</v>
      </c>
      <c r="B1287" s="64">
        <v>2.48</v>
      </c>
      <c r="C1287" s="61">
        <v>5.9906600000000001</v>
      </c>
    </row>
    <row r="1288" spans="1:3" x14ac:dyDescent="0.25">
      <c r="A1288" s="47" t="s">
        <v>6223</v>
      </c>
      <c r="B1288" s="64">
        <v>1.1000000000000001</v>
      </c>
      <c r="C1288" s="61">
        <v>3.4018000000000002</v>
      </c>
    </row>
    <row r="1289" spans="1:3" x14ac:dyDescent="0.25">
      <c r="A1289" s="47" t="s">
        <v>6226</v>
      </c>
      <c r="B1289" s="64">
        <v>1016</v>
      </c>
      <c r="C1289" s="61">
        <v>2.5833499999999998</v>
      </c>
    </row>
    <row r="1290" spans="1:3" x14ac:dyDescent="0.25">
      <c r="A1290" s="47" t="s">
        <v>6241</v>
      </c>
      <c r="B1290" s="64">
        <v>1265.4616699999999</v>
      </c>
      <c r="C1290" s="61">
        <v>12.501709999999999</v>
      </c>
    </row>
    <row r="1291" spans="1:3" x14ac:dyDescent="0.25">
      <c r="A1291" s="47" t="s">
        <v>6248</v>
      </c>
      <c r="B1291" s="64">
        <v>767.5</v>
      </c>
      <c r="C1291" s="61">
        <v>37.420679999999997</v>
      </c>
    </row>
    <row r="1292" spans="1:3" x14ac:dyDescent="0.25">
      <c r="A1292" s="47" t="s">
        <v>6251</v>
      </c>
      <c r="B1292" s="64">
        <v>4.0000000000000001E-3</v>
      </c>
      <c r="C1292" s="61">
        <v>20.004149999999999</v>
      </c>
    </row>
    <row r="1293" spans="1:3" x14ac:dyDescent="0.25">
      <c r="A1293" s="47" t="s">
        <v>6253</v>
      </c>
      <c r="B1293" s="64">
        <v>4.0000000000000001E-3</v>
      </c>
      <c r="C1293" s="61">
        <v>129.86515</v>
      </c>
    </row>
    <row r="1294" spans="1:3" x14ac:dyDescent="0.25">
      <c r="A1294" s="47" t="s">
        <v>6258</v>
      </c>
      <c r="B1294" s="64">
        <v>4.0000000000000001E-3</v>
      </c>
      <c r="C1294" s="61">
        <v>9.6314299999999999</v>
      </c>
    </row>
    <row r="1295" spans="1:3" x14ac:dyDescent="0.25">
      <c r="A1295" s="47" t="s">
        <v>6278</v>
      </c>
      <c r="B1295" s="64">
        <v>1149.5</v>
      </c>
      <c r="C1295" s="61">
        <v>12.622629999999999</v>
      </c>
    </row>
    <row r="1296" spans="1:3" x14ac:dyDescent="0.25">
      <c r="A1296" s="47" t="s">
        <v>6281</v>
      </c>
      <c r="B1296" s="64">
        <v>2.48</v>
      </c>
      <c r="C1296" s="61">
        <v>2.5919699999999999</v>
      </c>
    </row>
    <row r="1297" spans="1:3" x14ac:dyDescent="0.25">
      <c r="A1297" s="47" t="s">
        <v>6284</v>
      </c>
      <c r="B1297" s="64">
        <v>2.48</v>
      </c>
      <c r="C1297" s="61">
        <v>2.5833499999999998</v>
      </c>
    </row>
    <row r="1298" spans="1:3" x14ac:dyDescent="0.25">
      <c r="A1298" s="47" t="s">
        <v>6287</v>
      </c>
      <c r="B1298" s="64">
        <v>2.48</v>
      </c>
      <c r="C1298" s="61">
        <v>2.5919699999999999</v>
      </c>
    </row>
    <row r="1299" spans="1:3" x14ac:dyDescent="0.25">
      <c r="A1299" s="47" t="s">
        <v>6290</v>
      </c>
      <c r="B1299" s="64">
        <v>2.48</v>
      </c>
      <c r="C1299" s="61">
        <v>3.24187</v>
      </c>
    </row>
    <row r="1300" spans="1:3" x14ac:dyDescent="0.25">
      <c r="A1300" s="47" t="s">
        <v>6293</v>
      </c>
      <c r="B1300" s="64">
        <v>1016</v>
      </c>
      <c r="C1300" s="61">
        <v>3.9994499999999999</v>
      </c>
    </row>
    <row r="1301" spans="1:3" x14ac:dyDescent="0.25">
      <c r="A1301" s="47" t="s">
        <v>6296</v>
      </c>
      <c r="B1301" s="64">
        <v>1016</v>
      </c>
      <c r="C1301" s="61">
        <v>87.083110000000005</v>
      </c>
    </row>
    <row r="1302" spans="1:3" x14ac:dyDescent="0.25">
      <c r="A1302" s="47" t="s">
        <v>6335</v>
      </c>
      <c r="B1302" s="64">
        <v>76.088470000000001</v>
      </c>
      <c r="C1302" s="61">
        <v>6.0681099999999999</v>
      </c>
    </row>
    <row r="1303" spans="1:3" x14ac:dyDescent="0.25">
      <c r="A1303" s="47" t="s">
        <v>6357</v>
      </c>
      <c r="B1303" s="64">
        <v>1.87</v>
      </c>
      <c r="C1303" s="61">
        <v>14.769080000000001</v>
      </c>
    </row>
    <row r="1304" spans="1:3" x14ac:dyDescent="0.25">
      <c r="A1304" s="47" t="s">
        <v>6360</v>
      </c>
      <c r="B1304" s="64">
        <v>35.42</v>
      </c>
      <c r="C1304" s="61">
        <v>12.370139999999999</v>
      </c>
    </row>
    <row r="1305" spans="1:3" x14ac:dyDescent="0.25">
      <c r="A1305" s="47" t="s">
        <v>6363</v>
      </c>
      <c r="B1305" s="64">
        <v>40.466670000000001</v>
      </c>
      <c r="C1305" s="61">
        <v>8.8045100000000005</v>
      </c>
    </row>
    <row r="1306" spans="1:3" x14ac:dyDescent="0.25">
      <c r="A1306" s="47" t="s">
        <v>6370</v>
      </c>
      <c r="B1306" s="64">
        <v>10.84975</v>
      </c>
      <c r="C1306" s="61">
        <v>4.5038299999999998</v>
      </c>
    </row>
    <row r="1307" spans="1:3" x14ac:dyDescent="0.25">
      <c r="A1307" s="47" t="s">
        <v>6374</v>
      </c>
      <c r="B1307" s="64">
        <v>229</v>
      </c>
      <c r="C1307" s="61">
        <v>8.38368</v>
      </c>
    </row>
    <row r="1308" spans="1:3" x14ac:dyDescent="0.25">
      <c r="A1308" s="47" t="s">
        <v>6377</v>
      </c>
      <c r="B1308" s="64">
        <v>63</v>
      </c>
      <c r="C1308" s="61">
        <v>8.2950599999999994</v>
      </c>
    </row>
    <row r="1309" spans="1:3" x14ac:dyDescent="0.25">
      <c r="A1309" s="47" t="s">
        <v>6381</v>
      </c>
      <c r="B1309" s="64">
        <v>63</v>
      </c>
      <c r="C1309" s="61">
        <v>6.7907000000000002</v>
      </c>
    </row>
    <row r="1310" spans="1:3" x14ac:dyDescent="0.25">
      <c r="A1310" s="47" t="s">
        <v>6383</v>
      </c>
      <c r="B1310" s="64">
        <v>173</v>
      </c>
      <c r="C1310" s="61">
        <v>2.5837300000000001</v>
      </c>
    </row>
    <row r="1311" spans="1:3" x14ac:dyDescent="0.25">
      <c r="A1311" s="47" t="s">
        <v>6387</v>
      </c>
      <c r="B1311" s="64">
        <v>0.46</v>
      </c>
      <c r="C1311" s="61">
        <v>6.7999999999999999E-5</v>
      </c>
    </row>
    <row r="1312" spans="1:3" x14ac:dyDescent="0.25">
      <c r="A1312" s="47" t="s">
        <v>6390</v>
      </c>
      <c r="B1312" s="64">
        <v>0.59</v>
      </c>
      <c r="C1312" s="61">
        <v>3.4E-5</v>
      </c>
    </row>
    <row r="1313" spans="1:3" x14ac:dyDescent="0.25">
      <c r="A1313" s="47" t="s">
        <v>6393</v>
      </c>
      <c r="B1313" s="64">
        <v>5.1650000000000001E-2</v>
      </c>
      <c r="C1313" s="61">
        <v>2.4000000000000001E-5</v>
      </c>
    </row>
    <row r="1314" spans="1:3" x14ac:dyDescent="0.25">
      <c r="A1314" s="47" t="s">
        <v>6399</v>
      </c>
      <c r="B1314" s="64">
        <v>1.2</v>
      </c>
      <c r="C1314" s="61">
        <v>4.9127700000000001</v>
      </c>
    </row>
    <row r="1315" spans="1:3" x14ac:dyDescent="0.25">
      <c r="A1315" s="47" t="s">
        <v>6403</v>
      </c>
      <c r="B1315" s="63">
        <v>3.6333300000000003E-4</v>
      </c>
      <c r="C1315" s="61">
        <v>35.255920000000003</v>
      </c>
    </row>
    <row r="1316" spans="1:3" x14ac:dyDescent="0.25">
      <c r="A1316" s="47" t="s">
        <v>6406</v>
      </c>
      <c r="B1316" s="63">
        <v>3.6333300000000003E-4</v>
      </c>
      <c r="C1316" s="61">
        <v>12.366490000000001</v>
      </c>
    </row>
    <row r="1317" spans="1:3" x14ac:dyDescent="0.25">
      <c r="A1317" s="47" t="s">
        <v>6409</v>
      </c>
      <c r="B1317" s="64">
        <v>1.1999999999999999E-3</v>
      </c>
      <c r="C1317" s="61">
        <v>0.68</v>
      </c>
    </row>
    <row r="1318" spans="1:3" x14ac:dyDescent="0.25">
      <c r="A1318" s="47" t="s">
        <v>6413</v>
      </c>
      <c r="B1318" s="64">
        <v>0.5</v>
      </c>
      <c r="C1318" s="61">
        <v>10.01182</v>
      </c>
    </row>
    <row r="1319" spans="1:3" x14ac:dyDescent="0.25">
      <c r="A1319" s="47" t="s">
        <v>6434</v>
      </c>
      <c r="B1319" s="64">
        <v>63</v>
      </c>
      <c r="C1319" s="61">
        <v>5.3213699999999999</v>
      </c>
    </row>
    <row r="1320" spans="1:3" x14ac:dyDescent="0.25">
      <c r="A1320" s="47" t="s">
        <v>6438</v>
      </c>
      <c r="B1320" s="64">
        <v>1500</v>
      </c>
      <c r="C1320" s="61">
        <v>10.168620000000001</v>
      </c>
    </row>
    <row r="1321" spans="1:3" x14ac:dyDescent="0.25">
      <c r="A1321" s="47" t="s">
        <v>6442</v>
      </c>
      <c r="B1321" s="64">
        <v>1500</v>
      </c>
      <c r="C1321" s="61">
        <v>11.113</v>
      </c>
    </row>
    <row r="1322" spans="1:3" x14ac:dyDescent="0.25">
      <c r="A1322" s="47" t="s">
        <v>6445</v>
      </c>
      <c r="B1322" s="64">
        <v>1500</v>
      </c>
      <c r="C1322" s="61">
        <v>2.6941899999999999</v>
      </c>
    </row>
    <row r="1323" spans="1:3" x14ac:dyDescent="0.25">
      <c r="A1323" s="47" t="s">
        <v>6448</v>
      </c>
      <c r="B1323" s="64">
        <v>166.8</v>
      </c>
      <c r="C1323" s="61">
        <v>5.1132400000000002</v>
      </c>
    </row>
    <row r="1324" spans="1:3" x14ac:dyDescent="0.25">
      <c r="A1324" s="47" t="s">
        <v>6451</v>
      </c>
      <c r="B1324" s="64">
        <v>166.8</v>
      </c>
      <c r="C1324" s="61">
        <v>2.6930399999999999</v>
      </c>
    </row>
    <row r="1325" spans="1:3" x14ac:dyDescent="0.25">
      <c r="A1325" s="47" t="s">
        <v>6454</v>
      </c>
      <c r="B1325" s="64">
        <v>166.8</v>
      </c>
      <c r="C1325" s="61">
        <v>13.186870000000001</v>
      </c>
    </row>
    <row r="1326" spans="1:3" x14ac:dyDescent="0.25">
      <c r="A1326" s="47" t="s">
        <v>6457</v>
      </c>
      <c r="B1326" s="64">
        <v>0.5</v>
      </c>
      <c r="C1326" s="61">
        <v>0.01</v>
      </c>
    </row>
    <row r="1327" spans="1:3" x14ac:dyDescent="0.25">
      <c r="A1327" s="47" t="s">
        <v>6460</v>
      </c>
      <c r="B1327" s="64">
        <v>22</v>
      </c>
      <c r="C1327" s="61">
        <v>2E-3</v>
      </c>
    </row>
    <row r="1328" spans="1:3" x14ac:dyDescent="0.25">
      <c r="A1328" s="47" t="s">
        <v>6463</v>
      </c>
      <c r="B1328" s="64">
        <v>22</v>
      </c>
      <c r="C1328" s="61">
        <v>2.5836800000000002</v>
      </c>
    </row>
    <row r="1329" spans="1:3" x14ac:dyDescent="0.25">
      <c r="A1329" s="47" t="s">
        <v>6466</v>
      </c>
      <c r="B1329" s="64">
        <v>1.375</v>
      </c>
      <c r="C1329" s="61">
        <v>0.02</v>
      </c>
    </row>
    <row r="1330" spans="1:3" x14ac:dyDescent="0.25">
      <c r="A1330" s="47" t="s">
        <v>6470</v>
      </c>
      <c r="B1330" s="64">
        <v>1.375</v>
      </c>
      <c r="C1330" s="61">
        <v>2.8422399999999999</v>
      </c>
    </row>
    <row r="1331" spans="1:3" x14ac:dyDescent="0.25">
      <c r="A1331" s="47" t="s">
        <v>6473</v>
      </c>
      <c r="B1331" s="64">
        <v>4.7999999999999996E-3</v>
      </c>
      <c r="C1331" s="61">
        <v>7.1640699999999997</v>
      </c>
    </row>
    <row r="1332" spans="1:3" x14ac:dyDescent="0.25">
      <c r="A1332" s="47" t="s">
        <v>6477</v>
      </c>
      <c r="B1332" s="64">
        <v>4.7999999999999996E-3</v>
      </c>
      <c r="C1332" s="61">
        <v>8.0736299999999996</v>
      </c>
    </row>
    <row r="1333" spans="1:3" x14ac:dyDescent="0.25">
      <c r="A1333" s="47" t="s">
        <v>6480</v>
      </c>
      <c r="B1333" s="64">
        <v>8.8999999999999996E-2</v>
      </c>
      <c r="C1333" s="61">
        <v>5.4202300000000001</v>
      </c>
    </row>
    <row r="1334" spans="1:3" x14ac:dyDescent="0.25">
      <c r="A1334" s="47" t="s">
        <v>6484</v>
      </c>
      <c r="B1334" s="64">
        <v>19.2</v>
      </c>
      <c r="C1334" s="61">
        <v>10.305619999999999</v>
      </c>
    </row>
    <row r="1335" spans="1:3" x14ac:dyDescent="0.25">
      <c r="A1335" s="47" t="s">
        <v>6499</v>
      </c>
      <c r="B1335" s="64">
        <v>0.5</v>
      </c>
      <c r="C1335" s="61">
        <v>2.6170200000000001</v>
      </c>
    </row>
    <row r="1336" spans="1:3" x14ac:dyDescent="0.25">
      <c r="A1336" s="47" t="s">
        <v>6502</v>
      </c>
      <c r="B1336" s="64">
        <v>22</v>
      </c>
      <c r="C1336" s="61">
        <v>2.59823</v>
      </c>
    </row>
    <row r="1337" spans="1:3" x14ac:dyDescent="0.25">
      <c r="A1337" s="47" t="s">
        <v>6505</v>
      </c>
      <c r="B1337" s="64">
        <v>0.5</v>
      </c>
      <c r="C1337" s="61">
        <v>2.6381700000000001</v>
      </c>
    </row>
    <row r="1338" spans="1:3" x14ac:dyDescent="0.25">
      <c r="A1338" s="47" t="s">
        <v>6508</v>
      </c>
      <c r="B1338" s="64">
        <v>22</v>
      </c>
      <c r="C1338" s="61">
        <v>2.6403099999999999</v>
      </c>
    </row>
    <row r="1339" spans="1:3" x14ac:dyDescent="0.25">
      <c r="A1339" s="47" t="s">
        <v>6511</v>
      </c>
      <c r="B1339" s="64">
        <v>22</v>
      </c>
      <c r="C1339" s="61">
        <v>12.57512</v>
      </c>
    </row>
    <row r="1340" spans="1:3" x14ac:dyDescent="0.25">
      <c r="A1340" s="47" t="s">
        <v>6514</v>
      </c>
      <c r="B1340" s="64">
        <v>0.42499999999999999</v>
      </c>
      <c r="C1340" s="61">
        <v>6.9749299999999996</v>
      </c>
    </row>
    <row r="1341" spans="1:3" x14ac:dyDescent="0.25">
      <c r="A1341" s="47" t="s">
        <v>6518</v>
      </c>
      <c r="B1341" s="64">
        <v>13.9</v>
      </c>
      <c r="C1341" s="61">
        <v>2E-3</v>
      </c>
    </row>
    <row r="1342" spans="1:3" x14ac:dyDescent="0.25">
      <c r="A1342" s="47" t="s">
        <v>6531</v>
      </c>
      <c r="B1342" s="64">
        <v>111.86944</v>
      </c>
      <c r="C1342" s="61">
        <v>6.0283699999999998</v>
      </c>
    </row>
    <row r="1343" spans="1:3" x14ac:dyDescent="0.25">
      <c r="A1343" s="47" t="s">
        <v>6538</v>
      </c>
      <c r="B1343" s="64">
        <v>5.2894399999999999</v>
      </c>
      <c r="C1343" s="61">
        <v>5.1309899999999997</v>
      </c>
    </row>
    <row r="1344" spans="1:3" x14ac:dyDescent="0.25">
      <c r="A1344" s="47" t="s">
        <v>6542</v>
      </c>
      <c r="B1344" s="64">
        <v>6.515E-2</v>
      </c>
      <c r="C1344" s="61">
        <v>5.2584</v>
      </c>
    </row>
    <row r="1345" spans="1:3" x14ac:dyDescent="0.25">
      <c r="A1345" s="47" t="s">
        <v>6546</v>
      </c>
      <c r="B1345" s="64">
        <v>115</v>
      </c>
      <c r="C1345" s="61">
        <v>4.69252</v>
      </c>
    </row>
    <row r="1346" spans="1:3" x14ac:dyDescent="0.25">
      <c r="A1346" s="47" t="s">
        <v>6550</v>
      </c>
      <c r="B1346" s="64">
        <v>1500</v>
      </c>
      <c r="C1346" s="61">
        <v>4.1470399999999996</v>
      </c>
    </row>
    <row r="1347" spans="1:3" x14ac:dyDescent="0.25">
      <c r="A1347" s="47" t="s">
        <v>6553</v>
      </c>
      <c r="B1347" s="64">
        <v>13.15414</v>
      </c>
      <c r="C1347" s="61">
        <v>4.43093</v>
      </c>
    </row>
    <row r="1348" spans="1:3" x14ac:dyDescent="0.25">
      <c r="A1348" s="47" t="s">
        <v>6557</v>
      </c>
      <c r="B1348" s="64">
        <v>8.5</v>
      </c>
      <c r="C1348" s="61">
        <v>13.13143</v>
      </c>
    </row>
    <row r="1349" spans="1:3" x14ac:dyDescent="0.25">
      <c r="A1349" s="47" t="s">
        <v>6561</v>
      </c>
      <c r="B1349" s="64">
        <v>111.86944</v>
      </c>
      <c r="C1349" s="61">
        <v>6.4999399999999996</v>
      </c>
    </row>
    <row r="1350" spans="1:3" x14ac:dyDescent="0.25">
      <c r="A1350" s="47" t="s">
        <v>6565</v>
      </c>
      <c r="B1350" s="64">
        <v>93.556479999999993</v>
      </c>
      <c r="C1350" s="61">
        <v>4.9213100000000001</v>
      </c>
    </row>
    <row r="1351" spans="1:3" x14ac:dyDescent="0.25">
      <c r="A1351" s="47" t="s">
        <v>6568</v>
      </c>
      <c r="B1351" s="64">
        <v>1500</v>
      </c>
      <c r="C1351" s="61">
        <v>5.5914799999999998</v>
      </c>
    </row>
    <row r="1352" spans="1:3" x14ac:dyDescent="0.25">
      <c r="A1352" s="47" t="s">
        <v>6571</v>
      </c>
      <c r="B1352" s="64">
        <v>1500</v>
      </c>
      <c r="C1352" s="61">
        <v>4.0938400000000001</v>
      </c>
    </row>
    <row r="1353" spans="1:3" x14ac:dyDescent="0.25">
      <c r="A1353" s="47" t="s">
        <v>6574</v>
      </c>
      <c r="B1353" s="63">
        <v>1.55E-6</v>
      </c>
      <c r="C1353" s="61">
        <v>2.6400399999999999</v>
      </c>
    </row>
    <row r="1354" spans="1:3" x14ac:dyDescent="0.25">
      <c r="A1354" s="47" t="s">
        <v>6578</v>
      </c>
      <c r="B1354" s="63">
        <v>1.55E-6</v>
      </c>
      <c r="C1354" s="61">
        <v>2.82355</v>
      </c>
    </row>
    <row r="1355" spans="1:3" x14ac:dyDescent="0.25">
      <c r="A1355" s="47" t="s">
        <v>6581</v>
      </c>
      <c r="B1355" s="63">
        <v>1.55E-6</v>
      </c>
      <c r="C1355" s="61">
        <v>3.0703200000000002</v>
      </c>
    </row>
    <row r="1356" spans="1:3" x14ac:dyDescent="0.25">
      <c r="A1356" s="47" t="s">
        <v>6584</v>
      </c>
      <c r="B1356" s="63">
        <v>1.55E-6</v>
      </c>
      <c r="C1356" s="61">
        <v>4.8836199999999996</v>
      </c>
    </row>
    <row r="1357" spans="1:3" x14ac:dyDescent="0.25">
      <c r="A1357" s="47" t="s">
        <v>6587</v>
      </c>
      <c r="B1357" s="64">
        <v>241.61286000000001</v>
      </c>
      <c r="C1357" s="61">
        <v>5.8931100000000001</v>
      </c>
    </row>
    <row r="1358" spans="1:3" x14ac:dyDescent="0.25">
      <c r="A1358" s="47" t="s">
        <v>6591</v>
      </c>
      <c r="B1358" s="64">
        <v>6.25E-2</v>
      </c>
      <c r="C1358" s="61">
        <v>6.6926699999999997</v>
      </c>
    </row>
    <row r="1359" spans="1:3" x14ac:dyDescent="0.25">
      <c r="A1359" s="47" t="s">
        <v>6595</v>
      </c>
      <c r="B1359" s="64">
        <v>6.2E-2</v>
      </c>
      <c r="C1359" s="61">
        <v>7.2940699999999996</v>
      </c>
    </row>
    <row r="1360" spans="1:3" x14ac:dyDescent="0.25">
      <c r="A1360" s="47" t="s">
        <v>6599</v>
      </c>
      <c r="B1360" s="64">
        <v>3.165</v>
      </c>
      <c r="C1360" s="61">
        <v>3.19991</v>
      </c>
    </row>
    <row r="1361" spans="1:3" x14ac:dyDescent="0.25">
      <c r="A1361" s="47" t="s">
        <v>6603</v>
      </c>
      <c r="B1361" s="64">
        <v>0.5</v>
      </c>
      <c r="C1361" s="61">
        <v>2.5838100000000002</v>
      </c>
    </row>
    <row r="1362" spans="1:3" x14ac:dyDescent="0.25">
      <c r="A1362" s="47" t="s">
        <v>6606</v>
      </c>
      <c r="B1362" s="64">
        <v>85.466669999999993</v>
      </c>
      <c r="C1362" s="61">
        <v>6.0000000000000001E-3</v>
      </c>
    </row>
    <row r="1363" spans="1:3" x14ac:dyDescent="0.25">
      <c r="A1363" s="47" t="s">
        <v>6610</v>
      </c>
      <c r="B1363" s="64">
        <v>0.5</v>
      </c>
      <c r="C1363" s="61">
        <v>2.7164000000000001</v>
      </c>
    </row>
    <row r="1364" spans="1:3" x14ac:dyDescent="0.25">
      <c r="A1364" s="47" t="s">
        <v>6613</v>
      </c>
      <c r="B1364" s="64">
        <v>166.8</v>
      </c>
      <c r="C1364" s="61">
        <v>2.7180800000000001</v>
      </c>
    </row>
    <row r="1365" spans="1:3" x14ac:dyDescent="0.25">
      <c r="A1365" s="47" t="s">
        <v>6616</v>
      </c>
      <c r="B1365" s="63">
        <v>1.55E-6</v>
      </c>
      <c r="C1365" s="61">
        <v>3.5036</v>
      </c>
    </row>
    <row r="1366" spans="1:3" x14ac:dyDescent="0.25">
      <c r="A1366" s="47" t="s">
        <v>6619</v>
      </c>
      <c r="B1366" s="64">
        <v>4.5999999999999999E-3</v>
      </c>
      <c r="C1366" s="61">
        <v>5.02956</v>
      </c>
    </row>
    <row r="1367" spans="1:3" x14ac:dyDescent="0.25">
      <c r="A1367" s="47" t="s">
        <v>6629</v>
      </c>
      <c r="B1367" s="64">
        <v>4.75</v>
      </c>
      <c r="C1367" s="61">
        <v>10.375080000000001</v>
      </c>
    </row>
    <row r="1368" spans="1:3" x14ac:dyDescent="0.25">
      <c r="A1368" s="47" t="s">
        <v>6633</v>
      </c>
      <c r="B1368" s="64">
        <v>6.47051</v>
      </c>
      <c r="C1368" s="61">
        <v>6.1583800000000002</v>
      </c>
    </row>
    <row r="1369" spans="1:3" x14ac:dyDescent="0.25">
      <c r="A1369" s="47" t="s">
        <v>6637</v>
      </c>
      <c r="B1369" s="64">
        <v>7.8</v>
      </c>
      <c r="C1369" s="61">
        <v>7.1973200000000004</v>
      </c>
    </row>
    <row r="1370" spans="1:3" x14ac:dyDescent="0.25">
      <c r="A1370" s="47" t="s">
        <v>6641</v>
      </c>
      <c r="B1370" s="64">
        <v>76.088470000000001</v>
      </c>
      <c r="C1370" s="61">
        <v>5.9889200000000002</v>
      </c>
    </row>
    <row r="1371" spans="1:3" x14ac:dyDescent="0.25">
      <c r="A1371" s="47" t="s">
        <v>6653</v>
      </c>
      <c r="B1371" s="64">
        <v>15.5</v>
      </c>
      <c r="C1371" s="61">
        <v>6.2169400000000001</v>
      </c>
    </row>
    <row r="1372" spans="1:3" x14ac:dyDescent="0.25">
      <c r="A1372" s="47" t="s">
        <v>6657</v>
      </c>
      <c r="B1372" s="64">
        <v>4.7999999999999996E-3</v>
      </c>
      <c r="C1372" s="61">
        <v>7.5938600000000003</v>
      </c>
    </row>
    <row r="1373" spans="1:3" x14ac:dyDescent="0.25">
      <c r="A1373" s="47" t="s">
        <v>6660</v>
      </c>
      <c r="B1373" s="64">
        <v>85.466669999999993</v>
      </c>
      <c r="C1373" s="61">
        <v>2.7093600000000002</v>
      </c>
    </row>
    <row r="1374" spans="1:3" x14ac:dyDescent="0.25">
      <c r="A1374" s="47" t="s">
        <v>6664</v>
      </c>
      <c r="B1374" s="64">
        <v>1.375</v>
      </c>
      <c r="C1374" s="61">
        <v>0.02</v>
      </c>
    </row>
    <row r="1375" spans="1:3" x14ac:dyDescent="0.25">
      <c r="A1375" s="47" t="s">
        <v>6667</v>
      </c>
      <c r="B1375" s="64">
        <v>4.7999999999999996E-3</v>
      </c>
      <c r="C1375" s="61">
        <v>2.84877</v>
      </c>
    </row>
    <row r="1376" spans="1:3" x14ac:dyDescent="0.25">
      <c r="A1376" s="47" t="s">
        <v>6670</v>
      </c>
      <c r="B1376" s="64">
        <v>0.42499999999999999</v>
      </c>
      <c r="C1376" s="61">
        <v>5.9199799999999998</v>
      </c>
    </row>
    <row r="1377" spans="1:3" x14ac:dyDescent="0.25">
      <c r="A1377" s="47" t="s">
        <v>6673</v>
      </c>
      <c r="B1377" s="64">
        <v>1.4</v>
      </c>
      <c r="C1377" s="61">
        <v>6.5938499999999998</v>
      </c>
    </row>
    <row r="1378" spans="1:3" x14ac:dyDescent="0.25">
      <c r="A1378" s="47" t="s">
        <v>6676</v>
      </c>
      <c r="B1378" s="64">
        <v>63</v>
      </c>
      <c r="C1378" s="61">
        <v>6.7257199999999999</v>
      </c>
    </row>
    <row r="1379" spans="1:3" x14ac:dyDescent="0.25">
      <c r="A1379" s="47" t="s">
        <v>6684</v>
      </c>
      <c r="B1379" s="64">
        <v>36.1</v>
      </c>
      <c r="C1379" s="61">
        <v>9.1261100000000006</v>
      </c>
    </row>
    <row r="1380" spans="1:3" x14ac:dyDescent="0.25">
      <c r="A1380" s="47" t="s">
        <v>6688</v>
      </c>
      <c r="B1380" s="64">
        <v>36.1</v>
      </c>
      <c r="C1380" s="61">
        <v>8.3118200000000009</v>
      </c>
    </row>
    <row r="1381" spans="1:3" x14ac:dyDescent="0.25">
      <c r="A1381" s="47" t="s">
        <v>6691</v>
      </c>
      <c r="B1381" s="64">
        <v>1500</v>
      </c>
      <c r="C1381" s="61">
        <v>2.69374</v>
      </c>
    </row>
    <row r="1382" spans="1:3" x14ac:dyDescent="0.25">
      <c r="A1382" s="47" t="s">
        <v>6694</v>
      </c>
      <c r="B1382" s="64">
        <v>166.8</v>
      </c>
      <c r="C1382" s="61">
        <v>10.801769999999999</v>
      </c>
    </row>
    <row r="1383" spans="1:3" x14ac:dyDescent="0.25">
      <c r="A1383" s="47" t="s">
        <v>6697</v>
      </c>
      <c r="B1383" s="64">
        <v>166.8</v>
      </c>
      <c r="C1383" s="61">
        <v>7.11768</v>
      </c>
    </row>
    <row r="1384" spans="1:3" x14ac:dyDescent="0.25">
      <c r="A1384" s="47" t="s">
        <v>6700</v>
      </c>
      <c r="B1384" s="64">
        <v>166.8</v>
      </c>
      <c r="C1384" s="61">
        <v>2.6337100000000002</v>
      </c>
    </row>
    <row r="1385" spans="1:3" x14ac:dyDescent="0.25">
      <c r="A1385" s="47" t="s">
        <v>6703</v>
      </c>
      <c r="B1385" s="63">
        <v>1.55E-6</v>
      </c>
      <c r="C1385" s="61">
        <v>2.6400600000000001</v>
      </c>
    </row>
    <row r="1386" spans="1:3" x14ac:dyDescent="0.25">
      <c r="A1386" s="47" t="s">
        <v>6706</v>
      </c>
      <c r="B1386" s="63">
        <v>1.55E-6</v>
      </c>
      <c r="C1386" s="61">
        <v>5.5010700000000003</v>
      </c>
    </row>
    <row r="1387" spans="1:3" x14ac:dyDescent="0.25">
      <c r="A1387" s="47" t="s">
        <v>6709</v>
      </c>
      <c r="B1387" s="64">
        <v>368.48649999999998</v>
      </c>
      <c r="C1387" s="61">
        <v>2.1999999999999999E-5</v>
      </c>
    </row>
    <row r="1388" spans="1:3" x14ac:dyDescent="0.25">
      <c r="A1388" s="47" t="s">
        <v>6712</v>
      </c>
      <c r="B1388" s="64">
        <v>5.3</v>
      </c>
      <c r="C1388" s="61">
        <v>3.0000000000000001E-5</v>
      </c>
    </row>
    <row r="1389" spans="1:3" x14ac:dyDescent="0.25">
      <c r="A1389" s="47" t="s">
        <v>6715</v>
      </c>
      <c r="B1389" s="64">
        <v>2.8000000000000001E-2</v>
      </c>
      <c r="C1389" s="61">
        <v>1E-3</v>
      </c>
    </row>
    <row r="1390" spans="1:3" x14ac:dyDescent="0.25">
      <c r="A1390" s="47" t="s">
        <v>6719</v>
      </c>
      <c r="B1390" s="64">
        <v>0.5</v>
      </c>
      <c r="C1390" s="61">
        <v>8.3502799999999997</v>
      </c>
    </row>
    <row r="1391" spans="1:3" x14ac:dyDescent="0.25">
      <c r="A1391" s="47" t="s">
        <v>6722</v>
      </c>
      <c r="B1391" s="64">
        <v>0.42499999999999999</v>
      </c>
      <c r="C1391" s="61">
        <v>2.5835599999999999</v>
      </c>
    </row>
    <row r="1392" spans="1:3" x14ac:dyDescent="0.25">
      <c r="A1392" s="47" t="s">
        <v>6725</v>
      </c>
      <c r="B1392" s="64">
        <v>22</v>
      </c>
      <c r="C1392" s="61">
        <v>20.81427</v>
      </c>
    </row>
    <row r="1393" spans="1:3" x14ac:dyDescent="0.25">
      <c r="A1393" s="47" t="s">
        <v>6731</v>
      </c>
      <c r="B1393" s="64">
        <v>227.5</v>
      </c>
      <c r="C1393" s="61">
        <v>3.68709</v>
      </c>
    </row>
    <row r="1394" spans="1:3" x14ac:dyDescent="0.25">
      <c r="A1394" s="47" t="s">
        <v>6735</v>
      </c>
      <c r="B1394" s="64">
        <v>368.48649999999998</v>
      </c>
      <c r="C1394" s="61">
        <v>2.1999999999999999E-5</v>
      </c>
    </row>
    <row r="1395" spans="1:3" x14ac:dyDescent="0.25">
      <c r="A1395" s="47" t="s">
        <v>6738</v>
      </c>
      <c r="B1395" s="64">
        <v>5.3</v>
      </c>
      <c r="C1395" s="61">
        <v>3.0000000000000001E-5</v>
      </c>
    </row>
    <row r="1396" spans="1:3" x14ac:dyDescent="0.25">
      <c r="A1396" s="47" t="s">
        <v>6741</v>
      </c>
      <c r="B1396" s="64">
        <v>0.59</v>
      </c>
      <c r="C1396" s="61">
        <v>3.4E-5</v>
      </c>
    </row>
    <row r="1397" spans="1:3" x14ac:dyDescent="0.25">
      <c r="A1397" s="47" t="s">
        <v>6744</v>
      </c>
      <c r="B1397" s="64">
        <v>18.5</v>
      </c>
      <c r="C1397" s="61">
        <v>4.0000000000000001E-3</v>
      </c>
    </row>
    <row r="1398" spans="1:3" x14ac:dyDescent="0.25">
      <c r="A1398" s="47" t="s">
        <v>6751</v>
      </c>
      <c r="B1398" s="64">
        <v>3.7</v>
      </c>
      <c r="C1398" s="61">
        <v>2.6852800000000001</v>
      </c>
    </row>
    <row r="1399" spans="1:3" x14ac:dyDescent="0.25">
      <c r="A1399" s="47" t="s">
        <v>6755</v>
      </c>
      <c r="B1399" s="64">
        <v>34.15</v>
      </c>
      <c r="C1399" s="61">
        <v>13.67497</v>
      </c>
    </row>
    <row r="1400" spans="1:3" x14ac:dyDescent="0.25">
      <c r="A1400" s="47" t="s">
        <v>6759</v>
      </c>
      <c r="B1400" s="64">
        <v>34.15</v>
      </c>
      <c r="C1400" s="61">
        <v>8.3642099999999999</v>
      </c>
    </row>
    <row r="1401" spans="1:3" x14ac:dyDescent="0.25">
      <c r="A1401" s="47" t="s">
        <v>6762</v>
      </c>
      <c r="B1401" s="64">
        <v>34.15</v>
      </c>
      <c r="C1401" s="61">
        <v>9.6325400000000005</v>
      </c>
    </row>
    <row r="1402" spans="1:3" x14ac:dyDescent="0.25">
      <c r="A1402" s="47" t="s">
        <v>6765</v>
      </c>
      <c r="B1402" s="64">
        <v>34.15</v>
      </c>
      <c r="C1402" s="61">
        <v>4.5566000000000004</v>
      </c>
    </row>
    <row r="1403" spans="1:3" x14ac:dyDescent="0.25">
      <c r="A1403" s="47" t="s">
        <v>6768</v>
      </c>
      <c r="B1403" s="64">
        <v>21.925000000000001</v>
      </c>
      <c r="C1403" s="61">
        <v>13.13519</v>
      </c>
    </row>
    <row r="1404" spans="1:3" x14ac:dyDescent="0.25">
      <c r="A1404" s="47" t="s">
        <v>6778</v>
      </c>
      <c r="B1404" s="64">
        <v>22</v>
      </c>
      <c r="C1404" s="61">
        <v>19.9557</v>
      </c>
    </row>
    <row r="1405" spans="1:3" x14ac:dyDescent="0.25">
      <c r="A1405" s="47" t="s">
        <v>6781</v>
      </c>
      <c r="B1405" s="64">
        <v>39</v>
      </c>
      <c r="C1405" s="61">
        <v>20.523240000000001</v>
      </c>
    </row>
    <row r="1406" spans="1:3" x14ac:dyDescent="0.25">
      <c r="A1406" s="47" t="s">
        <v>6785</v>
      </c>
      <c r="B1406" s="64">
        <v>15</v>
      </c>
      <c r="C1406" s="61">
        <v>6.4212199999999999</v>
      </c>
    </row>
    <row r="1407" spans="1:3" x14ac:dyDescent="0.25">
      <c r="A1407" s="47" t="s">
        <v>6789</v>
      </c>
      <c r="B1407" s="64">
        <v>12.285</v>
      </c>
      <c r="C1407" s="61">
        <v>8.4852299999999996</v>
      </c>
    </row>
    <row r="1408" spans="1:3" x14ac:dyDescent="0.25">
      <c r="A1408" s="47" t="s">
        <v>6792</v>
      </c>
      <c r="B1408" s="64">
        <v>1.5149999999999999</v>
      </c>
      <c r="C1408" s="61">
        <v>3.66797</v>
      </c>
    </row>
    <row r="1409" spans="1:3" x14ac:dyDescent="0.25">
      <c r="A1409" s="47" t="s">
        <v>6799</v>
      </c>
      <c r="B1409" s="64">
        <v>2.9849999999999999</v>
      </c>
      <c r="C1409" s="61">
        <v>51.3476</v>
      </c>
    </row>
    <row r="1410" spans="1:3" x14ac:dyDescent="0.25">
      <c r="A1410" s="47" t="s">
        <v>6802</v>
      </c>
      <c r="B1410" s="64">
        <v>96.060779999999994</v>
      </c>
      <c r="C1410" s="61">
        <v>8.5454100000000004</v>
      </c>
    </row>
    <row r="1411" spans="1:3" x14ac:dyDescent="0.25">
      <c r="A1411" s="47" t="s">
        <v>6806</v>
      </c>
      <c r="B1411" s="64">
        <v>370</v>
      </c>
      <c r="C1411" s="61">
        <v>1.7</v>
      </c>
    </row>
    <row r="1412" spans="1:3" x14ac:dyDescent="0.25">
      <c r="A1412" s="47" t="s">
        <v>6810</v>
      </c>
      <c r="B1412" s="63">
        <v>6.9999999999999999E-4</v>
      </c>
      <c r="C1412" s="61">
        <v>5.5198400000000003</v>
      </c>
    </row>
    <row r="1413" spans="1:3" x14ac:dyDescent="0.25">
      <c r="A1413" s="47" t="s">
        <v>6814</v>
      </c>
      <c r="B1413" s="64">
        <v>0.2</v>
      </c>
      <c r="C1413" s="61">
        <v>2.5834600000000001</v>
      </c>
    </row>
    <row r="1414" spans="1:3" x14ac:dyDescent="0.25">
      <c r="A1414" s="47" t="s">
        <v>6818</v>
      </c>
      <c r="B1414" s="64">
        <v>85.466669999999993</v>
      </c>
      <c r="C1414" s="61">
        <v>2.5834899999999998</v>
      </c>
    </row>
    <row r="1415" spans="1:3" x14ac:dyDescent="0.25">
      <c r="A1415" s="47" t="s">
        <v>6822</v>
      </c>
      <c r="B1415" s="64">
        <v>0.13300000000000001</v>
      </c>
      <c r="C1415" s="61">
        <v>6.2172999999999998</v>
      </c>
    </row>
    <row r="1416" spans="1:3" x14ac:dyDescent="0.25">
      <c r="A1416" s="47" t="s">
        <v>6826</v>
      </c>
      <c r="B1416" s="64">
        <v>0.17599999999999999</v>
      </c>
      <c r="C1416" s="61">
        <v>7.1355599999999999</v>
      </c>
    </row>
    <row r="1417" spans="1:3" x14ac:dyDescent="0.25">
      <c r="A1417" s="47" t="s">
        <v>6829</v>
      </c>
      <c r="B1417" s="64">
        <v>0.13300000000000001</v>
      </c>
      <c r="C1417" s="61">
        <v>4.3762100000000004</v>
      </c>
    </row>
    <row r="1418" spans="1:3" x14ac:dyDescent="0.25">
      <c r="A1418" s="47" t="s">
        <v>6832</v>
      </c>
      <c r="B1418" s="64">
        <v>40.156669999999998</v>
      </c>
      <c r="C1418" s="61">
        <v>6.6788499999999997</v>
      </c>
    </row>
    <row r="1419" spans="1:3" x14ac:dyDescent="0.25">
      <c r="A1419" s="47" t="s">
        <v>6836</v>
      </c>
      <c r="B1419" s="64">
        <v>48</v>
      </c>
      <c r="C1419" s="61">
        <v>202.30571</v>
      </c>
    </row>
    <row r="1420" spans="1:3" x14ac:dyDescent="0.25">
      <c r="A1420" s="47" t="s">
        <v>6840</v>
      </c>
      <c r="B1420" s="64">
        <v>4.7999999999999996E-3</v>
      </c>
      <c r="C1420" s="61">
        <v>5.6908599999999998</v>
      </c>
    </row>
    <row r="1421" spans="1:3" x14ac:dyDescent="0.25">
      <c r="A1421" s="47" t="s">
        <v>6843</v>
      </c>
      <c r="B1421" s="64">
        <v>1.375</v>
      </c>
      <c r="C1421" s="61">
        <v>21.81672</v>
      </c>
    </row>
    <row r="1422" spans="1:3" x14ac:dyDescent="0.25">
      <c r="A1422" s="47" t="s">
        <v>6849</v>
      </c>
      <c r="B1422" s="64">
        <v>13.67</v>
      </c>
      <c r="C1422" s="61">
        <v>5.81006</v>
      </c>
    </row>
    <row r="1423" spans="1:3" x14ac:dyDescent="0.25">
      <c r="A1423" s="47" t="s">
        <v>6865</v>
      </c>
      <c r="B1423" s="64">
        <v>7.8</v>
      </c>
      <c r="C1423" s="61">
        <v>6.7009100000000004</v>
      </c>
    </row>
    <row r="1424" spans="1:3" x14ac:dyDescent="0.25">
      <c r="A1424" s="47" t="s">
        <v>6871</v>
      </c>
      <c r="B1424" s="64">
        <v>60503.775000000001</v>
      </c>
      <c r="C1424" s="61">
        <v>4.86008</v>
      </c>
    </row>
    <row r="1425" spans="1:3" x14ac:dyDescent="0.25">
      <c r="A1425" s="47" t="s">
        <v>6874</v>
      </c>
      <c r="B1425" s="64">
        <v>6.7249999999999996</v>
      </c>
      <c r="C1425" s="61">
        <v>2.66974</v>
      </c>
    </row>
    <row r="1426" spans="1:3" x14ac:dyDescent="0.25">
      <c r="A1426" s="47" t="s">
        <v>6877</v>
      </c>
      <c r="B1426" s="64">
        <v>3.4</v>
      </c>
      <c r="C1426" s="61">
        <v>6.5939899999999998</v>
      </c>
    </row>
    <row r="1427" spans="1:3" x14ac:dyDescent="0.25">
      <c r="A1427" s="47" t="s">
        <v>6902</v>
      </c>
      <c r="B1427" s="64">
        <v>7.3274999999999997</v>
      </c>
      <c r="C1427" s="61">
        <v>2.7176100000000001</v>
      </c>
    </row>
    <row r="1428" spans="1:3" x14ac:dyDescent="0.25">
      <c r="A1428" s="47" t="s">
        <v>6911</v>
      </c>
      <c r="B1428" s="64">
        <v>0.14000000000000001</v>
      </c>
      <c r="C1428" s="61">
        <v>3.8082799999999999</v>
      </c>
    </row>
    <row r="1429" spans="1:3" x14ac:dyDescent="0.25">
      <c r="A1429" s="47" t="s">
        <v>6927</v>
      </c>
      <c r="B1429" s="64">
        <v>213.43394000000001</v>
      </c>
      <c r="C1429" s="61">
        <v>6.0432499999999996</v>
      </c>
    </row>
    <row r="1430" spans="1:3" x14ac:dyDescent="0.25">
      <c r="A1430" s="47" t="s">
        <v>6931</v>
      </c>
      <c r="B1430" s="64">
        <v>3.3</v>
      </c>
      <c r="C1430" s="61">
        <v>2.8188300000000002</v>
      </c>
    </row>
    <row r="1431" spans="1:3" x14ac:dyDescent="0.25">
      <c r="A1431" s="47" t="s">
        <v>6940</v>
      </c>
      <c r="B1431" s="64">
        <v>4.5999999999999996</v>
      </c>
      <c r="C1431" s="61">
        <v>2.9474499999999999</v>
      </c>
    </row>
    <row r="1432" spans="1:3" x14ac:dyDescent="0.25">
      <c r="A1432" s="47" t="s">
        <v>6943</v>
      </c>
      <c r="B1432" s="64">
        <v>8.8999999999999996E-2</v>
      </c>
      <c r="C1432" s="61">
        <v>1.7</v>
      </c>
    </row>
    <row r="1433" spans="1:3" x14ac:dyDescent="0.25">
      <c r="A1433" s="47" t="s">
        <v>6952</v>
      </c>
      <c r="B1433" s="64">
        <v>4.7</v>
      </c>
      <c r="C1433" s="61">
        <v>6.2104900000000001</v>
      </c>
    </row>
    <row r="1434" spans="1:3" x14ac:dyDescent="0.25">
      <c r="A1434" s="47" t="s">
        <v>6955</v>
      </c>
      <c r="B1434" s="64">
        <v>0.33</v>
      </c>
      <c r="C1434" s="61">
        <v>18.072679999999998</v>
      </c>
    </row>
    <row r="1435" spans="1:3" x14ac:dyDescent="0.25">
      <c r="A1435" s="47" t="s">
        <v>6959</v>
      </c>
      <c r="B1435" s="64">
        <v>73.56</v>
      </c>
      <c r="C1435" s="61">
        <v>10.089399999999999</v>
      </c>
    </row>
    <row r="1436" spans="1:3" x14ac:dyDescent="0.25">
      <c r="A1436" s="47" t="s">
        <v>6962</v>
      </c>
      <c r="B1436" s="64">
        <v>73.56</v>
      </c>
      <c r="C1436" s="61">
        <v>9.6313099999999991</v>
      </c>
    </row>
    <row r="1437" spans="1:3" x14ac:dyDescent="0.25">
      <c r="A1437" s="47" t="s">
        <v>6964</v>
      </c>
      <c r="B1437" s="64">
        <v>73.599999999999994</v>
      </c>
      <c r="C1437" s="61">
        <v>85.868200000000002</v>
      </c>
    </row>
    <row r="1438" spans="1:3" x14ac:dyDescent="0.25">
      <c r="A1438" s="47" t="s">
        <v>6967</v>
      </c>
      <c r="B1438" s="64">
        <v>0.33</v>
      </c>
      <c r="C1438" s="61">
        <v>3.81603</v>
      </c>
    </row>
    <row r="1439" spans="1:3" x14ac:dyDescent="0.25">
      <c r="A1439" s="47" t="s">
        <v>6973</v>
      </c>
      <c r="B1439" s="64">
        <v>3204</v>
      </c>
      <c r="C1439" s="61">
        <v>7.6891299999999996</v>
      </c>
    </row>
    <row r="1440" spans="1:3" x14ac:dyDescent="0.25">
      <c r="A1440" s="47" t="s">
        <v>6976</v>
      </c>
      <c r="B1440" s="64">
        <v>110</v>
      </c>
      <c r="C1440" s="61">
        <v>12.50573</v>
      </c>
    </row>
    <row r="1441" spans="1:3" x14ac:dyDescent="0.25">
      <c r="A1441" s="47" t="s">
        <v>6979</v>
      </c>
      <c r="B1441" s="64">
        <v>3204</v>
      </c>
      <c r="C1441" s="61">
        <v>6.6609100000000003</v>
      </c>
    </row>
    <row r="1442" spans="1:3" x14ac:dyDescent="0.25">
      <c r="A1442" s="47" t="s">
        <v>6982</v>
      </c>
      <c r="B1442" s="64">
        <v>0.33</v>
      </c>
      <c r="C1442" s="61">
        <v>3.0063499999999999</v>
      </c>
    </row>
    <row r="1443" spans="1:3" x14ac:dyDescent="0.25">
      <c r="A1443" s="47" t="s">
        <v>6985</v>
      </c>
      <c r="B1443" s="64">
        <v>73.599999999999994</v>
      </c>
      <c r="C1443" s="61">
        <v>5.0175799999999997</v>
      </c>
    </row>
    <row r="1444" spans="1:3" x14ac:dyDescent="0.25">
      <c r="A1444" s="47" t="s">
        <v>6987</v>
      </c>
      <c r="B1444" s="64">
        <v>0.33</v>
      </c>
      <c r="C1444" s="61">
        <v>6.0349899999999996</v>
      </c>
    </row>
    <row r="1445" spans="1:3" x14ac:dyDescent="0.25">
      <c r="A1445" s="47" t="s">
        <v>6996</v>
      </c>
      <c r="B1445" s="64">
        <v>1.4750000000000001</v>
      </c>
      <c r="C1445" s="61">
        <v>2.9695200000000002</v>
      </c>
    </row>
    <row r="1446" spans="1:3" x14ac:dyDescent="0.25">
      <c r="A1446" s="47" t="s">
        <v>7000</v>
      </c>
      <c r="B1446" s="64">
        <v>368.48649999999998</v>
      </c>
      <c r="C1446" s="61">
        <v>21.427230000000002</v>
      </c>
    </row>
    <row r="1447" spans="1:3" x14ac:dyDescent="0.25">
      <c r="A1447" s="47" t="s">
        <v>7004</v>
      </c>
      <c r="B1447" s="64">
        <v>13.15414</v>
      </c>
      <c r="C1447" s="61">
        <v>7.89506</v>
      </c>
    </row>
    <row r="1448" spans="1:3" x14ac:dyDescent="0.25">
      <c r="A1448" s="47" t="s">
        <v>7011</v>
      </c>
      <c r="B1448" s="64">
        <v>749.81368999999995</v>
      </c>
      <c r="C1448" s="61">
        <v>6.1905000000000001</v>
      </c>
    </row>
    <row r="1449" spans="1:3" x14ac:dyDescent="0.25">
      <c r="A1449" s="47" t="s">
        <v>7014</v>
      </c>
      <c r="B1449" s="64">
        <v>18</v>
      </c>
      <c r="C1449" s="61">
        <v>60.564430000000002</v>
      </c>
    </row>
    <row r="1450" spans="1:3" x14ac:dyDescent="0.25">
      <c r="A1450" s="47" t="s">
        <v>7018</v>
      </c>
      <c r="B1450" s="64">
        <v>761</v>
      </c>
      <c r="C1450" s="61">
        <v>71.650790000000001</v>
      </c>
    </row>
    <row r="1451" spans="1:3" x14ac:dyDescent="0.25">
      <c r="A1451" s="47" t="s">
        <v>7022</v>
      </c>
      <c r="B1451" s="64">
        <v>1E-3</v>
      </c>
      <c r="C1451" s="61">
        <v>13.45607</v>
      </c>
    </row>
    <row r="1452" spans="1:3" x14ac:dyDescent="0.25">
      <c r="A1452" s="47" t="s">
        <v>7026</v>
      </c>
      <c r="B1452" s="64">
        <v>11.5</v>
      </c>
      <c r="C1452" s="61">
        <v>11.79463</v>
      </c>
    </row>
    <row r="1453" spans="1:3" x14ac:dyDescent="0.25">
      <c r="A1453" s="47" t="s">
        <v>7033</v>
      </c>
      <c r="B1453" s="64">
        <v>22</v>
      </c>
      <c r="C1453" s="61">
        <v>6.28559</v>
      </c>
    </row>
    <row r="1454" spans="1:3" x14ac:dyDescent="0.25">
      <c r="A1454" s="47" t="s">
        <v>7036</v>
      </c>
      <c r="B1454" s="64">
        <v>1.4750000000000001</v>
      </c>
      <c r="C1454" s="61">
        <v>4.6353200000000001</v>
      </c>
    </row>
    <row r="1455" spans="1:3" x14ac:dyDescent="0.25">
      <c r="A1455" s="47" t="s">
        <v>7045</v>
      </c>
      <c r="B1455" s="64">
        <v>171.55628999999999</v>
      </c>
      <c r="C1455" s="61">
        <v>10.265779999999999</v>
      </c>
    </row>
    <row r="1456" spans="1:3" x14ac:dyDescent="0.25">
      <c r="A1456" s="47" t="s">
        <v>7048</v>
      </c>
      <c r="B1456" s="64">
        <v>6.47051</v>
      </c>
      <c r="C1456" s="61">
        <v>4.19686</v>
      </c>
    </row>
    <row r="1457" spans="1:3" x14ac:dyDescent="0.25">
      <c r="A1457" s="47" t="s">
        <v>7064</v>
      </c>
      <c r="B1457" s="64">
        <v>1265.4616699999999</v>
      </c>
      <c r="C1457" s="61">
        <v>14.77289</v>
      </c>
    </row>
    <row r="1458" spans="1:3" x14ac:dyDescent="0.25">
      <c r="A1458" s="47" t="s">
        <v>7068</v>
      </c>
      <c r="B1458" s="64">
        <v>13.15414</v>
      </c>
      <c r="C1458" s="61">
        <v>10.95627</v>
      </c>
    </row>
    <row r="1459" spans="1:3" x14ac:dyDescent="0.25">
      <c r="A1459" s="47" t="s">
        <v>7084</v>
      </c>
      <c r="B1459" s="64">
        <v>7.6</v>
      </c>
      <c r="C1459" s="61">
        <v>2.7614100000000001</v>
      </c>
    </row>
    <row r="1460" spans="1:3" x14ac:dyDescent="0.25">
      <c r="A1460" s="47" t="s">
        <v>7091</v>
      </c>
      <c r="B1460" s="64">
        <v>13</v>
      </c>
      <c r="C1460" s="61">
        <v>4.4657299999999998</v>
      </c>
    </row>
    <row r="1461" spans="1:3" x14ac:dyDescent="0.25">
      <c r="A1461" s="47" t="s">
        <v>7095</v>
      </c>
      <c r="B1461" s="64">
        <v>8.4</v>
      </c>
      <c r="C1461" s="61">
        <v>7.5443699999999998</v>
      </c>
    </row>
    <row r="1462" spans="1:3" x14ac:dyDescent="0.25">
      <c r="A1462" s="47" t="s">
        <v>7099</v>
      </c>
      <c r="B1462" s="64">
        <v>107.15</v>
      </c>
      <c r="C1462" s="61">
        <v>5.7141900000000003</v>
      </c>
    </row>
    <row r="1463" spans="1:3" x14ac:dyDescent="0.25">
      <c r="A1463" s="47" t="s">
        <v>7106</v>
      </c>
      <c r="B1463" s="64">
        <v>14.75</v>
      </c>
      <c r="C1463" s="61">
        <v>2.62541</v>
      </c>
    </row>
    <row r="1464" spans="1:3" x14ac:dyDescent="0.25">
      <c r="A1464" s="47" t="s">
        <v>7112</v>
      </c>
      <c r="B1464" s="64">
        <v>94.65</v>
      </c>
      <c r="C1464" s="61">
        <v>8.8958899999999996</v>
      </c>
    </row>
    <row r="1465" spans="1:3" x14ac:dyDescent="0.25">
      <c r="A1465" s="47" t="s">
        <v>7116</v>
      </c>
      <c r="B1465" s="64">
        <v>5.2470000000000003E-2</v>
      </c>
      <c r="C1465" s="61">
        <v>8.4902099999999994</v>
      </c>
    </row>
    <row r="1466" spans="1:3" x14ac:dyDescent="0.25">
      <c r="A1466" s="47" t="s">
        <v>7120</v>
      </c>
      <c r="B1466" s="64">
        <v>4.9050000000000002</v>
      </c>
      <c r="C1466" s="61">
        <v>2.5836100000000002</v>
      </c>
    </row>
    <row r="1467" spans="1:3" x14ac:dyDescent="0.25">
      <c r="A1467" s="47" t="s">
        <v>7126</v>
      </c>
      <c r="B1467" s="64">
        <v>20</v>
      </c>
      <c r="C1467" s="61">
        <v>4.3970099999999999</v>
      </c>
    </row>
    <row r="1468" spans="1:3" x14ac:dyDescent="0.25">
      <c r="A1468" s="47" t="s">
        <v>7130</v>
      </c>
      <c r="B1468" s="64">
        <v>152.75</v>
      </c>
      <c r="C1468" s="61">
        <v>7.15686</v>
      </c>
    </row>
    <row r="1469" spans="1:3" x14ac:dyDescent="0.25">
      <c r="A1469" s="47" t="s">
        <v>7133</v>
      </c>
      <c r="B1469" s="64">
        <v>45</v>
      </c>
      <c r="C1469" s="61">
        <v>5.7313000000000001</v>
      </c>
    </row>
    <row r="1470" spans="1:3" x14ac:dyDescent="0.25">
      <c r="A1470" s="47" t="s">
        <v>7137</v>
      </c>
      <c r="B1470" s="64">
        <v>100</v>
      </c>
      <c r="C1470" s="61">
        <v>5.6108900000000004</v>
      </c>
    </row>
    <row r="1471" spans="1:3" x14ac:dyDescent="0.25">
      <c r="A1471" s="47" t="s">
        <v>7143</v>
      </c>
      <c r="B1471" s="64">
        <v>29.5</v>
      </c>
      <c r="C1471" s="61">
        <v>6.9078799999999996</v>
      </c>
    </row>
    <row r="1472" spans="1:3" x14ac:dyDescent="0.25">
      <c r="A1472" s="47" t="s">
        <v>7147</v>
      </c>
      <c r="B1472" s="64">
        <v>7.3274999999999997</v>
      </c>
      <c r="C1472" s="61">
        <v>2.8685200000000002</v>
      </c>
    </row>
    <row r="1473" spans="1:3" x14ac:dyDescent="0.25">
      <c r="A1473" s="47" t="s">
        <v>7172</v>
      </c>
      <c r="B1473" s="64">
        <v>2.4E-2</v>
      </c>
      <c r="C1473" s="61">
        <v>3.0417299999999998</v>
      </c>
    </row>
    <row r="1474" spans="1:3" x14ac:dyDescent="0.25">
      <c r="A1474" s="47" t="s">
        <v>7194</v>
      </c>
      <c r="B1474" s="64">
        <v>3204</v>
      </c>
      <c r="C1474" s="61">
        <v>6.62744</v>
      </c>
    </row>
    <row r="1475" spans="1:3" x14ac:dyDescent="0.25">
      <c r="A1475" s="47" t="s">
        <v>7206</v>
      </c>
      <c r="B1475" s="64">
        <v>1265.4616699999999</v>
      </c>
      <c r="C1475" s="61">
        <v>2.6884700000000001</v>
      </c>
    </row>
    <row r="1476" spans="1:3" x14ac:dyDescent="0.25">
      <c r="A1476" s="47" t="s">
        <v>7213</v>
      </c>
      <c r="B1476" s="64">
        <v>9.5</v>
      </c>
      <c r="C1476" s="61">
        <v>2.7691400000000002</v>
      </c>
    </row>
    <row r="1477" spans="1:3" x14ac:dyDescent="0.25">
      <c r="A1477" s="47" t="s">
        <v>7217</v>
      </c>
      <c r="B1477" s="64">
        <v>0.35</v>
      </c>
      <c r="C1477" s="61">
        <v>4.0967599999999997</v>
      </c>
    </row>
    <row r="1478" spans="1:3" x14ac:dyDescent="0.25">
      <c r="A1478" s="47" t="s">
        <v>7221</v>
      </c>
      <c r="B1478" s="64">
        <v>32.4876</v>
      </c>
      <c r="C1478" s="61">
        <v>2.73577</v>
      </c>
    </row>
    <row r="1479" spans="1:3" x14ac:dyDescent="0.25">
      <c r="A1479" s="47" t="s">
        <v>7224</v>
      </c>
      <c r="B1479" s="64">
        <v>51.3</v>
      </c>
      <c r="C1479" s="61">
        <v>48.543610000000001</v>
      </c>
    </row>
    <row r="1480" spans="1:3" x14ac:dyDescent="0.25">
      <c r="A1480" s="47" t="s">
        <v>7231</v>
      </c>
      <c r="B1480" s="64">
        <v>0.76600000000000001</v>
      </c>
      <c r="C1480" s="61">
        <v>6.5465200000000001</v>
      </c>
    </row>
    <row r="1481" spans="1:3" x14ac:dyDescent="0.25">
      <c r="A1481" s="47" t="s">
        <v>7234</v>
      </c>
      <c r="B1481" s="64">
        <v>35.875</v>
      </c>
      <c r="C1481" s="61">
        <v>5.9819500000000003</v>
      </c>
    </row>
    <row r="1482" spans="1:3" x14ac:dyDescent="0.25">
      <c r="A1482" s="47" t="s">
        <v>7237</v>
      </c>
      <c r="B1482" s="64">
        <v>1.2E-2</v>
      </c>
      <c r="C1482" s="61">
        <v>2.7064400000000002</v>
      </c>
    </row>
    <row r="1483" spans="1:3" x14ac:dyDescent="0.25">
      <c r="A1483" s="47" t="s">
        <v>7240</v>
      </c>
      <c r="B1483" s="64">
        <v>14.804830000000001</v>
      </c>
      <c r="C1483" s="61">
        <v>6.67692</v>
      </c>
    </row>
    <row r="1484" spans="1:3" x14ac:dyDescent="0.25">
      <c r="A1484" s="47" t="s">
        <v>7244</v>
      </c>
      <c r="B1484" s="64">
        <v>213.43394000000001</v>
      </c>
      <c r="C1484" s="61">
        <v>8.9341899999999992</v>
      </c>
    </row>
    <row r="1485" spans="1:3" x14ac:dyDescent="0.25">
      <c r="A1485" s="47" t="s">
        <v>7259</v>
      </c>
      <c r="B1485" s="64">
        <v>110.6</v>
      </c>
      <c r="C1485" s="61">
        <v>5.14018</v>
      </c>
    </row>
    <row r="1486" spans="1:3" x14ac:dyDescent="0.25">
      <c r="A1486" s="47" t="s">
        <v>7262</v>
      </c>
      <c r="B1486" s="64">
        <v>126.78505</v>
      </c>
      <c r="C1486" s="61">
        <v>15.450749999999999</v>
      </c>
    </row>
    <row r="1487" spans="1:3" x14ac:dyDescent="0.25">
      <c r="A1487" s="47" t="s">
        <v>7266</v>
      </c>
      <c r="B1487" s="64">
        <v>3.7014999999999998</v>
      </c>
      <c r="C1487" s="61">
        <v>8.3416099999999993</v>
      </c>
    </row>
    <row r="1488" spans="1:3" x14ac:dyDescent="0.25">
      <c r="A1488" s="47" t="s">
        <v>7270</v>
      </c>
      <c r="B1488" s="64">
        <v>90.131770000000003</v>
      </c>
      <c r="C1488" s="61">
        <v>5.7073099999999997</v>
      </c>
    </row>
    <row r="1489" spans="1:3" x14ac:dyDescent="0.25">
      <c r="A1489" s="47" t="s">
        <v>7273</v>
      </c>
      <c r="B1489" s="64">
        <v>14.804830000000001</v>
      </c>
      <c r="C1489" s="61">
        <v>5.21434</v>
      </c>
    </row>
    <row r="1490" spans="1:3" x14ac:dyDescent="0.25">
      <c r="A1490" s="47" t="s">
        <v>7286</v>
      </c>
      <c r="B1490" s="64">
        <v>8.2500000000000004E-2</v>
      </c>
      <c r="C1490" s="61">
        <v>2.68357</v>
      </c>
    </row>
    <row r="1491" spans="1:3" x14ac:dyDescent="0.25">
      <c r="A1491" s="47" t="s">
        <v>7290</v>
      </c>
      <c r="B1491" s="64">
        <v>1.1200000000000001</v>
      </c>
      <c r="C1491" s="61">
        <v>5.6304400000000001</v>
      </c>
    </row>
    <row r="1492" spans="1:3" x14ac:dyDescent="0.25">
      <c r="A1492" s="47" t="s">
        <v>7294</v>
      </c>
      <c r="B1492" s="64">
        <v>14.2</v>
      </c>
      <c r="C1492" s="61">
        <v>7.1758899999999999</v>
      </c>
    </row>
    <row r="1493" spans="1:3" x14ac:dyDescent="0.25">
      <c r="A1493" s="47" t="s">
        <v>7306</v>
      </c>
      <c r="B1493" s="64">
        <v>1</v>
      </c>
      <c r="C1493" s="61">
        <v>19.46388</v>
      </c>
    </row>
    <row r="1494" spans="1:3" x14ac:dyDescent="0.25">
      <c r="A1494" s="47" t="s">
        <v>7308</v>
      </c>
      <c r="B1494" s="64">
        <v>1</v>
      </c>
      <c r="C1494" s="61">
        <v>26.671710000000001</v>
      </c>
    </row>
    <row r="1495" spans="1:3" x14ac:dyDescent="0.25">
      <c r="A1495" s="47" t="s">
        <v>7312</v>
      </c>
      <c r="B1495" s="64">
        <v>90.131770000000003</v>
      </c>
      <c r="C1495" s="61">
        <v>239.90069</v>
      </c>
    </row>
    <row r="1496" spans="1:3" x14ac:dyDescent="0.25">
      <c r="A1496" s="47" t="s">
        <v>7316</v>
      </c>
      <c r="B1496" s="64">
        <v>1.71</v>
      </c>
      <c r="C1496" s="61">
        <v>9.7779699999999998</v>
      </c>
    </row>
    <row r="1497" spans="1:3" x14ac:dyDescent="0.25">
      <c r="A1497" s="47" t="s">
        <v>7323</v>
      </c>
      <c r="B1497" s="64">
        <v>5.3150000000000004</v>
      </c>
      <c r="C1497" s="61">
        <v>18.737539999999999</v>
      </c>
    </row>
    <row r="1498" spans="1:3" x14ac:dyDescent="0.25">
      <c r="A1498" s="47" t="s">
        <v>7331</v>
      </c>
      <c r="B1498" s="64">
        <v>6.47051</v>
      </c>
      <c r="C1498" s="61">
        <v>5.9812500000000002</v>
      </c>
    </row>
    <row r="1499" spans="1:3" x14ac:dyDescent="0.25">
      <c r="A1499" s="47" t="s">
        <v>7334</v>
      </c>
      <c r="B1499" s="64">
        <v>6.47051</v>
      </c>
      <c r="C1499" s="61">
        <v>2.58365</v>
      </c>
    </row>
    <row r="1500" spans="1:3" x14ac:dyDescent="0.25">
      <c r="A1500" s="47" t="s">
        <v>7337</v>
      </c>
      <c r="B1500" s="64">
        <v>20</v>
      </c>
      <c r="C1500" s="61">
        <v>17.11328</v>
      </c>
    </row>
    <row r="1501" spans="1:3" x14ac:dyDescent="0.25">
      <c r="A1501" s="47" t="s">
        <v>7341</v>
      </c>
      <c r="B1501" s="64">
        <v>1.2E-2</v>
      </c>
      <c r="C1501" s="61">
        <v>8.3628999999999998</v>
      </c>
    </row>
    <row r="1502" spans="1:3" x14ac:dyDescent="0.25">
      <c r="A1502" s="47" t="s">
        <v>7344</v>
      </c>
      <c r="B1502" s="64">
        <v>33</v>
      </c>
      <c r="C1502" s="61">
        <v>4.9779499999999999</v>
      </c>
    </row>
    <row r="1503" spans="1:3" x14ac:dyDescent="0.25">
      <c r="A1503" s="47" t="s">
        <v>7346</v>
      </c>
      <c r="B1503" s="64">
        <v>1.6999999999999999E-3</v>
      </c>
      <c r="C1503" s="61">
        <v>8.15808</v>
      </c>
    </row>
    <row r="1504" spans="1:3" x14ac:dyDescent="0.25">
      <c r="A1504" s="47" t="s">
        <v>7352</v>
      </c>
      <c r="B1504" s="64">
        <v>22</v>
      </c>
      <c r="C1504" s="61">
        <v>13.95781</v>
      </c>
    </row>
    <row r="1505" spans="1:3" x14ac:dyDescent="0.25">
      <c r="A1505" s="47" t="s">
        <v>7355</v>
      </c>
      <c r="B1505" s="64">
        <v>2</v>
      </c>
      <c r="C1505" s="61">
        <v>298.75285000000002</v>
      </c>
    </row>
    <row r="1506" spans="1:3" x14ac:dyDescent="0.25">
      <c r="A1506" s="47" t="s">
        <v>7372</v>
      </c>
      <c r="B1506" s="64">
        <v>27</v>
      </c>
      <c r="C1506" s="61">
        <v>4.1341799999999997</v>
      </c>
    </row>
    <row r="1507" spans="1:3" x14ac:dyDescent="0.25">
      <c r="A1507" s="47" t="s">
        <v>7376</v>
      </c>
      <c r="B1507" s="64">
        <v>1.4750000000000001</v>
      </c>
      <c r="C1507" s="61">
        <v>3.3606699999999998</v>
      </c>
    </row>
    <row r="1508" spans="1:3" x14ac:dyDescent="0.25">
      <c r="A1508" s="47" t="s">
        <v>7379</v>
      </c>
      <c r="B1508" s="64">
        <v>1.44</v>
      </c>
      <c r="C1508" s="61">
        <v>46.84834</v>
      </c>
    </row>
    <row r="1509" spans="1:3" x14ac:dyDescent="0.25">
      <c r="A1509" s="47" t="s">
        <v>7382</v>
      </c>
      <c r="B1509" s="64">
        <v>1.2E-2</v>
      </c>
      <c r="C1509" s="61">
        <v>19.83662</v>
      </c>
    </row>
    <row r="1510" spans="1:3" x14ac:dyDescent="0.25">
      <c r="A1510" s="47" t="s">
        <v>7397</v>
      </c>
      <c r="B1510" s="64">
        <v>109.46666999999999</v>
      </c>
      <c r="C1510" s="61">
        <v>2.6454200000000001</v>
      </c>
    </row>
    <row r="1511" spans="1:3" x14ac:dyDescent="0.25">
      <c r="A1511" s="47" t="s">
        <v>7404</v>
      </c>
      <c r="B1511" s="64">
        <v>9.5</v>
      </c>
      <c r="C1511" s="61">
        <v>2.7691599999999998</v>
      </c>
    </row>
    <row r="1512" spans="1:3" x14ac:dyDescent="0.25">
      <c r="A1512" s="47" t="s">
        <v>7407</v>
      </c>
      <c r="B1512" s="64">
        <v>3.2</v>
      </c>
      <c r="C1512" s="61">
        <v>7.8110999999999997</v>
      </c>
    </row>
    <row r="1513" spans="1:3" x14ac:dyDescent="0.25">
      <c r="A1513" s="47" t="s">
        <v>7411</v>
      </c>
      <c r="B1513" s="64">
        <v>10.3</v>
      </c>
      <c r="C1513" s="61">
        <v>8.2225000000000001</v>
      </c>
    </row>
    <row r="1514" spans="1:3" x14ac:dyDescent="0.25">
      <c r="A1514" s="47" t="s">
        <v>7414</v>
      </c>
      <c r="B1514" s="64">
        <v>417</v>
      </c>
      <c r="C1514" s="61">
        <v>6.9767999999999999</v>
      </c>
    </row>
    <row r="1515" spans="1:3" x14ac:dyDescent="0.25">
      <c r="A1515" s="47" t="s">
        <v>7424</v>
      </c>
      <c r="B1515" s="64">
        <v>8.01</v>
      </c>
      <c r="C1515" s="61">
        <v>120.8314</v>
      </c>
    </row>
    <row r="1516" spans="1:3" x14ac:dyDescent="0.25">
      <c r="A1516" s="47" t="s">
        <v>7426</v>
      </c>
      <c r="B1516" s="64">
        <v>32.4876</v>
      </c>
      <c r="C1516" s="61">
        <v>6.4616499999999997</v>
      </c>
    </row>
    <row r="1517" spans="1:3" x14ac:dyDescent="0.25">
      <c r="A1517" s="47" t="s">
        <v>7429</v>
      </c>
      <c r="B1517" s="64">
        <v>14.3</v>
      </c>
      <c r="C1517" s="61">
        <v>8.7184699999999999</v>
      </c>
    </row>
    <row r="1518" spans="1:3" x14ac:dyDescent="0.25">
      <c r="A1518" s="47" t="s">
        <v>7442</v>
      </c>
      <c r="B1518" s="64">
        <v>9.1999999999999998E-2</v>
      </c>
      <c r="C1518" s="61">
        <v>2.62201</v>
      </c>
    </row>
    <row r="1519" spans="1:3" x14ac:dyDescent="0.25">
      <c r="A1519" s="47" t="s">
        <v>7445</v>
      </c>
      <c r="B1519" s="64">
        <v>38.1</v>
      </c>
      <c r="C1519" s="61">
        <v>2.6391399999999998</v>
      </c>
    </row>
    <row r="1520" spans="1:3" x14ac:dyDescent="0.25">
      <c r="A1520" s="47" t="s">
        <v>7447</v>
      </c>
      <c r="B1520" s="64">
        <v>733.3</v>
      </c>
      <c r="C1520" s="61">
        <v>2.78925</v>
      </c>
    </row>
    <row r="1521" spans="1:3" x14ac:dyDescent="0.25">
      <c r="A1521" s="47" t="s">
        <v>7449</v>
      </c>
      <c r="B1521" s="64">
        <v>118.5425</v>
      </c>
      <c r="C1521" s="61">
        <v>8.1956699999999998</v>
      </c>
    </row>
    <row r="1522" spans="1:3" x14ac:dyDescent="0.25">
      <c r="A1522" s="47" t="s">
        <v>7451</v>
      </c>
      <c r="B1522" s="64">
        <v>141</v>
      </c>
      <c r="C1522" s="61">
        <v>16.652100000000001</v>
      </c>
    </row>
    <row r="1523" spans="1:3" x14ac:dyDescent="0.25">
      <c r="A1523" s="47" t="s">
        <v>7453</v>
      </c>
      <c r="B1523" s="64">
        <v>0.27500000000000002</v>
      </c>
      <c r="C1523" s="61">
        <v>3.3846500000000002</v>
      </c>
    </row>
    <row r="1524" spans="1:3" x14ac:dyDescent="0.25">
      <c r="A1524" s="47" t="s">
        <v>7455</v>
      </c>
      <c r="B1524" s="64">
        <v>46000</v>
      </c>
      <c r="C1524" s="61">
        <v>4.7377700000000003</v>
      </c>
    </row>
    <row r="1525" spans="1:3" x14ac:dyDescent="0.25">
      <c r="A1525" s="47" t="s">
        <v>7457</v>
      </c>
      <c r="B1525" s="64">
        <v>8.6</v>
      </c>
      <c r="C1525" s="61">
        <v>10</v>
      </c>
    </row>
    <row r="1526" spans="1:3" x14ac:dyDescent="0.25">
      <c r="A1526" s="47" t="s">
        <v>7459</v>
      </c>
      <c r="B1526" s="64">
        <v>7.5465</v>
      </c>
      <c r="C1526" s="61">
        <v>9.5527599999999993</v>
      </c>
    </row>
    <row r="1527" spans="1:3" x14ac:dyDescent="0.25">
      <c r="A1527" s="47" t="s">
        <v>7461</v>
      </c>
      <c r="B1527" s="64">
        <v>783</v>
      </c>
      <c r="C1527" s="61">
        <v>2.8399800000000002</v>
      </c>
    </row>
    <row r="1528" spans="1:3" x14ac:dyDescent="0.25">
      <c r="A1528" s="47" t="s">
        <v>7463</v>
      </c>
      <c r="B1528" s="64">
        <v>181.1</v>
      </c>
      <c r="C1528" s="61">
        <v>6.8</v>
      </c>
    </row>
    <row r="1529" spans="1:3" x14ac:dyDescent="0.25">
      <c r="A1529" s="47" t="s">
        <v>7465</v>
      </c>
      <c r="B1529" s="64">
        <v>88.1</v>
      </c>
      <c r="C1529" s="61">
        <v>8.4357799999999994</v>
      </c>
    </row>
    <row r="1530" spans="1:3" x14ac:dyDescent="0.25">
      <c r="A1530" s="47" t="s">
        <v>7467</v>
      </c>
      <c r="B1530" s="64">
        <v>15.7</v>
      </c>
      <c r="C1530" s="61">
        <v>39.6357</v>
      </c>
    </row>
    <row r="1531" spans="1:3" x14ac:dyDescent="0.25">
      <c r="A1531" s="47" t="s">
        <v>7469</v>
      </c>
      <c r="B1531" s="64">
        <v>2</v>
      </c>
      <c r="C1531" s="61">
        <v>28.97017</v>
      </c>
    </row>
    <row r="1532" spans="1:3" x14ac:dyDescent="0.25">
      <c r="A1532" s="47" t="s">
        <v>7471</v>
      </c>
      <c r="B1532" s="64">
        <v>131.85</v>
      </c>
      <c r="C1532" s="61">
        <v>13.57503</v>
      </c>
    </row>
    <row r="1533" spans="1:3" x14ac:dyDescent="0.25">
      <c r="A1533" s="47" t="s">
        <v>7473</v>
      </c>
      <c r="B1533" s="64">
        <v>173</v>
      </c>
      <c r="C1533" s="61">
        <v>9.0064600000000006</v>
      </c>
    </row>
    <row r="1534" spans="1:3" x14ac:dyDescent="0.25">
      <c r="A1534" s="47" t="s">
        <v>7475</v>
      </c>
      <c r="B1534" s="64">
        <v>585</v>
      </c>
      <c r="C1534" s="61">
        <v>21</v>
      </c>
    </row>
    <row r="1535" spans="1:3" x14ac:dyDescent="0.25">
      <c r="A1535" s="47" t="s">
        <v>7477</v>
      </c>
      <c r="B1535" s="64">
        <v>16.8</v>
      </c>
      <c r="C1535" s="61">
        <v>9.2167200000000005</v>
      </c>
    </row>
    <row r="1536" spans="1:3" x14ac:dyDescent="0.25">
      <c r="A1536" s="47" t="s">
        <v>7479</v>
      </c>
      <c r="B1536" s="64">
        <v>368.48649999999998</v>
      </c>
      <c r="C1536" s="61">
        <v>34.233980000000003</v>
      </c>
    </row>
    <row r="1537" spans="1:3" x14ac:dyDescent="0.25">
      <c r="A1537" s="47" t="s">
        <v>7481</v>
      </c>
      <c r="B1537" s="63">
        <v>1.2E-5</v>
      </c>
      <c r="C1537" s="61">
        <v>12.125080000000001</v>
      </c>
    </row>
    <row r="1538" spans="1:3" x14ac:dyDescent="0.25">
      <c r="A1538" s="47" t="s">
        <v>7483</v>
      </c>
      <c r="B1538" s="64">
        <v>7.5465</v>
      </c>
      <c r="C1538" s="61">
        <v>12.79341</v>
      </c>
    </row>
    <row r="1539" spans="1:3" x14ac:dyDescent="0.25">
      <c r="A1539" s="47" t="s">
        <v>7485</v>
      </c>
      <c r="B1539" s="64">
        <v>34.07</v>
      </c>
      <c r="C1539" s="61">
        <v>14.41037</v>
      </c>
    </row>
    <row r="1540" spans="1:3" x14ac:dyDescent="0.25">
      <c r="A1540" s="47" t="s">
        <v>7487</v>
      </c>
      <c r="B1540" s="64">
        <v>2.6</v>
      </c>
      <c r="C1540" s="61">
        <v>9.5350900000000003</v>
      </c>
    </row>
    <row r="1541" spans="1:3" x14ac:dyDescent="0.25">
      <c r="A1541" s="47" t="s">
        <v>7489</v>
      </c>
      <c r="B1541" s="64">
        <v>5</v>
      </c>
      <c r="C1541" s="61">
        <v>89.850750000000005</v>
      </c>
    </row>
    <row r="1542" spans="1:3" x14ac:dyDescent="0.25">
      <c r="A1542" s="47" t="s">
        <v>7491</v>
      </c>
      <c r="B1542" s="64">
        <v>2633</v>
      </c>
      <c r="C1542" s="61">
        <v>42</v>
      </c>
    </row>
    <row r="1543" spans="1:3" x14ac:dyDescent="0.25">
      <c r="A1543" s="47" t="s">
        <v>7493</v>
      </c>
      <c r="B1543" s="64">
        <v>1300</v>
      </c>
      <c r="C1543" s="61">
        <v>30.101929999999999</v>
      </c>
    </row>
    <row r="1544" spans="1:3" x14ac:dyDescent="0.25">
      <c r="A1544" s="47" t="s">
        <v>7495</v>
      </c>
      <c r="B1544" s="64">
        <v>53</v>
      </c>
      <c r="C1544" s="61">
        <v>4.7244099999999998</v>
      </c>
    </row>
    <row r="1545" spans="1:3" x14ac:dyDescent="0.25">
      <c r="A1545" s="47" t="s">
        <v>7497</v>
      </c>
      <c r="B1545" s="64">
        <v>73.5</v>
      </c>
      <c r="C1545" s="61">
        <v>6.0469200000000001</v>
      </c>
    </row>
    <row r="1546" spans="1:3" x14ac:dyDescent="0.25">
      <c r="A1546" s="47" t="s">
        <v>7499</v>
      </c>
      <c r="B1546" s="64">
        <v>0.3</v>
      </c>
      <c r="C1546" s="61">
        <v>23.983879999999999</v>
      </c>
    </row>
    <row r="1547" spans="1:3" x14ac:dyDescent="0.25">
      <c r="A1547" s="47" t="s">
        <v>7501</v>
      </c>
      <c r="B1547" s="64">
        <v>1717</v>
      </c>
      <c r="C1547" s="61">
        <v>5.0318800000000001</v>
      </c>
    </row>
    <row r="1548" spans="1:3" x14ac:dyDescent="0.25">
      <c r="A1548" s="47" t="s">
        <v>7503</v>
      </c>
      <c r="B1548" s="64">
        <v>783</v>
      </c>
      <c r="C1548" s="61">
        <v>2.7449499999999998</v>
      </c>
    </row>
    <row r="1549" spans="1:3" x14ac:dyDescent="0.25">
      <c r="A1549" s="47" t="s">
        <v>7505</v>
      </c>
      <c r="B1549" s="64">
        <v>783</v>
      </c>
      <c r="C1549" s="61">
        <v>4.0049700000000001</v>
      </c>
    </row>
    <row r="1550" spans="1:3" x14ac:dyDescent="0.25">
      <c r="A1550" s="47" t="s">
        <v>7507</v>
      </c>
      <c r="B1550" s="64">
        <v>56</v>
      </c>
      <c r="C1550" s="61">
        <v>2.90747</v>
      </c>
    </row>
    <row r="1551" spans="1:3" x14ac:dyDescent="0.25">
      <c r="A1551" s="47" t="s">
        <v>7509</v>
      </c>
      <c r="B1551" s="64">
        <v>1.5225</v>
      </c>
      <c r="C1551" s="61">
        <v>2.6867399999999999</v>
      </c>
    </row>
    <row r="1552" spans="1:3" x14ac:dyDescent="0.25">
      <c r="A1552" s="47" t="s">
        <v>7511</v>
      </c>
      <c r="B1552" s="64">
        <v>5.4</v>
      </c>
      <c r="C1552" s="61">
        <v>5</v>
      </c>
    </row>
    <row r="1553" spans="1:3" x14ac:dyDescent="0.25">
      <c r="A1553" s="47" t="s">
        <v>7513</v>
      </c>
      <c r="B1553" s="64">
        <v>18.375</v>
      </c>
      <c r="C1553" s="61">
        <v>6.1</v>
      </c>
    </row>
    <row r="1554" spans="1:3" x14ac:dyDescent="0.25">
      <c r="A1554" s="47" t="s">
        <v>7515</v>
      </c>
      <c r="B1554" s="64">
        <v>13.67</v>
      </c>
      <c r="C1554" s="61">
        <v>8.8000000000000007</v>
      </c>
    </row>
    <row r="1555" spans="1:3" x14ac:dyDescent="0.25">
      <c r="A1555" s="47" t="s">
        <v>7517</v>
      </c>
      <c r="B1555" s="64">
        <v>5.4333299999999998</v>
      </c>
      <c r="C1555" s="61">
        <v>4.9880100000000001</v>
      </c>
    </row>
    <row r="1556" spans="1:3" x14ac:dyDescent="0.25">
      <c r="A1556" s="47" t="s">
        <v>7519</v>
      </c>
      <c r="B1556" s="64">
        <v>415</v>
      </c>
      <c r="C1556" s="61">
        <v>116.84129</v>
      </c>
    </row>
    <row r="1557" spans="1:3" x14ac:dyDescent="0.25">
      <c r="A1557" s="47" t="s">
        <v>7521</v>
      </c>
      <c r="B1557" s="64">
        <v>3557.5</v>
      </c>
      <c r="C1557" s="61">
        <v>49.543729999999996</v>
      </c>
    </row>
    <row r="1558" spans="1:3" x14ac:dyDescent="0.25">
      <c r="A1558" s="47" t="s">
        <v>7523</v>
      </c>
      <c r="B1558" s="64">
        <v>15.5</v>
      </c>
      <c r="C1558" s="61">
        <v>13</v>
      </c>
    </row>
    <row r="1559" spans="1:3" x14ac:dyDescent="0.25">
      <c r="A1559" s="47" t="s">
        <v>7525</v>
      </c>
      <c r="B1559" s="64">
        <v>2.9</v>
      </c>
      <c r="C1559" s="61">
        <v>4.4383600000000003</v>
      </c>
    </row>
    <row r="1560" spans="1:3" x14ac:dyDescent="0.25">
      <c r="A1560" s="47" t="s">
        <v>7527</v>
      </c>
      <c r="B1560" s="64">
        <v>111.66667</v>
      </c>
      <c r="C1560" s="61">
        <v>2.7484700000000002</v>
      </c>
    </row>
    <row r="1561" spans="1:3" x14ac:dyDescent="0.25">
      <c r="A1561" s="47" t="s">
        <v>7529</v>
      </c>
      <c r="B1561" s="64">
        <v>112.5</v>
      </c>
      <c r="C1561" s="61">
        <v>2.62907</v>
      </c>
    </row>
    <row r="1562" spans="1:3" x14ac:dyDescent="0.25">
      <c r="A1562" s="47" t="s">
        <v>7531</v>
      </c>
      <c r="B1562" s="64">
        <v>110</v>
      </c>
      <c r="C1562" s="61">
        <v>9.0842600000000004</v>
      </c>
    </row>
    <row r="1563" spans="1:3" x14ac:dyDescent="0.25">
      <c r="A1563" s="47" t="s">
        <v>7533</v>
      </c>
      <c r="B1563" s="64">
        <v>110</v>
      </c>
      <c r="C1563" s="61">
        <v>0.01</v>
      </c>
    </row>
    <row r="1564" spans="1:3" x14ac:dyDescent="0.25">
      <c r="A1564" s="47" t="s">
        <v>7535</v>
      </c>
      <c r="B1564" s="64">
        <v>2.77</v>
      </c>
      <c r="C1564" s="61">
        <v>2.7342900000000001</v>
      </c>
    </row>
    <row r="1565" spans="1:3" x14ac:dyDescent="0.25">
      <c r="A1565" s="47" t="s">
        <v>7537</v>
      </c>
      <c r="B1565" s="64">
        <v>110.6</v>
      </c>
      <c r="C1565" s="61">
        <v>2.72316</v>
      </c>
    </row>
    <row r="1566" spans="1:3" x14ac:dyDescent="0.25">
      <c r="A1566" s="47" t="s">
        <v>7539</v>
      </c>
      <c r="B1566" s="64">
        <v>8.3000000000000004E-2</v>
      </c>
      <c r="C1566" s="61">
        <v>7.1127799999999999</v>
      </c>
    </row>
    <row r="1567" spans="1:3" x14ac:dyDescent="0.25">
      <c r="A1567" s="47" t="s">
        <v>7541</v>
      </c>
      <c r="B1567" s="64">
        <v>10</v>
      </c>
      <c r="C1567" s="61">
        <v>29.601780000000002</v>
      </c>
    </row>
    <row r="1568" spans="1:3" x14ac:dyDescent="0.25">
      <c r="A1568" s="47" t="s">
        <v>7543</v>
      </c>
      <c r="B1568" s="64">
        <v>1108</v>
      </c>
      <c r="C1568" s="61">
        <v>3.2398600000000002</v>
      </c>
    </row>
    <row r="1569" spans="1:3" x14ac:dyDescent="0.25">
      <c r="A1569" s="47" t="s">
        <v>7545</v>
      </c>
      <c r="B1569" s="64">
        <v>129</v>
      </c>
      <c r="C1569" s="61">
        <v>0.59892999999999996</v>
      </c>
    </row>
    <row r="1570" spans="1:3" x14ac:dyDescent="0.25">
      <c r="A1570" s="47" t="s">
        <v>7547</v>
      </c>
      <c r="B1570" s="64">
        <v>0.115</v>
      </c>
      <c r="C1570" s="61">
        <v>5.5625200000000001</v>
      </c>
    </row>
    <row r="1571" spans="1:3" x14ac:dyDescent="0.25">
      <c r="A1571" s="47" t="s">
        <v>7549</v>
      </c>
      <c r="B1571" s="64">
        <v>176.85249999999999</v>
      </c>
      <c r="C1571" s="61">
        <v>24</v>
      </c>
    </row>
    <row r="1572" spans="1:3" x14ac:dyDescent="0.25">
      <c r="A1572" s="47" t="s">
        <v>7551</v>
      </c>
      <c r="B1572" s="64">
        <v>0.51</v>
      </c>
      <c r="C1572" s="61">
        <v>10.59587</v>
      </c>
    </row>
    <row r="1573" spans="1:3" x14ac:dyDescent="0.25">
      <c r="A1573" s="47" t="s">
        <v>7553</v>
      </c>
      <c r="B1573" s="64">
        <v>196</v>
      </c>
      <c r="C1573" s="61">
        <v>5.0631399999999998</v>
      </c>
    </row>
    <row r="1574" spans="1:3" x14ac:dyDescent="0.25">
      <c r="A1574" s="47" t="s">
        <v>7555</v>
      </c>
      <c r="B1574" s="64">
        <v>5.16</v>
      </c>
      <c r="C1574" s="61">
        <v>4</v>
      </c>
    </row>
    <row r="1575" spans="1:3" x14ac:dyDescent="0.25">
      <c r="A1575" s="47" t="s">
        <v>7557</v>
      </c>
      <c r="B1575" s="64">
        <v>6.2850000000000001</v>
      </c>
      <c r="C1575" s="61">
        <v>21</v>
      </c>
    </row>
    <row r="1576" spans="1:3" x14ac:dyDescent="0.25">
      <c r="A1576" s="47" t="s">
        <v>7559</v>
      </c>
      <c r="B1576" s="64">
        <v>3.625</v>
      </c>
      <c r="C1576" s="61">
        <v>17.98854</v>
      </c>
    </row>
    <row r="1577" spans="1:3" x14ac:dyDescent="0.25">
      <c r="A1577" s="47" t="s">
        <v>7561</v>
      </c>
      <c r="B1577" s="64">
        <v>4.0000000000000001E-3</v>
      </c>
      <c r="C1577" s="61">
        <v>7.9288499999999997</v>
      </c>
    </row>
    <row r="1578" spans="1:3" x14ac:dyDescent="0.25">
      <c r="A1578" s="47" t="s">
        <v>7563</v>
      </c>
      <c r="B1578" s="64">
        <v>5</v>
      </c>
      <c r="C1578" s="61">
        <v>10.177809999999999</v>
      </c>
    </row>
    <row r="1579" spans="1:3" x14ac:dyDescent="0.25">
      <c r="A1579" s="47" t="s">
        <v>7565</v>
      </c>
      <c r="B1579" s="64">
        <v>783</v>
      </c>
      <c r="C1579" s="61">
        <v>7.6622500000000002</v>
      </c>
    </row>
    <row r="1580" spans="1:3" x14ac:dyDescent="0.25">
      <c r="A1580" s="47" t="s">
        <v>7567</v>
      </c>
      <c r="B1580" s="64">
        <v>0.96</v>
      </c>
      <c r="C1580" s="61">
        <v>2.2999999999999998</v>
      </c>
    </row>
    <row r="1581" spans="1:3" x14ac:dyDescent="0.25">
      <c r="A1581" s="47" t="s">
        <v>7569</v>
      </c>
      <c r="B1581" s="64">
        <v>4.1700000000000001E-3</v>
      </c>
      <c r="C1581" s="61">
        <v>3.2738700000000001</v>
      </c>
    </row>
    <row r="1582" spans="1:3" x14ac:dyDescent="0.25">
      <c r="A1582" s="47" t="s">
        <v>7571</v>
      </c>
      <c r="B1582" s="64">
        <v>1.8</v>
      </c>
      <c r="C1582" s="61">
        <v>3.0954100000000002</v>
      </c>
    </row>
    <row r="1583" spans="1:3" x14ac:dyDescent="0.25">
      <c r="A1583" s="47" t="s">
        <v>7573</v>
      </c>
      <c r="B1583" s="64">
        <v>25.3</v>
      </c>
      <c r="C1583" s="61">
        <v>4.3754900000000001</v>
      </c>
    </row>
    <row r="1584" spans="1:3" x14ac:dyDescent="0.25">
      <c r="A1584" s="47" t="s">
        <v>7575</v>
      </c>
      <c r="B1584" s="64">
        <v>15.824999999999999</v>
      </c>
      <c r="C1584" s="61">
        <v>6.1538199999999996</v>
      </c>
    </row>
    <row r="1585" spans="1:3" x14ac:dyDescent="0.25">
      <c r="A1585" s="47" t="s">
        <v>7577</v>
      </c>
      <c r="B1585" s="64">
        <v>4.0000000000000001E-3</v>
      </c>
      <c r="C1585" s="61">
        <v>8.0238300000000002</v>
      </c>
    </row>
    <row r="1586" spans="1:3" x14ac:dyDescent="0.25">
      <c r="A1586" s="47" t="s">
        <v>7579</v>
      </c>
      <c r="B1586" s="64">
        <v>971</v>
      </c>
      <c r="C1586" s="61">
        <v>15.46847</v>
      </c>
    </row>
    <row r="1587" spans="1:3" x14ac:dyDescent="0.25">
      <c r="A1587" s="47" t="s">
        <v>7581</v>
      </c>
      <c r="B1587" s="64">
        <v>7.5465</v>
      </c>
      <c r="C1587" s="61">
        <v>12.586449999999999</v>
      </c>
    </row>
    <row r="1588" spans="1:3" x14ac:dyDescent="0.25">
      <c r="A1588" s="47" t="s">
        <v>7583</v>
      </c>
      <c r="B1588" s="64">
        <v>7.5465</v>
      </c>
      <c r="C1588" s="61">
        <v>10.828189999999999</v>
      </c>
    </row>
    <row r="1589" spans="1:3" x14ac:dyDescent="0.25">
      <c r="A1589" s="47" t="s">
        <v>7585</v>
      </c>
      <c r="B1589" s="64">
        <v>283</v>
      </c>
      <c r="C1589" s="61">
        <v>2.9469400000000001</v>
      </c>
    </row>
    <row r="1590" spans="1:3" x14ac:dyDescent="0.25">
      <c r="A1590" s="47" t="s">
        <v>7587</v>
      </c>
      <c r="B1590" s="64">
        <v>1.67</v>
      </c>
      <c r="C1590" s="61">
        <v>16.377199999999998</v>
      </c>
    </row>
    <row r="1591" spans="1:3" x14ac:dyDescent="0.25">
      <c r="A1591" s="47" t="s">
        <v>7589</v>
      </c>
      <c r="B1591" s="64">
        <v>82.93</v>
      </c>
      <c r="C1591" s="61">
        <v>4.2951100000000002</v>
      </c>
    </row>
    <row r="1592" spans="1:3" x14ac:dyDescent="0.25">
      <c r="A1592" s="47" t="s">
        <v>7591</v>
      </c>
      <c r="B1592" s="64">
        <v>20.149999999999999</v>
      </c>
      <c r="C1592" s="61">
        <v>16.55161</v>
      </c>
    </row>
    <row r="1593" spans="1:3" x14ac:dyDescent="0.25">
      <c r="A1593" s="47" t="s">
        <v>7593</v>
      </c>
      <c r="B1593" s="64">
        <v>7.7</v>
      </c>
      <c r="C1593" s="61">
        <v>3.3733200000000001</v>
      </c>
    </row>
    <row r="1594" spans="1:3" x14ac:dyDescent="0.25">
      <c r="A1594" s="47" t="s">
        <v>7595</v>
      </c>
      <c r="B1594" s="64">
        <v>76.088470000000001</v>
      </c>
      <c r="C1594" s="61">
        <v>5.6779900000000003</v>
      </c>
    </row>
    <row r="1595" spans="1:3" x14ac:dyDescent="0.25">
      <c r="A1595" s="47" t="s">
        <v>7597</v>
      </c>
      <c r="B1595" s="64">
        <v>1</v>
      </c>
      <c r="C1595" s="61">
        <v>40.931600000000003</v>
      </c>
    </row>
    <row r="1596" spans="1:3" x14ac:dyDescent="0.25">
      <c r="A1596" s="47" t="s">
        <v>7599</v>
      </c>
      <c r="B1596" s="64">
        <v>9.1</v>
      </c>
      <c r="C1596" s="61">
        <v>2.81332</v>
      </c>
    </row>
    <row r="1597" spans="1:3" x14ac:dyDescent="0.25">
      <c r="A1597" s="47" t="s">
        <v>7601</v>
      </c>
      <c r="B1597" s="64">
        <v>213.43394000000001</v>
      </c>
      <c r="C1597" s="61">
        <v>12.06419</v>
      </c>
    </row>
    <row r="1598" spans="1:3" x14ac:dyDescent="0.25">
      <c r="A1598" s="47" t="s">
        <v>7603</v>
      </c>
      <c r="B1598" s="64">
        <v>213.43394000000001</v>
      </c>
      <c r="C1598" s="61">
        <v>7.2263299999999999</v>
      </c>
    </row>
    <row r="1599" spans="1:3" x14ac:dyDescent="0.25">
      <c r="A1599" s="47" t="s">
        <v>7605</v>
      </c>
      <c r="B1599" s="64">
        <v>5.38</v>
      </c>
      <c r="C1599" s="61">
        <v>3.3229299999999999</v>
      </c>
    </row>
    <row r="1600" spans="1:3" x14ac:dyDescent="0.25">
      <c r="A1600" s="47" t="s">
        <v>7607</v>
      </c>
      <c r="B1600" s="64">
        <v>213.43394000000001</v>
      </c>
      <c r="C1600" s="61">
        <v>18.436730000000001</v>
      </c>
    </row>
    <row r="1601" spans="1:3" x14ac:dyDescent="0.25">
      <c r="A1601" s="47" t="s">
        <v>7609</v>
      </c>
      <c r="B1601" s="64">
        <v>213.43394000000001</v>
      </c>
      <c r="C1601" s="61">
        <v>13.54344</v>
      </c>
    </row>
    <row r="1602" spans="1:3" x14ac:dyDescent="0.25">
      <c r="A1602" s="47" t="s">
        <v>7611</v>
      </c>
      <c r="B1602" s="64">
        <v>4.0000000000000001E-3</v>
      </c>
      <c r="C1602" s="61">
        <v>8.7681100000000001</v>
      </c>
    </row>
    <row r="1603" spans="1:3" x14ac:dyDescent="0.25">
      <c r="A1603" s="47" t="s">
        <v>7613</v>
      </c>
      <c r="B1603" s="64">
        <v>4.0000000000000001E-3</v>
      </c>
      <c r="C1603" s="61">
        <v>6.6509200000000002</v>
      </c>
    </row>
    <row r="1604" spans="1:3" x14ac:dyDescent="0.25">
      <c r="A1604" s="47" t="s">
        <v>7615</v>
      </c>
      <c r="B1604" s="64">
        <v>783</v>
      </c>
      <c r="C1604" s="61">
        <v>4.4916799999999997</v>
      </c>
    </row>
    <row r="1605" spans="1:3" x14ac:dyDescent="0.25">
      <c r="A1605" s="47" t="s">
        <v>7617</v>
      </c>
      <c r="B1605" s="64">
        <v>2.1333299999999999</v>
      </c>
      <c r="C1605" s="61">
        <v>37.008470000000003</v>
      </c>
    </row>
    <row r="1606" spans="1:3" x14ac:dyDescent="0.25">
      <c r="A1606" s="47" t="s">
        <v>7619</v>
      </c>
      <c r="B1606" s="64">
        <v>1E-3</v>
      </c>
      <c r="C1606" s="61">
        <v>5.5977899999999998</v>
      </c>
    </row>
    <row r="1607" spans="1:3" x14ac:dyDescent="0.25">
      <c r="A1607" s="47" t="s">
        <v>7621</v>
      </c>
      <c r="B1607" s="64">
        <v>68.682329999999993</v>
      </c>
      <c r="C1607" s="61">
        <v>6.2326199999999998</v>
      </c>
    </row>
    <row r="1608" spans="1:3" x14ac:dyDescent="0.25">
      <c r="A1608" s="47" t="s">
        <v>7623</v>
      </c>
      <c r="B1608" s="64">
        <v>68.682329999999993</v>
      </c>
      <c r="C1608" s="61">
        <v>3.02719</v>
      </c>
    </row>
    <row r="1609" spans="1:3" x14ac:dyDescent="0.25">
      <c r="A1609" s="47" t="s">
        <v>7625</v>
      </c>
      <c r="B1609" s="64">
        <v>209</v>
      </c>
      <c r="C1609" s="61">
        <v>7.71821</v>
      </c>
    </row>
    <row r="1610" spans="1:3" x14ac:dyDescent="0.25">
      <c r="A1610" s="47" t="s">
        <v>7627</v>
      </c>
      <c r="B1610" s="64">
        <v>7.5039999999999996</v>
      </c>
      <c r="C1610" s="61">
        <v>11.56198</v>
      </c>
    </row>
    <row r="1611" spans="1:3" x14ac:dyDescent="0.25">
      <c r="A1611" s="47" t="s">
        <v>7629</v>
      </c>
      <c r="B1611" s="64">
        <v>4.0000000000000001E-3</v>
      </c>
      <c r="C1611" s="61">
        <v>11.028589999999999</v>
      </c>
    </row>
    <row r="1612" spans="1:3" x14ac:dyDescent="0.25">
      <c r="A1612" s="47" t="s">
        <v>7631</v>
      </c>
      <c r="B1612" s="64">
        <v>783</v>
      </c>
      <c r="C1612" s="61">
        <v>2.8756699999999999</v>
      </c>
    </row>
    <row r="1613" spans="1:3" x14ac:dyDescent="0.25">
      <c r="A1613" s="47" t="s">
        <v>7633</v>
      </c>
      <c r="B1613" s="64">
        <v>109.46666999999999</v>
      </c>
      <c r="C1613" s="61">
        <v>13.91161</v>
      </c>
    </row>
    <row r="1614" spans="1:3" x14ac:dyDescent="0.25">
      <c r="A1614" s="47" t="s">
        <v>7635</v>
      </c>
      <c r="B1614" s="64">
        <v>76.110799999999998</v>
      </c>
      <c r="C1614" s="61">
        <v>35.817039999999999</v>
      </c>
    </row>
    <row r="1615" spans="1:3" x14ac:dyDescent="0.25">
      <c r="A1615" s="47" t="s">
        <v>7637</v>
      </c>
      <c r="B1615" s="64">
        <v>76.110799999999998</v>
      </c>
      <c r="C1615" s="61">
        <v>6.6459099999999998</v>
      </c>
    </row>
    <row r="1616" spans="1:3" x14ac:dyDescent="0.25">
      <c r="A1616" s="47" t="s">
        <v>7639</v>
      </c>
      <c r="B1616" s="64">
        <v>10</v>
      </c>
      <c r="C1616" s="61">
        <v>4.0481299999999996</v>
      </c>
    </row>
    <row r="1617" spans="1:3" x14ac:dyDescent="0.25">
      <c r="A1617" s="47" t="s">
        <v>7641</v>
      </c>
      <c r="B1617" s="64">
        <v>783</v>
      </c>
      <c r="C1617" s="61">
        <v>3.6510199999999999</v>
      </c>
    </row>
    <row r="1618" spans="1:3" x14ac:dyDescent="0.25">
      <c r="A1618" s="47" t="s">
        <v>7643</v>
      </c>
      <c r="B1618" s="64">
        <v>458.7</v>
      </c>
      <c r="C1618" s="61">
        <v>6.5211899999999998</v>
      </c>
    </row>
    <row r="1619" spans="1:3" x14ac:dyDescent="0.25">
      <c r="A1619" s="47" t="s">
        <v>7645</v>
      </c>
      <c r="B1619" s="64">
        <v>783</v>
      </c>
      <c r="C1619" s="61">
        <v>7.1532</v>
      </c>
    </row>
    <row r="1620" spans="1:3" x14ac:dyDescent="0.25">
      <c r="A1620" s="47" t="s">
        <v>7647</v>
      </c>
      <c r="B1620" s="64">
        <v>209</v>
      </c>
      <c r="C1620" s="61">
        <v>2.7926500000000001</v>
      </c>
    </row>
    <row r="1621" spans="1:3" x14ac:dyDescent="0.25">
      <c r="A1621" s="47" t="s">
        <v>7649</v>
      </c>
      <c r="B1621" s="64">
        <v>0.86</v>
      </c>
      <c r="C1621" s="61">
        <v>6.2405200000000001</v>
      </c>
    </row>
    <row r="1622" spans="1:3" x14ac:dyDescent="0.25">
      <c r="A1622" s="47" t="s">
        <v>7651</v>
      </c>
      <c r="B1622" s="64">
        <v>407.33332999999999</v>
      </c>
      <c r="C1622" s="61">
        <v>2.7238500000000001</v>
      </c>
    </row>
    <row r="1623" spans="1:3" x14ac:dyDescent="0.25">
      <c r="A1623" s="47" t="s">
        <v>7653</v>
      </c>
      <c r="B1623" s="64">
        <v>48.895000000000003</v>
      </c>
      <c r="C1623" s="61">
        <v>8.1687399999999997</v>
      </c>
    </row>
    <row r="1624" spans="1:3" x14ac:dyDescent="0.25">
      <c r="A1624" s="47" t="s">
        <v>7656</v>
      </c>
      <c r="B1624" s="64">
        <v>68.682329999999993</v>
      </c>
      <c r="C1624" s="61">
        <v>7.7260600000000004</v>
      </c>
    </row>
    <row r="1625" spans="1:3" x14ac:dyDescent="0.25">
      <c r="A1625" s="47" t="s">
        <v>7658</v>
      </c>
      <c r="B1625" s="64">
        <v>0.94</v>
      </c>
      <c r="C1625" s="61">
        <v>14.963660000000001</v>
      </c>
    </row>
    <row r="1626" spans="1:3" x14ac:dyDescent="0.25">
      <c r="A1626" s="47" t="s">
        <v>7660</v>
      </c>
      <c r="B1626" s="64">
        <v>2E-3</v>
      </c>
      <c r="C1626" s="61">
        <v>5.4989600000000003</v>
      </c>
    </row>
    <row r="1627" spans="1:3" x14ac:dyDescent="0.25">
      <c r="A1627" s="47" t="s">
        <v>7662</v>
      </c>
      <c r="B1627" s="64">
        <v>76.088470000000001</v>
      </c>
      <c r="C1627" s="61">
        <v>5.5129000000000001</v>
      </c>
    </row>
    <row r="1628" spans="1:3" x14ac:dyDescent="0.25">
      <c r="A1628" s="47" t="s">
        <v>7664</v>
      </c>
      <c r="B1628" s="64">
        <v>9.1</v>
      </c>
      <c r="C1628" s="61">
        <v>2.6441300000000001</v>
      </c>
    </row>
    <row r="1629" spans="1:3" x14ac:dyDescent="0.25">
      <c r="A1629" s="47" t="s">
        <v>7666</v>
      </c>
      <c r="B1629" s="64">
        <v>67</v>
      </c>
      <c r="C1629" s="61">
        <v>30.547160000000002</v>
      </c>
    </row>
    <row r="1630" spans="1:3" x14ac:dyDescent="0.25">
      <c r="A1630" s="47" t="s">
        <v>7668</v>
      </c>
      <c r="B1630" s="64">
        <v>0.67</v>
      </c>
      <c r="C1630" s="61">
        <v>7.5</v>
      </c>
    </row>
    <row r="1631" spans="1:3" x14ac:dyDescent="0.25">
      <c r="A1631" s="47" t="s">
        <v>7670</v>
      </c>
      <c r="B1631" s="64">
        <v>241.7</v>
      </c>
      <c r="C1631" s="61">
        <v>10.53429</v>
      </c>
    </row>
    <row r="1632" spans="1:3" x14ac:dyDescent="0.25">
      <c r="A1632" s="47" t="s">
        <v>7672</v>
      </c>
      <c r="B1632" s="64">
        <v>125</v>
      </c>
      <c r="C1632" s="61">
        <v>6.8032300000000001</v>
      </c>
    </row>
    <row r="1633" spans="1:3" x14ac:dyDescent="0.25">
      <c r="A1633" s="47" t="s">
        <v>7674</v>
      </c>
      <c r="B1633" s="64">
        <v>7.3274999999999997</v>
      </c>
      <c r="C1633" s="61">
        <v>34</v>
      </c>
    </row>
    <row r="1634" spans="1:3" x14ac:dyDescent="0.25">
      <c r="A1634" s="47" t="s">
        <v>7676</v>
      </c>
      <c r="B1634" s="64">
        <v>2.87E-2</v>
      </c>
      <c r="C1634" s="61">
        <v>16.701429999999998</v>
      </c>
    </row>
    <row r="1635" spans="1:3" x14ac:dyDescent="0.25">
      <c r="A1635" s="47" t="s">
        <v>7678</v>
      </c>
      <c r="B1635" s="64">
        <v>9.83</v>
      </c>
      <c r="C1635" s="61">
        <v>5.4831500000000002</v>
      </c>
    </row>
    <row r="1636" spans="1:3" x14ac:dyDescent="0.25">
      <c r="A1636" s="47" t="s">
        <v>7680</v>
      </c>
      <c r="B1636" s="64">
        <v>9.1666699999999999</v>
      </c>
      <c r="C1636" s="61">
        <v>2.74308</v>
      </c>
    </row>
    <row r="1637" spans="1:3" x14ac:dyDescent="0.25">
      <c r="A1637" s="47" t="s">
        <v>7682</v>
      </c>
      <c r="B1637" s="64">
        <v>0.66</v>
      </c>
      <c r="C1637" s="61">
        <v>2.70207</v>
      </c>
    </row>
    <row r="1638" spans="1:3" x14ac:dyDescent="0.25">
      <c r="A1638" s="47" t="s">
        <v>7684</v>
      </c>
      <c r="B1638" s="64">
        <v>14.3</v>
      </c>
      <c r="C1638" s="61">
        <v>10.69089</v>
      </c>
    </row>
    <row r="1639" spans="1:3" x14ac:dyDescent="0.25">
      <c r="A1639" s="47" t="s">
        <v>7686</v>
      </c>
      <c r="B1639" s="64">
        <v>6.8000000000000005E-2</v>
      </c>
      <c r="C1639" s="61">
        <v>15.788320000000001</v>
      </c>
    </row>
    <row r="1640" spans="1:3" x14ac:dyDescent="0.25">
      <c r="A1640" s="47" t="s">
        <v>7688</v>
      </c>
      <c r="B1640" s="64">
        <v>22.13</v>
      </c>
      <c r="C1640" s="61">
        <v>36.629959999999997</v>
      </c>
    </row>
    <row r="1641" spans="1:3" x14ac:dyDescent="0.25">
      <c r="A1641" s="47" t="s">
        <v>7690</v>
      </c>
      <c r="B1641" s="64">
        <v>15.6</v>
      </c>
      <c r="C1641" s="61">
        <v>6.3</v>
      </c>
    </row>
    <row r="1642" spans="1:3" x14ac:dyDescent="0.25">
      <c r="A1642" s="47" t="s">
        <v>7692</v>
      </c>
      <c r="B1642" s="64">
        <v>319</v>
      </c>
      <c r="C1642" s="61">
        <v>2.79508</v>
      </c>
    </row>
    <row r="1643" spans="1:3" x14ac:dyDescent="0.25">
      <c r="A1643" s="47" t="s">
        <v>7694</v>
      </c>
      <c r="B1643" s="64">
        <v>9201.8125</v>
      </c>
      <c r="C1643" s="61">
        <v>163.05001999999999</v>
      </c>
    </row>
    <row r="1644" spans="1:3" x14ac:dyDescent="0.25">
      <c r="A1644" s="47" t="s">
        <v>7696</v>
      </c>
      <c r="B1644" s="64">
        <v>5.5</v>
      </c>
      <c r="C1644" s="61">
        <v>11.48592</v>
      </c>
    </row>
    <row r="1645" spans="1:3" x14ac:dyDescent="0.25">
      <c r="A1645" s="47" t="s">
        <v>7698</v>
      </c>
      <c r="B1645" s="64">
        <v>73.56</v>
      </c>
      <c r="C1645" s="61">
        <v>15.78886</v>
      </c>
    </row>
    <row r="1646" spans="1:3" x14ac:dyDescent="0.25">
      <c r="A1646" s="47" t="s">
        <v>7700</v>
      </c>
      <c r="B1646" s="64">
        <v>34.5</v>
      </c>
      <c r="C1646" s="61">
        <v>2.89561</v>
      </c>
    </row>
    <row r="1647" spans="1:3" x14ac:dyDescent="0.25">
      <c r="A1647" s="47" t="s">
        <v>7702</v>
      </c>
      <c r="B1647" s="64">
        <v>0.46</v>
      </c>
      <c r="C1647" s="61">
        <v>2.7227700000000001</v>
      </c>
    </row>
    <row r="1648" spans="1:3" x14ac:dyDescent="0.25">
      <c r="A1648" s="47" t="s">
        <v>7704</v>
      </c>
      <c r="B1648" s="64">
        <v>1E-3</v>
      </c>
      <c r="C1648" s="61">
        <v>2.8609</v>
      </c>
    </row>
    <row r="1649" spans="1:3" x14ac:dyDescent="0.25">
      <c r="A1649" s="47" t="s">
        <v>7706</v>
      </c>
      <c r="B1649" s="64">
        <v>8</v>
      </c>
      <c r="C1649" s="61">
        <v>5.4327300000000003</v>
      </c>
    </row>
    <row r="1650" spans="1:3" x14ac:dyDescent="0.25">
      <c r="A1650" s="47" t="s">
        <v>7708</v>
      </c>
      <c r="B1650" s="64">
        <v>13.5</v>
      </c>
      <c r="C1650" s="61">
        <v>11.12565</v>
      </c>
    </row>
    <row r="1651" spans="1:3" x14ac:dyDescent="0.25">
      <c r="A1651" s="47" t="s">
        <v>7710</v>
      </c>
      <c r="B1651" s="64">
        <v>670</v>
      </c>
      <c r="C1651" s="61">
        <v>8.6133000000000006</v>
      </c>
    </row>
    <row r="1652" spans="1:3" x14ac:dyDescent="0.25">
      <c r="A1652" s="47" t="s">
        <v>7712</v>
      </c>
      <c r="B1652" s="64">
        <v>19</v>
      </c>
      <c r="C1652" s="61">
        <v>5.6612400000000003</v>
      </c>
    </row>
    <row r="1653" spans="1:3" x14ac:dyDescent="0.25">
      <c r="A1653" s="47" t="s">
        <v>7714</v>
      </c>
      <c r="B1653" s="64">
        <v>25.45</v>
      </c>
      <c r="C1653" s="61">
        <v>9.0626099999999994</v>
      </c>
    </row>
    <row r="1654" spans="1:3" x14ac:dyDescent="0.25">
      <c r="A1654" s="47" t="s">
        <v>7717</v>
      </c>
      <c r="B1654" s="64">
        <v>2.2999999999999998</v>
      </c>
      <c r="C1654" s="61">
        <v>4.9039200000000003</v>
      </c>
    </row>
    <row r="1655" spans="1:3" x14ac:dyDescent="0.25">
      <c r="A1655" s="47" t="s">
        <v>7719</v>
      </c>
      <c r="B1655" s="64">
        <v>114</v>
      </c>
      <c r="C1655" s="61">
        <v>2.7608100000000002</v>
      </c>
    </row>
    <row r="1656" spans="1:3" x14ac:dyDescent="0.25">
      <c r="A1656" s="47" t="s">
        <v>7721</v>
      </c>
      <c r="B1656" s="64">
        <v>173</v>
      </c>
      <c r="C1656" s="61">
        <v>7.4279900000000003</v>
      </c>
    </row>
    <row r="1657" spans="1:3" x14ac:dyDescent="0.25">
      <c r="A1657" s="47" t="s">
        <v>7723</v>
      </c>
      <c r="B1657" s="64">
        <v>288</v>
      </c>
      <c r="C1657" s="61">
        <v>7.7344799999999996</v>
      </c>
    </row>
    <row r="1658" spans="1:3" x14ac:dyDescent="0.25">
      <c r="A1658" s="47" t="s">
        <v>7725</v>
      </c>
      <c r="B1658" s="64">
        <v>2E-3</v>
      </c>
      <c r="C1658" s="61">
        <v>2.99247</v>
      </c>
    </row>
    <row r="1659" spans="1:3" x14ac:dyDescent="0.25">
      <c r="A1659" s="47" t="s">
        <v>7727</v>
      </c>
      <c r="B1659" s="64">
        <v>783</v>
      </c>
      <c r="C1659" s="61">
        <v>3.4108900000000002</v>
      </c>
    </row>
    <row r="1660" spans="1:3" x14ac:dyDescent="0.25">
      <c r="A1660" s="47" t="s">
        <v>7729</v>
      </c>
      <c r="B1660" s="64">
        <v>156.69999999999999</v>
      </c>
      <c r="C1660" s="61">
        <v>177.43344999999999</v>
      </c>
    </row>
    <row r="1661" spans="1:3" x14ac:dyDescent="0.25">
      <c r="A1661" s="47" t="s">
        <v>7773</v>
      </c>
      <c r="B1661" s="64">
        <v>14.8</v>
      </c>
      <c r="C1661" s="61">
        <v>7.4036900000000001</v>
      </c>
    </row>
    <row r="1662" spans="1:3" x14ac:dyDescent="0.25">
      <c r="A1662" s="47" t="s">
        <v>7775</v>
      </c>
      <c r="B1662" s="64">
        <v>14.8</v>
      </c>
      <c r="C1662" s="61">
        <v>13.506550000000001</v>
      </c>
    </row>
    <row r="1663" spans="1:3" x14ac:dyDescent="0.25">
      <c r="A1663" s="47" t="s">
        <v>7777</v>
      </c>
      <c r="B1663" s="64">
        <v>14.8</v>
      </c>
      <c r="C1663" s="61">
        <v>10.26667</v>
      </c>
    </row>
    <row r="1664" spans="1:3" x14ac:dyDescent="0.25">
      <c r="A1664" s="47" t="s">
        <v>7779</v>
      </c>
      <c r="B1664" s="64">
        <v>14.8</v>
      </c>
      <c r="C1664" s="61">
        <v>9.5985800000000001</v>
      </c>
    </row>
    <row r="1665" spans="1:3" x14ac:dyDescent="0.25">
      <c r="A1665" s="47" t="s">
        <v>7785</v>
      </c>
      <c r="B1665" s="64">
        <v>16.82075</v>
      </c>
      <c r="C1665" s="61">
        <v>7.9278199999999996</v>
      </c>
    </row>
    <row r="1666" spans="1:3" x14ac:dyDescent="0.25">
      <c r="A1666" s="47" t="s">
        <v>7812</v>
      </c>
      <c r="B1666" s="64">
        <v>85.25</v>
      </c>
      <c r="C1666" s="61">
        <v>41.613010000000003</v>
      </c>
    </row>
    <row r="1667" spans="1:3" x14ac:dyDescent="0.25">
      <c r="A1667" s="47" t="s">
        <v>7850</v>
      </c>
      <c r="B1667" s="64">
        <v>285</v>
      </c>
      <c r="C1667" s="61">
        <v>109.69095</v>
      </c>
    </row>
    <row r="1668" spans="1:3" x14ac:dyDescent="0.25">
      <c r="A1668" s="47" t="s">
        <v>7862</v>
      </c>
      <c r="B1668" s="64">
        <v>7.5465</v>
      </c>
      <c r="C1668" s="61">
        <v>6.8139900000000004</v>
      </c>
    </row>
    <row r="1669" spans="1:3" x14ac:dyDescent="0.25">
      <c r="A1669" s="47" t="s">
        <v>7882</v>
      </c>
      <c r="B1669" s="64">
        <v>7.5465</v>
      </c>
      <c r="C1669" s="61">
        <v>8.6562900000000003</v>
      </c>
    </row>
    <row r="1670" spans="1:3" x14ac:dyDescent="0.25">
      <c r="A1670" s="47" t="s">
        <v>7896</v>
      </c>
      <c r="B1670" s="64">
        <v>243</v>
      </c>
      <c r="C1670" s="61">
        <v>6.06759</v>
      </c>
    </row>
    <row r="1671" spans="1:3" x14ac:dyDescent="0.25">
      <c r="A1671" s="47" t="s">
        <v>7990</v>
      </c>
      <c r="B1671" s="64">
        <v>14.8</v>
      </c>
      <c r="C1671" s="61">
        <v>9.8615899999999996</v>
      </c>
    </row>
    <row r="1672" spans="1:3" x14ac:dyDescent="0.25">
      <c r="A1672" s="47" t="s">
        <v>7998</v>
      </c>
      <c r="B1672" s="64">
        <v>134</v>
      </c>
      <c r="C1672" s="61">
        <v>14.994999999999999</v>
      </c>
    </row>
    <row r="1673" spans="1:3" x14ac:dyDescent="0.25">
      <c r="A1673" s="47" t="s">
        <v>8000</v>
      </c>
      <c r="B1673" s="64">
        <v>14</v>
      </c>
      <c r="C1673" s="61">
        <v>7.9989699999999999</v>
      </c>
    </row>
    <row r="1674" spans="1:3" x14ac:dyDescent="0.25">
      <c r="A1674" s="47" t="s">
        <v>8012</v>
      </c>
      <c r="B1674" s="64">
        <v>14.8</v>
      </c>
      <c r="C1674" s="61">
        <v>8.3278599999999994</v>
      </c>
    </row>
    <row r="1675" spans="1:3" x14ac:dyDescent="0.25">
      <c r="A1675" s="47" t="s">
        <v>8034</v>
      </c>
      <c r="B1675" s="64">
        <v>26.1</v>
      </c>
      <c r="C1675" s="61">
        <v>5.5786600000000002</v>
      </c>
    </row>
    <row r="1676" spans="1:3" x14ac:dyDescent="0.25">
      <c r="A1676" s="47" t="s">
        <v>8036</v>
      </c>
      <c r="B1676" s="64">
        <v>109.46666999999999</v>
      </c>
      <c r="C1676" s="61">
        <v>2.83412</v>
      </c>
    </row>
    <row r="1677" spans="1:3" x14ac:dyDescent="0.25">
      <c r="A1677" s="47" t="s">
        <v>8050</v>
      </c>
      <c r="B1677" s="64">
        <v>17</v>
      </c>
      <c r="C1677" s="61">
        <v>6.1768900000000002</v>
      </c>
    </row>
    <row r="1678" spans="1:3" x14ac:dyDescent="0.25">
      <c r="A1678" s="47" t="s">
        <v>8118</v>
      </c>
      <c r="B1678" s="64">
        <v>0.11</v>
      </c>
      <c r="C1678" s="61">
        <v>7.5510400000000004</v>
      </c>
    </row>
    <row r="1679" spans="1:3" x14ac:dyDescent="0.25">
      <c r="A1679" s="47" t="s">
        <v>8122</v>
      </c>
      <c r="B1679" s="64">
        <v>2.87E-2</v>
      </c>
      <c r="C1679" s="61">
        <v>12.52209</v>
      </c>
    </row>
    <row r="1680" spans="1:3" x14ac:dyDescent="0.25">
      <c r="A1680" s="47" t="s">
        <v>8152</v>
      </c>
      <c r="B1680" s="64">
        <v>0.25481999999999999</v>
      </c>
      <c r="C1680" s="61">
        <v>2.9588399999999999</v>
      </c>
    </row>
    <row r="1681" spans="1:3" x14ac:dyDescent="0.25">
      <c r="A1681" s="47" t="s">
        <v>8158</v>
      </c>
      <c r="B1681" s="64">
        <v>2100</v>
      </c>
      <c r="C1681" s="61">
        <v>2.8494899999999999</v>
      </c>
    </row>
    <row r="1682" spans="1:3" x14ac:dyDescent="0.25">
      <c r="A1682" s="47" t="s">
        <v>8160</v>
      </c>
      <c r="B1682" s="64">
        <v>9201.8125</v>
      </c>
      <c r="C1682" s="61">
        <v>30.771419999999999</v>
      </c>
    </row>
    <row r="1683" spans="1:3" x14ac:dyDescent="0.25">
      <c r="A1683" s="47" t="s">
        <v>8198</v>
      </c>
      <c r="B1683" s="64">
        <v>933.67600000000004</v>
      </c>
      <c r="C1683" s="61">
        <v>4.9411399999999999</v>
      </c>
    </row>
    <row r="1684" spans="1:3" x14ac:dyDescent="0.25">
      <c r="A1684" s="47" t="s">
        <v>8212</v>
      </c>
      <c r="B1684" s="64">
        <v>93.75</v>
      </c>
      <c r="C1684" s="61">
        <v>6.2250899999999998</v>
      </c>
    </row>
    <row r="1685" spans="1:3" x14ac:dyDescent="0.25">
      <c r="A1685" s="47" t="s">
        <v>8222</v>
      </c>
      <c r="B1685" s="64">
        <v>0.11</v>
      </c>
      <c r="C1685" s="61">
        <v>5.87453</v>
      </c>
    </row>
    <row r="1686" spans="1:3" x14ac:dyDescent="0.25">
      <c r="A1686" s="47" t="s">
        <v>8238</v>
      </c>
      <c r="B1686" s="64">
        <v>190</v>
      </c>
      <c r="C1686" s="61">
        <v>185</v>
      </c>
    </row>
    <row r="1687" spans="1:3" x14ac:dyDescent="0.25">
      <c r="A1687" s="47" t="s">
        <v>8255</v>
      </c>
      <c r="B1687" s="64">
        <v>4.0000000000000001E-3</v>
      </c>
      <c r="C1687" s="61">
        <v>10.226179999999999</v>
      </c>
    </row>
    <row r="1688" spans="1:3" x14ac:dyDescent="0.25">
      <c r="A1688" s="47" t="s">
        <v>8263</v>
      </c>
      <c r="B1688" s="64">
        <v>73.599999999999994</v>
      </c>
      <c r="C1688" s="61">
        <v>5.3820800000000002</v>
      </c>
    </row>
    <row r="1689" spans="1:3" x14ac:dyDescent="0.25">
      <c r="A1689" s="47" t="s">
        <v>8265</v>
      </c>
      <c r="B1689" s="64">
        <v>783</v>
      </c>
      <c r="C1689" s="61">
        <v>3.7065999999999999</v>
      </c>
    </row>
    <row r="1690" spans="1:3" x14ac:dyDescent="0.25">
      <c r="A1690" s="47" t="s">
        <v>8269</v>
      </c>
      <c r="B1690" s="64">
        <v>368.48649999999998</v>
      </c>
      <c r="C1690" s="61">
        <v>5.7607200000000001</v>
      </c>
    </row>
    <row r="1691" spans="1:3" x14ac:dyDescent="0.25">
      <c r="A1691" s="47" t="s">
        <v>8275</v>
      </c>
      <c r="B1691" s="64">
        <v>22.6</v>
      </c>
      <c r="C1691" s="61">
        <v>5.7110399999999997</v>
      </c>
    </row>
    <row r="1692" spans="1:3" x14ac:dyDescent="0.25">
      <c r="A1692" s="47" t="s">
        <v>8277</v>
      </c>
      <c r="B1692" s="64">
        <v>670</v>
      </c>
      <c r="C1692" s="61">
        <v>6.6952800000000003</v>
      </c>
    </row>
    <row r="1693" spans="1:3" x14ac:dyDescent="0.25">
      <c r="A1693" s="47" t="s">
        <v>8279</v>
      </c>
      <c r="B1693" s="64">
        <v>111</v>
      </c>
      <c r="C1693" s="61">
        <v>2.6062099999999999</v>
      </c>
    </row>
    <row r="1694" spans="1:3" x14ac:dyDescent="0.25">
      <c r="A1694" s="47" t="s">
        <v>8281</v>
      </c>
      <c r="B1694" s="64">
        <v>0.28299999999999997</v>
      </c>
      <c r="C1694" s="61">
        <v>9.0342699999999994</v>
      </c>
    </row>
    <row r="1695" spans="1:3" x14ac:dyDescent="0.25">
      <c r="A1695" s="47" t="s">
        <v>8287</v>
      </c>
      <c r="B1695" s="64">
        <v>109.46666999999999</v>
      </c>
      <c r="C1695" s="61">
        <v>2.7778100000000001</v>
      </c>
    </row>
    <row r="1696" spans="1:3" x14ac:dyDescent="0.25">
      <c r="A1696" s="47" t="s">
        <v>8289</v>
      </c>
      <c r="B1696" s="64">
        <v>14.7</v>
      </c>
      <c r="C1696" s="61">
        <v>5.5775699999999997</v>
      </c>
    </row>
    <row r="1697" spans="1:3" x14ac:dyDescent="0.25">
      <c r="A1697" s="47" t="s">
        <v>8293</v>
      </c>
      <c r="B1697" s="64">
        <v>47.4</v>
      </c>
      <c r="C1697" s="61">
        <v>13.62688</v>
      </c>
    </row>
    <row r="1698" spans="1:3" x14ac:dyDescent="0.25">
      <c r="A1698" s="47" t="s">
        <v>8295</v>
      </c>
      <c r="B1698" s="64">
        <v>201</v>
      </c>
      <c r="C1698" s="61">
        <v>10.221920000000001</v>
      </c>
    </row>
    <row r="1699" spans="1:3" x14ac:dyDescent="0.25">
      <c r="A1699" s="47" t="s">
        <v>8297</v>
      </c>
      <c r="B1699" s="64">
        <v>0.19500000000000001</v>
      </c>
      <c r="C1699" s="61">
        <v>7.5260699999999998</v>
      </c>
    </row>
    <row r="1700" spans="1:3" x14ac:dyDescent="0.25">
      <c r="A1700" s="47" t="s">
        <v>8299</v>
      </c>
      <c r="B1700" s="64">
        <v>8.3300000000000006E-3</v>
      </c>
      <c r="C1700" s="61">
        <v>32.51652</v>
      </c>
    </row>
    <row r="1701" spans="1:3" x14ac:dyDescent="0.25">
      <c r="A1701" s="47" t="s">
        <v>8301</v>
      </c>
      <c r="B1701" s="64">
        <v>2.9</v>
      </c>
      <c r="C1701" s="61">
        <v>4.6764900000000003</v>
      </c>
    </row>
    <row r="1702" spans="1:3" x14ac:dyDescent="0.25">
      <c r="A1702" s="47" t="s">
        <v>8303</v>
      </c>
      <c r="B1702" s="64">
        <v>5</v>
      </c>
      <c r="C1702" s="61">
        <v>8.3694100000000002</v>
      </c>
    </row>
    <row r="1703" spans="1:3" x14ac:dyDescent="0.25">
      <c r="A1703" s="47" t="s">
        <v>8309</v>
      </c>
      <c r="B1703" s="64">
        <v>275</v>
      </c>
      <c r="C1703" s="61">
        <v>67.490639999999999</v>
      </c>
    </row>
    <row r="1704" spans="1:3" x14ac:dyDescent="0.25">
      <c r="A1704" s="47" t="s">
        <v>8312</v>
      </c>
      <c r="B1704" s="64">
        <v>9000</v>
      </c>
      <c r="C1704" s="61">
        <v>36.794029999999999</v>
      </c>
    </row>
    <row r="1705" spans="1:3" x14ac:dyDescent="0.25">
      <c r="A1705" s="47" t="s">
        <v>8314</v>
      </c>
      <c r="B1705" s="64">
        <v>8</v>
      </c>
      <c r="C1705" s="61">
        <v>23.77589</v>
      </c>
    </row>
    <row r="1706" spans="1:3" x14ac:dyDescent="0.25">
      <c r="A1706" s="47" t="s">
        <v>8316</v>
      </c>
      <c r="B1706" s="64">
        <v>1</v>
      </c>
      <c r="C1706" s="61">
        <v>8.0930400000000002</v>
      </c>
    </row>
    <row r="1707" spans="1:3" x14ac:dyDescent="0.25">
      <c r="A1707" s="47" t="s">
        <v>8324</v>
      </c>
      <c r="B1707" s="64">
        <v>3.78</v>
      </c>
      <c r="C1707" s="61">
        <v>7.8722000000000003</v>
      </c>
    </row>
    <row r="1708" spans="1:3" x14ac:dyDescent="0.25">
      <c r="A1708" s="47" t="s">
        <v>8326</v>
      </c>
      <c r="B1708" s="64">
        <v>3.78</v>
      </c>
      <c r="C1708" s="61">
        <v>3.1068799999999999</v>
      </c>
    </row>
    <row r="1709" spans="1:3" x14ac:dyDescent="0.25">
      <c r="A1709" s="47" t="s">
        <v>8328</v>
      </c>
      <c r="B1709" s="64">
        <v>3.78</v>
      </c>
      <c r="C1709" s="61">
        <v>4.8952</v>
      </c>
    </row>
    <row r="1710" spans="1:3" x14ac:dyDescent="0.25">
      <c r="A1710" s="47" t="s">
        <v>8342</v>
      </c>
      <c r="B1710" s="64">
        <v>278</v>
      </c>
      <c r="C1710" s="61">
        <v>12.25953</v>
      </c>
    </row>
    <row r="1711" spans="1:3" x14ac:dyDescent="0.25">
      <c r="A1711" s="47" t="s">
        <v>8346</v>
      </c>
      <c r="B1711" s="64">
        <v>1E-3</v>
      </c>
      <c r="C1711" s="61">
        <v>21.745889999999999</v>
      </c>
    </row>
    <row r="1712" spans="1:3" x14ac:dyDescent="0.25">
      <c r="A1712" s="47" t="s">
        <v>8388</v>
      </c>
      <c r="B1712" s="64">
        <v>4.8062500000000004</v>
      </c>
      <c r="C1712" s="61">
        <v>15.3048</v>
      </c>
    </row>
    <row r="1713" spans="1:3" x14ac:dyDescent="0.25">
      <c r="A1713" s="47" t="s">
        <v>8390</v>
      </c>
      <c r="B1713" s="64">
        <v>0.64</v>
      </c>
      <c r="C1713" s="61">
        <v>4.05884</v>
      </c>
    </row>
    <row r="1714" spans="1:3" x14ac:dyDescent="0.25">
      <c r="A1714" s="47" t="s">
        <v>8392</v>
      </c>
      <c r="B1714" s="64">
        <v>7.5465</v>
      </c>
      <c r="C1714" s="61">
        <v>6.992</v>
      </c>
    </row>
    <row r="1715" spans="1:3" x14ac:dyDescent="0.25">
      <c r="A1715" s="47" t="s">
        <v>8394</v>
      </c>
      <c r="B1715" s="64">
        <v>525</v>
      </c>
      <c r="C1715" s="61">
        <v>3.1363300000000001</v>
      </c>
    </row>
    <row r="1716" spans="1:3" x14ac:dyDescent="0.25">
      <c r="A1716" s="47" t="s">
        <v>8398</v>
      </c>
      <c r="B1716" s="64">
        <v>15</v>
      </c>
      <c r="C1716" s="61">
        <v>4.8731400000000002</v>
      </c>
    </row>
    <row r="1717" spans="1:3" x14ac:dyDescent="0.25">
      <c r="A1717" s="47" t="s">
        <v>8406</v>
      </c>
      <c r="B1717" s="64">
        <v>2.538E-2</v>
      </c>
      <c r="C1717" s="61">
        <v>2.72899</v>
      </c>
    </row>
    <row r="1718" spans="1:3" x14ac:dyDescent="0.25">
      <c r="A1718" s="47" t="s">
        <v>8408</v>
      </c>
      <c r="B1718" s="64">
        <v>2.538E-2</v>
      </c>
      <c r="C1718" s="61">
        <v>2.9237600000000001</v>
      </c>
    </row>
    <row r="1719" spans="1:3" x14ac:dyDescent="0.25">
      <c r="A1719" s="47" t="s">
        <v>8410</v>
      </c>
      <c r="B1719" s="64">
        <v>2.538E-2</v>
      </c>
      <c r="C1719" s="61">
        <v>4.7737499999999997</v>
      </c>
    </row>
    <row r="1720" spans="1:3" x14ac:dyDescent="0.25">
      <c r="A1720" s="47" t="s">
        <v>8412</v>
      </c>
      <c r="B1720" s="64">
        <v>2.538E-2</v>
      </c>
      <c r="C1720" s="61">
        <v>5.3196599999999998</v>
      </c>
    </row>
    <row r="1721" spans="1:3" x14ac:dyDescent="0.25">
      <c r="A1721" s="47" t="s">
        <v>8414</v>
      </c>
      <c r="B1721" s="64">
        <v>2.538E-2</v>
      </c>
      <c r="C1721" s="61">
        <v>3.7928700000000002</v>
      </c>
    </row>
    <row r="1722" spans="1:3" x14ac:dyDescent="0.25">
      <c r="A1722" s="47" t="s">
        <v>8416</v>
      </c>
      <c r="B1722" s="64">
        <v>1265.4616699999999</v>
      </c>
      <c r="C1722" s="61">
        <v>2.8478699999999999</v>
      </c>
    </row>
    <row r="1723" spans="1:3" x14ac:dyDescent="0.25">
      <c r="A1723" s="47" t="s">
        <v>8438</v>
      </c>
      <c r="B1723" s="64">
        <v>196</v>
      </c>
      <c r="C1723" s="61">
        <v>307.43250999999998</v>
      </c>
    </row>
    <row r="1724" spans="1:3" x14ac:dyDescent="0.25">
      <c r="A1724" s="47" t="s">
        <v>8442</v>
      </c>
      <c r="B1724" s="64">
        <v>0.59</v>
      </c>
      <c r="C1724" s="61">
        <v>46.668030000000002</v>
      </c>
    </row>
    <row r="1725" spans="1:3" x14ac:dyDescent="0.25">
      <c r="A1725" s="47" t="s">
        <v>8456</v>
      </c>
      <c r="B1725" s="64">
        <v>1.1000000000000001</v>
      </c>
      <c r="C1725" s="61">
        <v>16.282129999999999</v>
      </c>
    </row>
    <row r="1726" spans="1:3" x14ac:dyDescent="0.25">
      <c r="A1726" s="47" t="s">
        <v>8460</v>
      </c>
      <c r="B1726" s="64">
        <v>368.48649999999998</v>
      </c>
      <c r="C1726" s="61">
        <v>11.856820000000001</v>
      </c>
    </row>
    <row r="1727" spans="1:3" x14ac:dyDescent="0.25">
      <c r="A1727" s="47" t="s">
        <v>8462</v>
      </c>
      <c r="B1727" s="64">
        <v>5.2</v>
      </c>
      <c r="C1727" s="61">
        <v>9.5194200000000002</v>
      </c>
    </row>
    <row r="1728" spans="1:3" x14ac:dyDescent="0.25">
      <c r="A1728" s="47" t="s">
        <v>8464</v>
      </c>
      <c r="B1728" s="64">
        <v>0.59</v>
      </c>
      <c r="C1728" s="61">
        <v>2.9019599999999999</v>
      </c>
    </row>
    <row r="1729" spans="1:3" x14ac:dyDescent="0.25">
      <c r="A1729" s="47" t="s">
        <v>8466</v>
      </c>
      <c r="B1729" s="64">
        <v>0.59</v>
      </c>
      <c r="C1729" s="61">
        <v>4.3778199999999998</v>
      </c>
    </row>
    <row r="1730" spans="1:3" x14ac:dyDescent="0.25">
      <c r="A1730" s="47" t="s">
        <v>8468</v>
      </c>
      <c r="B1730" s="64">
        <v>2.538E-2</v>
      </c>
      <c r="C1730" s="61">
        <v>7.2089600000000003</v>
      </c>
    </row>
    <row r="1731" spans="1:3" x14ac:dyDescent="0.25">
      <c r="A1731" s="47" t="s">
        <v>8470</v>
      </c>
      <c r="B1731" s="64">
        <v>2.538E-2</v>
      </c>
      <c r="C1731" s="61">
        <v>5.1961899999999996</v>
      </c>
    </row>
    <row r="1732" spans="1:3" x14ac:dyDescent="0.25">
      <c r="A1732" s="47" t="s">
        <v>8474</v>
      </c>
      <c r="B1732" s="64">
        <v>0.59</v>
      </c>
      <c r="C1732" s="61">
        <v>4.4920799999999996</v>
      </c>
    </row>
    <row r="1733" spans="1:3" x14ac:dyDescent="0.25">
      <c r="A1733" s="47" t="s">
        <v>8476</v>
      </c>
      <c r="B1733" s="64">
        <v>0.59</v>
      </c>
      <c r="C1733" s="61">
        <v>11.40625</v>
      </c>
    </row>
    <row r="1734" spans="1:3" x14ac:dyDescent="0.25">
      <c r="A1734" s="47" t="s">
        <v>8480</v>
      </c>
      <c r="B1734" s="64">
        <v>0.59</v>
      </c>
      <c r="C1734" s="61">
        <v>4.2998900000000004</v>
      </c>
    </row>
    <row r="1735" spans="1:3" x14ac:dyDescent="0.25">
      <c r="A1735" s="47" t="s">
        <v>8482</v>
      </c>
      <c r="B1735" s="64">
        <v>0.59</v>
      </c>
      <c r="C1735" s="61">
        <v>5.9306299999999998</v>
      </c>
    </row>
    <row r="1736" spans="1:3" x14ac:dyDescent="0.25">
      <c r="A1736" s="47" t="s">
        <v>8484</v>
      </c>
      <c r="B1736" s="64">
        <v>0.59</v>
      </c>
      <c r="C1736" s="61">
        <v>3.2678099999999999</v>
      </c>
    </row>
    <row r="1737" spans="1:3" x14ac:dyDescent="0.25">
      <c r="A1737" s="47" t="s">
        <v>8488</v>
      </c>
      <c r="B1737" s="64">
        <v>2.33</v>
      </c>
      <c r="C1737" s="61">
        <v>128</v>
      </c>
    </row>
    <row r="1738" spans="1:3" x14ac:dyDescent="0.25">
      <c r="A1738" s="47" t="s">
        <v>8490</v>
      </c>
      <c r="B1738" s="64">
        <v>5.13</v>
      </c>
      <c r="C1738" s="61">
        <v>89.762600000000006</v>
      </c>
    </row>
    <row r="1739" spans="1:3" x14ac:dyDescent="0.25">
      <c r="A1739" s="47" t="s">
        <v>8492</v>
      </c>
      <c r="B1739" s="64">
        <v>9.17</v>
      </c>
      <c r="C1739" s="61">
        <v>356</v>
      </c>
    </row>
    <row r="1740" spans="1:3" x14ac:dyDescent="0.25">
      <c r="A1740" s="47" t="s">
        <v>8494</v>
      </c>
      <c r="B1740" s="64">
        <v>35</v>
      </c>
      <c r="C1740" s="61">
        <v>356</v>
      </c>
    </row>
    <row r="1741" spans="1:3" x14ac:dyDescent="0.25">
      <c r="A1741" s="47" t="s">
        <v>8496</v>
      </c>
      <c r="B1741" s="64">
        <v>782.86221999999998</v>
      </c>
      <c r="C1741" s="61">
        <v>356</v>
      </c>
    </row>
    <row r="1742" spans="1:3" x14ac:dyDescent="0.25">
      <c r="A1742" s="47" t="s">
        <v>8498</v>
      </c>
      <c r="B1742" s="64">
        <v>782.86221999999998</v>
      </c>
      <c r="C1742" s="61">
        <v>356</v>
      </c>
    </row>
    <row r="1743" spans="1:3" x14ac:dyDescent="0.25">
      <c r="A1743" s="47" t="s">
        <v>8500</v>
      </c>
      <c r="B1743" s="64">
        <v>6</v>
      </c>
      <c r="C1743" s="61">
        <v>278</v>
      </c>
    </row>
    <row r="1744" spans="1:3" x14ac:dyDescent="0.25">
      <c r="A1744" s="47" t="s">
        <v>8502</v>
      </c>
      <c r="B1744" s="64">
        <v>9201.8125</v>
      </c>
      <c r="C1744" s="61">
        <v>7.3643700000000001</v>
      </c>
    </row>
    <row r="1745" spans="1:3" x14ac:dyDescent="0.25">
      <c r="A1745" s="47" t="s">
        <v>8524</v>
      </c>
      <c r="B1745" s="64">
        <v>362.72221999999999</v>
      </c>
      <c r="C1745" s="61">
        <v>14.71682</v>
      </c>
    </row>
    <row r="1746" spans="1:3" x14ac:dyDescent="0.25">
      <c r="A1746" s="47" t="s">
        <v>8526</v>
      </c>
      <c r="B1746" s="64">
        <v>4.0000000000000001E-3</v>
      </c>
      <c r="C1746" s="61">
        <v>6.6126800000000001</v>
      </c>
    </row>
    <row r="1747" spans="1:3" x14ac:dyDescent="0.25">
      <c r="A1747" s="47" t="s">
        <v>8528</v>
      </c>
      <c r="B1747" s="64">
        <v>63</v>
      </c>
      <c r="C1747" s="61">
        <v>14.42192</v>
      </c>
    </row>
    <row r="1748" spans="1:3" x14ac:dyDescent="0.25">
      <c r="A1748" s="47" t="s">
        <v>8530</v>
      </c>
      <c r="B1748" s="64">
        <v>63</v>
      </c>
      <c r="C1748" s="61">
        <v>8.0911500000000007</v>
      </c>
    </row>
    <row r="1749" spans="1:3" x14ac:dyDescent="0.25">
      <c r="A1749" s="47" t="s">
        <v>8536</v>
      </c>
      <c r="B1749" s="64">
        <v>63</v>
      </c>
      <c r="C1749" s="61">
        <v>2.97315</v>
      </c>
    </row>
    <row r="1750" spans="1:3" x14ac:dyDescent="0.25">
      <c r="A1750" s="47" t="s">
        <v>8538</v>
      </c>
      <c r="B1750" s="64">
        <v>8.8999999999999996E-2</v>
      </c>
      <c r="C1750" s="61">
        <v>2.7958500000000002</v>
      </c>
    </row>
    <row r="1751" spans="1:3" x14ac:dyDescent="0.25">
      <c r="A1751" s="47" t="s">
        <v>8554</v>
      </c>
      <c r="B1751" s="64">
        <v>4.5</v>
      </c>
      <c r="C1751" s="61">
        <v>35.851129999999998</v>
      </c>
    </row>
    <row r="1752" spans="1:3" x14ac:dyDescent="0.25">
      <c r="A1752" s="47" t="s">
        <v>8556</v>
      </c>
      <c r="B1752" s="64">
        <v>213.43394000000001</v>
      </c>
      <c r="C1752" s="61">
        <v>5.0717800000000004</v>
      </c>
    </row>
    <row r="1753" spans="1:3" x14ac:dyDescent="0.25">
      <c r="A1753" s="47" t="s">
        <v>8558</v>
      </c>
      <c r="B1753" s="64">
        <v>1.4</v>
      </c>
      <c r="C1753" s="61">
        <v>8.4427199999999996</v>
      </c>
    </row>
    <row r="1754" spans="1:3" x14ac:dyDescent="0.25">
      <c r="A1754" s="47" t="s">
        <v>8560</v>
      </c>
      <c r="B1754" s="64">
        <v>63</v>
      </c>
      <c r="C1754" s="61">
        <v>55</v>
      </c>
    </row>
    <row r="1755" spans="1:3" x14ac:dyDescent="0.25">
      <c r="A1755" s="47" t="s">
        <v>8568</v>
      </c>
      <c r="B1755" s="64">
        <v>15</v>
      </c>
      <c r="C1755" s="61">
        <v>3.3701699999999999</v>
      </c>
    </row>
    <row r="1756" spans="1:3" x14ac:dyDescent="0.25">
      <c r="A1756" s="47" t="s">
        <v>8572</v>
      </c>
      <c r="B1756" s="64">
        <v>26.7</v>
      </c>
      <c r="C1756" s="61">
        <v>2.5835400000000002</v>
      </c>
    </row>
    <row r="1757" spans="1:3" x14ac:dyDescent="0.25">
      <c r="A1757" s="47" t="s">
        <v>8574</v>
      </c>
      <c r="B1757" s="64">
        <v>19</v>
      </c>
      <c r="C1757" s="61">
        <v>2.8355000000000001</v>
      </c>
    </row>
    <row r="1758" spans="1:3" x14ac:dyDescent="0.25">
      <c r="A1758" s="47" t="s">
        <v>8590</v>
      </c>
      <c r="B1758" s="64">
        <v>113.1567</v>
      </c>
      <c r="C1758" s="61">
        <v>2.9031799999999999</v>
      </c>
    </row>
    <row r="1759" spans="1:3" x14ac:dyDescent="0.25">
      <c r="A1759" s="47" t="s">
        <v>8596</v>
      </c>
      <c r="B1759" s="64">
        <v>76.088470000000001</v>
      </c>
      <c r="C1759" s="61">
        <v>37.540480000000002</v>
      </c>
    </row>
    <row r="1760" spans="1:3" x14ac:dyDescent="0.25">
      <c r="A1760" s="47" t="s">
        <v>8598</v>
      </c>
      <c r="B1760" s="64">
        <v>3.3</v>
      </c>
      <c r="C1760" s="61">
        <v>5.64412</v>
      </c>
    </row>
    <row r="1761" spans="1:3" x14ac:dyDescent="0.25">
      <c r="A1761" s="47" t="s">
        <v>8600</v>
      </c>
      <c r="B1761" s="64">
        <v>8.8999999999999996E-2</v>
      </c>
      <c r="C1761" s="61">
        <v>3.0783800000000001</v>
      </c>
    </row>
    <row r="1762" spans="1:3" x14ac:dyDescent="0.25">
      <c r="A1762" s="47" t="s">
        <v>8604</v>
      </c>
      <c r="B1762" s="64">
        <v>0.33</v>
      </c>
      <c r="C1762" s="61">
        <v>3.6545000000000001</v>
      </c>
    </row>
    <row r="1763" spans="1:3" x14ac:dyDescent="0.25">
      <c r="A1763" s="47" t="s">
        <v>8606</v>
      </c>
      <c r="B1763" s="64">
        <v>0.33</v>
      </c>
      <c r="C1763" s="61">
        <v>256.35145</v>
      </c>
    </row>
    <row r="1764" spans="1:3" x14ac:dyDescent="0.25">
      <c r="A1764" s="47" t="s">
        <v>8608</v>
      </c>
      <c r="B1764" s="64">
        <v>10</v>
      </c>
      <c r="C1764" s="61">
        <v>19.915859999999999</v>
      </c>
    </row>
    <row r="1765" spans="1:3" x14ac:dyDescent="0.25">
      <c r="A1765" s="47" t="s">
        <v>8610</v>
      </c>
      <c r="B1765" s="64">
        <v>1.21E-2</v>
      </c>
      <c r="C1765" s="61">
        <v>2.6912199999999999</v>
      </c>
    </row>
    <row r="1766" spans="1:3" x14ac:dyDescent="0.25">
      <c r="A1766" s="47" t="s">
        <v>8622</v>
      </c>
      <c r="B1766" s="64">
        <v>11</v>
      </c>
      <c r="C1766" s="61">
        <v>2.7992300000000001</v>
      </c>
    </row>
    <row r="1767" spans="1:3" x14ac:dyDescent="0.25">
      <c r="A1767" s="47" t="s">
        <v>8624</v>
      </c>
      <c r="B1767" s="64">
        <v>1515.25</v>
      </c>
      <c r="C1767" s="61">
        <v>8.6740300000000001</v>
      </c>
    </row>
    <row r="1768" spans="1:3" x14ac:dyDescent="0.25">
      <c r="A1768" s="47" t="s">
        <v>8628</v>
      </c>
      <c r="B1768" s="64">
        <v>45</v>
      </c>
      <c r="C1768" s="61">
        <v>5.2130000000000001</v>
      </c>
    </row>
    <row r="1769" spans="1:3" x14ac:dyDescent="0.25">
      <c r="A1769" s="47" t="s">
        <v>8630</v>
      </c>
      <c r="B1769" s="64">
        <v>2.4E-2</v>
      </c>
      <c r="C1769" s="61">
        <v>6.5336600000000002</v>
      </c>
    </row>
    <row r="1770" spans="1:3" x14ac:dyDescent="0.25">
      <c r="A1770" s="47" t="s">
        <v>8636</v>
      </c>
      <c r="B1770" s="64">
        <v>0.3</v>
      </c>
      <c r="C1770" s="61">
        <v>2.7276099999999999</v>
      </c>
    </row>
    <row r="1771" spans="1:3" x14ac:dyDescent="0.25">
      <c r="A1771" s="47" t="s">
        <v>8638</v>
      </c>
      <c r="B1771" s="64">
        <v>109.46666999999999</v>
      </c>
      <c r="C1771" s="61">
        <v>7.5238800000000001</v>
      </c>
    </row>
    <row r="1772" spans="1:3" x14ac:dyDescent="0.25">
      <c r="A1772" s="47" t="s">
        <v>8642</v>
      </c>
      <c r="B1772" s="64">
        <v>0.33878000000000003</v>
      </c>
      <c r="C1772" s="61">
        <v>22.935220000000001</v>
      </c>
    </row>
    <row r="1773" spans="1:3" x14ac:dyDescent="0.25">
      <c r="A1773" s="47" t="s">
        <v>8648</v>
      </c>
      <c r="B1773" s="64">
        <v>16.82075</v>
      </c>
      <c r="C1773" s="61">
        <v>2.7246800000000002</v>
      </c>
    </row>
    <row r="1774" spans="1:3" x14ac:dyDescent="0.25">
      <c r="A1774" s="47" t="s">
        <v>8650</v>
      </c>
      <c r="B1774" s="64">
        <v>3.7014999999999998</v>
      </c>
      <c r="C1774" s="61">
        <v>7.8836000000000004</v>
      </c>
    </row>
    <row r="1775" spans="1:3" x14ac:dyDescent="0.25">
      <c r="A1775" s="47" t="s">
        <v>8660</v>
      </c>
      <c r="B1775" s="64">
        <v>1</v>
      </c>
      <c r="C1775" s="61">
        <v>12.889810000000001</v>
      </c>
    </row>
    <row r="1776" spans="1:3" x14ac:dyDescent="0.25">
      <c r="A1776" s="47" t="s">
        <v>8664</v>
      </c>
      <c r="B1776" s="64">
        <v>1.44</v>
      </c>
      <c r="C1776" s="61">
        <v>4.5811099999999998</v>
      </c>
    </row>
    <row r="1777" spans="1:3" x14ac:dyDescent="0.25">
      <c r="A1777" s="47" t="s">
        <v>8670</v>
      </c>
      <c r="B1777" s="64">
        <v>0.02</v>
      </c>
      <c r="C1777" s="61">
        <v>4.5906900000000004</v>
      </c>
    </row>
    <row r="1778" spans="1:3" x14ac:dyDescent="0.25">
      <c r="B1778" s="64"/>
      <c r="C1778" s="64"/>
    </row>
    <row r="1779" spans="1:3" x14ac:dyDescent="0.25">
      <c r="B1779" s="64"/>
      <c r="C1779" s="64"/>
    </row>
    <row r="1780" spans="1:3" x14ac:dyDescent="0.25">
      <c r="B1780" s="64"/>
      <c r="C1780" s="64"/>
    </row>
    <row r="1781" spans="1:3" x14ac:dyDescent="0.25">
      <c r="B1781" s="64"/>
      <c r="C1781" s="64"/>
    </row>
    <row r="1782" spans="1:3" x14ac:dyDescent="0.25">
      <c r="B1782" s="64"/>
      <c r="C1782" s="64"/>
    </row>
    <row r="1783" spans="1:3" x14ac:dyDescent="0.25">
      <c r="B1783" s="64"/>
      <c r="C1783" s="64"/>
    </row>
    <row r="1784" spans="1:3" x14ac:dyDescent="0.25">
      <c r="B1784" s="64"/>
      <c r="C1784" s="64"/>
    </row>
    <row r="1785" spans="1:3" x14ac:dyDescent="0.25">
      <c r="B1785" s="64"/>
      <c r="C1785" s="64"/>
    </row>
    <row r="1786" spans="1:3" x14ac:dyDescent="0.25">
      <c r="B1786" s="64"/>
      <c r="C1786" s="64"/>
    </row>
    <row r="1787" spans="1:3" x14ac:dyDescent="0.25">
      <c r="B1787" s="64"/>
      <c r="C1787" s="64"/>
    </row>
    <row r="1788" spans="1:3" x14ac:dyDescent="0.25">
      <c r="B1788" s="64"/>
      <c r="C1788" s="64"/>
    </row>
    <row r="1789" spans="1:3" x14ac:dyDescent="0.25">
      <c r="B1789" s="64"/>
      <c r="C1789" s="64"/>
    </row>
    <row r="1790" spans="1:3" x14ac:dyDescent="0.25">
      <c r="B1790" s="64"/>
      <c r="C1790" s="64"/>
    </row>
    <row r="1791" spans="1:3" x14ac:dyDescent="0.25">
      <c r="B1791" s="64"/>
      <c r="C1791" s="64"/>
    </row>
    <row r="1792" spans="1:3" x14ac:dyDescent="0.25">
      <c r="B1792" s="64"/>
      <c r="C1792" s="64"/>
    </row>
    <row r="1793" spans="2:2" x14ac:dyDescent="0.25">
      <c r="B1793" s="64"/>
    </row>
    <row r="1794" spans="2:2" x14ac:dyDescent="0.25">
      <c r="B1794" s="64"/>
    </row>
    <row r="1795" spans="2:2" x14ac:dyDescent="0.25">
      <c r="B1795" s="64"/>
    </row>
    <row r="1796" spans="2:2" x14ac:dyDescent="0.25">
      <c r="B1796" s="64"/>
    </row>
    <row r="1797" spans="2:2" x14ac:dyDescent="0.25">
      <c r="B1797" s="64"/>
    </row>
    <row r="1798" spans="2:2" x14ac:dyDescent="0.25">
      <c r="B1798" s="64"/>
    </row>
    <row r="1799" spans="2:2" x14ac:dyDescent="0.25">
      <c r="B1799" s="64"/>
    </row>
    <row r="1800" spans="2:2" x14ac:dyDescent="0.25">
      <c r="B1800" s="64"/>
    </row>
    <row r="1801" spans="2:2" x14ac:dyDescent="0.25">
      <c r="B1801" s="64"/>
    </row>
    <row r="1802" spans="2:2" x14ac:dyDescent="0.25">
      <c r="B1802" s="64"/>
    </row>
    <row r="1803" spans="2:2" x14ac:dyDescent="0.25">
      <c r="B1803" s="64"/>
    </row>
    <row r="1804" spans="2:2" x14ac:dyDescent="0.25">
      <c r="B1804" s="64"/>
    </row>
    <row r="1805" spans="2:2" x14ac:dyDescent="0.25">
      <c r="B1805" s="64"/>
    </row>
    <row r="1806" spans="2:2" x14ac:dyDescent="0.25">
      <c r="B1806" s="64"/>
    </row>
    <row r="1807" spans="2:2" x14ac:dyDescent="0.25">
      <c r="B1807" s="64"/>
    </row>
    <row r="1808" spans="2:2" x14ac:dyDescent="0.25">
      <c r="B1808" s="64"/>
    </row>
    <row r="1809" spans="2:2" x14ac:dyDescent="0.25">
      <c r="B1809" s="64"/>
    </row>
    <row r="1810" spans="2:2" x14ac:dyDescent="0.25">
      <c r="B1810" s="64"/>
    </row>
    <row r="1811" spans="2:2" x14ac:dyDescent="0.25">
      <c r="B1811" s="64"/>
    </row>
    <row r="1812" spans="2:2" x14ac:dyDescent="0.25">
      <c r="B1812" s="64"/>
    </row>
    <row r="1813" spans="2:2" x14ac:dyDescent="0.25">
      <c r="B1813" s="64"/>
    </row>
    <row r="1814" spans="2:2" x14ac:dyDescent="0.25">
      <c r="B1814" s="64"/>
    </row>
    <row r="1815" spans="2:2" x14ac:dyDescent="0.25">
      <c r="B1815" s="64"/>
    </row>
    <row r="1816" spans="2:2" x14ac:dyDescent="0.25">
      <c r="B1816" s="64"/>
    </row>
    <row r="1817" spans="2:2" x14ac:dyDescent="0.25">
      <c r="B1817" s="64"/>
    </row>
    <row r="1818" spans="2:2" x14ac:dyDescent="0.25">
      <c r="B1818" s="64"/>
    </row>
    <row r="1819" spans="2:2" x14ac:dyDescent="0.25">
      <c r="B1819" s="64"/>
    </row>
    <row r="1820" spans="2:2" x14ac:dyDescent="0.25">
      <c r="B1820" s="64"/>
    </row>
    <row r="1821" spans="2:2" x14ac:dyDescent="0.25">
      <c r="B1821" s="64"/>
    </row>
    <row r="1822" spans="2:2" x14ac:dyDescent="0.25">
      <c r="B1822" s="64"/>
    </row>
    <row r="1823" spans="2:2" x14ac:dyDescent="0.25">
      <c r="B1823" s="64"/>
    </row>
    <row r="1824" spans="2:2" x14ac:dyDescent="0.25">
      <c r="B1824" s="64"/>
    </row>
    <row r="1825" spans="2:2" x14ac:dyDescent="0.25">
      <c r="B1825" s="64"/>
    </row>
    <row r="1826" spans="2:2" x14ac:dyDescent="0.25">
      <c r="B1826" s="64"/>
    </row>
    <row r="1827" spans="2:2" x14ac:dyDescent="0.25">
      <c r="B1827" s="64"/>
    </row>
    <row r="1828" spans="2:2" x14ac:dyDescent="0.25">
      <c r="B1828" s="64"/>
    </row>
    <row r="1829" spans="2:2" x14ac:dyDescent="0.25">
      <c r="B1829" s="64"/>
    </row>
    <row r="1830" spans="2:2" x14ac:dyDescent="0.25">
      <c r="B1830" s="64"/>
    </row>
    <row r="1831" spans="2:2" x14ac:dyDescent="0.25">
      <c r="B1831" s="64"/>
    </row>
    <row r="1832" spans="2:2" x14ac:dyDescent="0.25">
      <c r="B1832" s="64"/>
    </row>
    <row r="1833" spans="2:2" x14ac:dyDescent="0.25">
      <c r="B1833" s="64"/>
    </row>
    <row r="1834" spans="2:2" x14ac:dyDescent="0.25">
      <c r="B1834" s="64"/>
    </row>
    <row r="1835" spans="2:2" x14ac:dyDescent="0.25">
      <c r="B1835" s="64"/>
    </row>
    <row r="1836" spans="2:2" x14ac:dyDescent="0.25">
      <c r="B1836" s="64"/>
    </row>
    <row r="1837" spans="2:2" x14ac:dyDescent="0.25">
      <c r="B1837" s="64"/>
    </row>
    <row r="1838" spans="2:2" x14ac:dyDescent="0.25">
      <c r="B1838" s="64"/>
    </row>
    <row r="1839" spans="2:2" x14ac:dyDescent="0.25">
      <c r="B1839" s="64"/>
    </row>
    <row r="1840" spans="2:2" x14ac:dyDescent="0.25">
      <c r="B1840" s="64"/>
    </row>
    <row r="1841" spans="2:2" x14ac:dyDescent="0.25">
      <c r="B1841" s="64"/>
    </row>
    <row r="1842" spans="2:2" x14ac:dyDescent="0.25">
      <c r="B1842" s="64"/>
    </row>
    <row r="1843" spans="2:2" x14ac:dyDescent="0.25">
      <c r="B1843" s="64"/>
    </row>
    <row r="1844" spans="2:2" x14ac:dyDescent="0.25">
      <c r="B1844" s="64"/>
    </row>
    <row r="1845" spans="2:2" x14ac:dyDescent="0.25">
      <c r="B1845" s="64"/>
    </row>
    <row r="1846" spans="2:2" x14ac:dyDescent="0.25">
      <c r="B1846" s="64"/>
    </row>
    <row r="1847" spans="2:2" x14ac:dyDescent="0.25">
      <c r="B1847" s="64"/>
    </row>
    <row r="1848" spans="2:2" x14ac:dyDescent="0.25">
      <c r="B1848" s="64"/>
    </row>
    <row r="1849" spans="2:2" x14ac:dyDescent="0.25">
      <c r="B1849" s="64"/>
    </row>
    <row r="1850" spans="2:2" x14ac:dyDescent="0.25">
      <c r="B1850" s="64"/>
    </row>
    <row r="1851" spans="2:2" x14ac:dyDescent="0.25">
      <c r="B1851" s="64"/>
    </row>
    <row r="1852" spans="2:2" x14ac:dyDescent="0.25">
      <c r="B1852" s="64"/>
    </row>
    <row r="1853" spans="2:2" x14ac:dyDescent="0.25">
      <c r="B1853" s="64"/>
    </row>
    <row r="1854" spans="2:2" x14ac:dyDescent="0.25">
      <c r="B1854" s="64"/>
    </row>
    <row r="1855" spans="2:2" x14ac:dyDescent="0.25">
      <c r="B1855" s="64"/>
    </row>
    <row r="1856" spans="2:2" x14ac:dyDescent="0.25">
      <c r="B1856" s="64"/>
    </row>
    <row r="1857" spans="2:2" x14ac:dyDescent="0.25">
      <c r="B1857" s="64"/>
    </row>
    <row r="1858" spans="2:2" x14ac:dyDescent="0.25">
      <c r="B1858" s="64"/>
    </row>
    <row r="1859" spans="2:2" x14ac:dyDescent="0.25">
      <c r="B1859" s="64"/>
    </row>
    <row r="1860" spans="2:2" x14ac:dyDescent="0.25">
      <c r="B1860" s="64"/>
    </row>
    <row r="1861" spans="2:2" x14ac:dyDescent="0.25">
      <c r="B1861" s="64"/>
    </row>
    <row r="1862" spans="2:2" x14ac:dyDescent="0.25">
      <c r="B1862" s="64"/>
    </row>
    <row r="1863" spans="2:2" x14ac:dyDescent="0.25">
      <c r="B1863" s="64"/>
    </row>
    <row r="1864" spans="2:2" x14ac:dyDescent="0.25">
      <c r="B1864" s="64"/>
    </row>
    <row r="1865" spans="2:2" x14ac:dyDescent="0.25">
      <c r="B1865" s="64"/>
    </row>
    <row r="1866" spans="2:2" x14ac:dyDescent="0.25">
      <c r="B1866" s="64"/>
    </row>
    <row r="1867" spans="2:2" x14ac:dyDescent="0.25">
      <c r="B1867" s="64"/>
    </row>
    <row r="1868" spans="2:2" x14ac:dyDescent="0.25">
      <c r="B1868" s="64"/>
    </row>
    <row r="1869" spans="2:2" x14ac:dyDescent="0.25">
      <c r="B1869" s="64"/>
    </row>
    <row r="1870" spans="2:2" x14ac:dyDescent="0.25">
      <c r="B1870" s="64"/>
    </row>
    <row r="1871" spans="2:2" x14ac:dyDescent="0.25">
      <c r="B1871" s="64"/>
    </row>
    <row r="1872" spans="2:2" x14ac:dyDescent="0.25">
      <c r="B1872" s="64"/>
    </row>
    <row r="1873" spans="2:2" x14ac:dyDescent="0.25">
      <c r="B1873" s="64"/>
    </row>
    <row r="1874" spans="2:2" x14ac:dyDescent="0.25">
      <c r="B1874" s="64"/>
    </row>
    <row r="1875" spans="2:2" x14ac:dyDescent="0.25">
      <c r="B1875" s="64"/>
    </row>
    <row r="1876" spans="2:2" x14ac:dyDescent="0.25">
      <c r="B1876" s="64"/>
    </row>
    <row r="1877" spans="2:2" x14ac:dyDescent="0.25">
      <c r="B1877" s="64"/>
    </row>
    <row r="1878" spans="2:2" x14ac:dyDescent="0.25">
      <c r="B1878" s="64"/>
    </row>
    <row r="1879" spans="2:2" x14ac:dyDescent="0.25">
      <c r="B1879" s="64"/>
    </row>
    <row r="1880" spans="2:2" x14ac:dyDescent="0.25">
      <c r="B1880" s="64"/>
    </row>
    <row r="1881" spans="2:2" x14ac:dyDescent="0.25">
      <c r="B1881" s="64"/>
    </row>
    <row r="1882" spans="2:2" x14ac:dyDescent="0.25">
      <c r="B1882" s="64"/>
    </row>
    <row r="1883" spans="2:2" x14ac:dyDescent="0.25">
      <c r="B1883" s="64"/>
    </row>
    <row r="1884" spans="2:2" x14ac:dyDescent="0.25">
      <c r="B1884" s="64"/>
    </row>
    <row r="1885" spans="2:2" x14ac:dyDescent="0.25">
      <c r="B1885" s="64"/>
    </row>
    <row r="1886" spans="2:2" x14ac:dyDescent="0.25">
      <c r="B1886" s="64"/>
    </row>
    <row r="1887" spans="2:2" x14ac:dyDescent="0.25">
      <c r="B1887" s="64"/>
    </row>
    <row r="1888" spans="2:2" x14ac:dyDescent="0.25">
      <c r="B1888" s="64"/>
    </row>
    <row r="1889" spans="2:2" x14ac:dyDescent="0.25">
      <c r="B1889" s="64"/>
    </row>
    <row r="1890" spans="2:2" x14ac:dyDescent="0.25">
      <c r="B1890" s="64"/>
    </row>
    <row r="1891" spans="2:2" x14ac:dyDescent="0.25">
      <c r="B1891" s="64"/>
    </row>
    <row r="1892" spans="2:2" x14ac:dyDescent="0.25">
      <c r="B1892" s="64"/>
    </row>
    <row r="1893" spans="2:2" x14ac:dyDescent="0.25">
      <c r="B1893" s="64"/>
    </row>
    <row r="1894" spans="2:2" x14ac:dyDescent="0.25">
      <c r="B1894" s="64"/>
    </row>
    <row r="1895" spans="2:2" x14ac:dyDescent="0.25">
      <c r="B1895" s="64"/>
    </row>
    <row r="1896" spans="2:2" x14ac:dyDescent="0.25">
      <c r="B1896" s="64"/>
    </row>
    <row r="1897" spans="2:2" x14ac:dyDescent="0.25">
      <c r="B1897" s="64"/>
    </row>
    <row r="1898" spans="2:2" x14ac:dyDescent="0.25">
      <c r="B1898" s="64"/>
    </row>
    <row r="1899" spans="2:2" x14ac:dyDescent="0.25">
      <c r="B1899" s="64"/>
    </row>
    <row r="1900" spans="2:2" x14ac:dyDescent="0.25">
      <c r="B1900" s="64"/>
    </row>
    <row r="1901" spans="2:2" x14ac:dyDescent="0.25">
      <c r="B1901" s="64"/>
    </row>
    <row r="1902" spans="2:2" x14ac:dyDescent="0.25">
      <c r="B1902" s="64"/>
    </row>
    <row r="1903" spans="2:2" x14ac:dyDescent="0.25">
      <c r="B1903" s="64"/>
    </row>
    <row r="1904" spans="2:2" x14ac:dyDescent="0.25">
      <c r="B1904" s="64"/>
    </row>
    <row r="1905" spans="2:2" x14ac:dyDescent="0.25">
      <c r="B1905" s="64"/>
    </row>
    <row r="1906" spans="2:2" x14ac:dyDescent="0.25">
      <c r="B1906" s="64"/>
    </row>
    <row r="1907" spans="2:2" x14ac:dyDescent="0.25">
      <c r="B1907" s="64"/>
    </row>
    <row r="1908" spans="2:2" x14ac:dyDescent="0.25">
      <c r="B1908" s="64"/>
    </row>
    <row r="1909" spans="2:2" x14ac:dyDescent="0.25">
      <c r="B1909" s="64"/>
    </row>
    <row r="1910" spans="2:2" x14ac:dyDescent="0.25">
      <c r="B1910" s="64"/>
    </row>
    <row r="1911" spans="2:2" x14ac:dyDescent="0.25">
      <c r="B1911" s="64"/>
    </row>
    <row r="1912" spans="2:2" x14ac:dyDescent="0.25">
      <c r="B1912" s="64"/>
    </row>
    <row r="1913" spans="2:2" x14ac:dyDescent="0.25">
      <c r="B1913" s="64"/>
    </row>
    <row r="1914" spans="2:2" x14ac:dyDescent="0.25">
      <c r="B1914" s="64"/>
    </row>
    <row r="1915" spans="2:2" x14ac:dyDescent="0.25">
      <c r="B1915" s="64"/>
    </row>
    <row r="1916" spans="2:2" x14ac:dyDescent="0.25">
      <c r="B1916" s="64"/>
    </row>
    <row r="1917" spans="2:2" x14ac:dyDescent="0.25">
      <c r="B1917" s="64"/>
    </row>
    <row r="1918" spans="2:2" x14ac:dyDescent="0.25">
      <c r="B1918" s="64"/>
    </row>
    <row r="1919" spans="2:2" x14ac:dyDescent="0.25">
      <c r="B1919" s="64"/>
    </row>
    <row r="1920" spans="2:2" x14ac:dyDescent="0.25">
      <c r="B1920" s="64"/>
    </row>
    <row r="1921" spans="2:2" x14ac:dyDescent="0.25">
      <c r="B1921" s="64"/>
    </row>
    <row r="1922" spans="2:2" x14ac:dyDescent="0.25">
      <c r="B1922" s="64"/>
    </row>
    <row r="1923" spans="2:2" x14ac:dyDescent="0.25">
      <c r="B1923" s="64"/>
    </row>
    <row r="1924" spans="2:2" x14ac:dyDescent="0.25">
      <c r="B1924" s="64"/>
    </row>
    <row r="1925" spans="2:2" x14ac:dyDescent="0.25">
      <c r="B1925" s="64"/>
    </row>
    <row r="1926" spans="2:2" x14ac:dyDescent="0.25">
      <c r="B1926" s="64"/>
    </row>
    <row r="1927" spans="2:2" x14ac:dyDescent="0.25">
      <c r="B1927" s="64"/>
    </row>
    <row r="1928" spans="2:2" x14ac:dyDescent="0.25">
      <c r="B1928" s="64"/>
    </row>
    <row r="1929" spans="2:2" x14ac:dyDescent="0.25">
      <c r="B1929" s="64"/>
    </row>
    <row r="1930" spans="2:2" x14ac:dyDescent="0.25">
      <c r="B1930" s="64"/>
    </row>
    <row r="1931" spans="2:2" x14ac:dyDescent="0.25">
      <c r="B1931" s="64"/>
    </row>
    <row r="1932" spans="2:2" x14ac:dyDescent="0.25">
      <c r="B1932" s="64"/>
    </row>
    <row r="1933" spans="2:2" x14ac:dyDescent="0.25">
      <c r="B1933" s="64"/>
    </row>
    <row r="1934" spans="2:2" x14ac:dyDescent="0.25">
      <c r="B1934" s="64"/>
    </row>
    <row r="1935" spans="2:2" x14ac:dyDescent="0.25">
      <c r="B1935" s="64"/>
    </row>
    <row r="1936" spans="2:2" x14ac:dyDescent="0.25">
      <c r="B1936" s="64"/>
    </row>
    <row r="1937" spans="2:2" x14ac:dyDescent="0.25">
      <c r="B1937" s="64"/>
    </row>
    <row r="1938" spans="2:2" x14ac:dyDescent="0.25">
      <c r="B1938" s="64"/>
    </row>
    <row r="1939" spans="2:2" x14ac:dyDescent="0.25">
      <c r="B1939" s="64"/>
    </row>
    <row r="1940" spans="2:2" x14ac:dyDescent="0.25">
      <c r="B1940" s="64"/>
    </row>
    <row r="1941" spans="2:2" x14ac:dyDescent="0.25">
      <c r="B1941" s="64"/>
    </row>
    <row r="1942" spans="2:2" x14ac:dyDescent="0.25">
      <c r="B1942" s="64"/>
    </row>
    <row r="1943" spans="2:2" x14ac:dyDescent="0.25">
      <c r="B1943" s="64"/>
    </row>
    <row r="1944" spans="2:2" x14ac:dyDescent="0.25">
      <c r="B1944" s="64"/>
    </row>
    <row r="1945" spans="2:2" x14ac:dyDescent="0.25">
      <c r="B1945" s="64"/>
    </row>
    <row r="1946" spans="2:2" x14ac:dyDescent="0.25">
      <c r="B1946" s="64"/>
    </row>
    <row r="1947" spans="2:2" x14ac:dyDescent="0.25">
      <c r="B1947" s="64"/>
    </row>
    <row r="1948" spans="2:2" x14ac:dyDescent="0.25">
      <c r="B1948" s="64"/>
    </row>
    <row r="1949" spans="2:2" x14ac:dyDescent="0.25">
      <c r="B1949" s="64"/>
    </row>
    <row r="1950" spans="2:2" x14ac:dyDescent="0.25">
      <c r="B1950" s="64"/>
    </row>
    <row r="1951" spans="2:2" x14ac:dyDescent="0.25">
      <c r="B1951" s="64"/>
    </row>
    <row r="1952" spans="2:2" x14ac:dyDescent="0.25">
      <c r="B1952" s="64"/>
    </row>
    <row r="1953" spans="2:2" x14ac:dyDescent="0.25">
      <c r="B1953" s="64"/>
    </row>
    <row r="1954" spans="2:2" x14ac:dyDescent="0.25">
      <c r="B1954" s="64"/>
    </row>
    <row r="1955" spans="2:2" x14ac:dyDescent="0.25">
      <c r="B1955" s="64"/>
    </row>
    <row r="1956" spans="2:2" x14ac:dyDescent="0.25">
      <c r="B1956" s="64"/>
    </row>
    <row r="1957" spans="2:2" x14ac:dyDescent="0.25">
      <c r="B1957" s="64"/>
    </row>
    <row r="1958" spans="2:2" x14ac:dyDescent="0.25">
      <c r="B1958" s="64"/>
    </row>
    <row r="1959" spans="2:2" x14ac:dyDescent="0.25">
      <c r="B1959" s="64"/>
    </row>
    <row r="1960" spans="2:2" x14ac:dyDescent="0.25">
      <c r="B1960" s="64"/>
    </row>
    <row r="1961" spans="2:2" x14ac:dyDescent="0.25">
      <c r="B1961" s="64"/>
    </row>
    <row r="1962" spans="2:2" x14ac:dyDescent="0.25">
      <c r="B1962" s="64"/>
    </row>
    <row r="1963" spans="2:2" x14ac:dyDescent="0.25">
      <c r="B1963" s="64"/>
    </row>
    <row r="1964" spans="2:2" x14ac:dyDescent="0.25">
      <c r="B1964" s="64"/>
    </row>
    <row r="1965" spans="2:2" x14ac:dyDescent="0.25">
      <c r="B1965" s="64"/>
    </row>
    <row r="1966" spans="2:2" x14ac:dyDescent="0.25">
      <c r="B1966" s="64"/>
    </row>
    <row r="1967" spans="2:2" x14ac:dyDescent="0.25">
      <c r="B1967" s="64"/>
    </row>
    <row r="1968" spans="2:2" x14ac:dyDescent="0.25">
      <c r="B1968" s="64"/>
    </row>
    <row r="1969" spans="2:2" x14ac:dyDescent="0.25">
      <c r="B1969" s="64"/>
    </row>
    <row r="1970" spans="2:2" x14ac:dyDescent="0.25">
      <c r="B1970" s="64"/>
    </row>
    <row r="1971" spans="2:2" x14ac:dyDescent="0.25">
      <c r="B1971" s="64"/>
    </row>
    <row r="1972" spans="2:2" x14ac:dyDescent="0.25">
      <c r="B1972" s="64"/>
    </row>
    <row r="1973" spans="2:2" x14ac:dyDescent="0.25">
      <c r="B1973" s="64"/>
    </row>
    <row r="1974" spans="2:2" x14ac:dyDescent="0.25">
      <c r="B1974" s="64"/>
    </row>
    <row r="1975" spans="2:2" x14ac:dyDescent="0.25">
      <c r="B1975" s="64"/>
    </row>
    <row r="1976" spans="2:2" x14ac:dyDescent="0.25">
      <c r="B1976" s="64"/>
    </row>
    <row r="1977" spans="2:2" x14ac:dyDescent="0.25">
      <c r="B1977" s="64"/>
    </row>
    <row r="1978" spans="2:2" x14ac:dyDescent="0.25">
      <c r="B1978" s="64"/>
    </row>
    <row r="1979" spans="2:2" x14ac:dyDescent="0.25">
      <c r="B1979" s="64"/>
    </row>
    <row r="1980" spans="2:2" x14ac:dyDescent="0.25">
      <c r="B1980" s="64"/>
    </row>
    <row r="1981" spans="2:2" x14ac:dyDescent="0.25">
      <c r="B1981" s="64"/>
    </row>
    <row r="1982" spans="2:2" x14ac:dyDescent="0.25">
      <c r="B1982" s="64"/>
    </row>
    <row r="1983" spans="2:2" x14ac:dyDescent="0.25">
      <c r="B1983" s="64"/>
    </row>
    <row r="1984" spans="2:2" x14ac:dyDescent="0.25">
      <c r="B1984" s="64"/>
    </row>
    <row r="1985" spans="2:2" x14ac:dyDescent="0.25">
      <c r="B1985" s="64"/>
    </row>
    <row r="1986" spans="2:2" x14ac:dyDescent="0.25">
      <c r="B1986" s="64"/>
    </row>
    <row r="1987" spans="2:2" x14ac:dyDescent="0.25">
      <c r="B1987" s="64"/>
    </row>
    <row r="1988" spans="2:2" x14ac:dyDescent="0.25">
      <c r="B1988" s="64"/>
    </row>
    <row r="1989" spans="2:2" x14ac:dyDescent="0.25">
      <c r="B1989" s="64"/>
    </row>
    <row r="1990" spans="2:2" x14ac:dyDescent="0.25">
      <c r="B1990" s="64"/>
    </row>
    <row r="1991" spans="2:2" x14ac:dyDescent="0.25">
      <c r="B1991" s="64"/>
    </row>
    <row r="1992" spans="2:2" x14ac:dyDescent="0.25">
      <c r="B1992" s="64"/>
    </row>
    <row r="1993" spans="2:2" x14ac:dyDescent="0.25">
      <c r="B1993" s="64"/>
    </row>
    <row r="1994" spans="2:2" x14ac:dyDescent="0.25">
      <c r="B1994" s="64"/>
    </row>
    <row r="1995" spans="2:2" x14ac:dyDescent="0.25">
      <c r="B1995" s="64"/>
    </row>
    <row r="1996" spans="2:2" x14ac:dyDescent="0.25">
      <c r="B1996" s="64"/>
    </row>
    <row r="1997" spans="2:2" x14ac:dyDescent="0.25">
      <c r="B1997" s="64"/>
    </row>
    <row r="1998" spans="2:2" x14ac:dyDescent="0.25">
      <c r="B1998" s="64"/>
    </row>
    <row r="1999" spans="2:2" x14ac:dyDescent="0.25">
      <c r="B1999" s="64"/>
    </row>
    <row r="2000" spans="2:2" x14ac:dyDescent="0.25">
      <c r="B2000" s="64"/>
    </row>
    <row r="2001" spans="2:2" x14ac:dyDescent="0.25">
      <c r="B2001" s="64"/>
    </row>
    <row r="2002" spans="2:2" x14ac:dyDescent="0.25">
      <c r="B2002" s="64"/>
    </row>
    <row r="2003" spans="2:2" x14ac:dyDescent="0.25">
      <c r="B2003" s="64"/>
    </row>
    <row r="2004" spans="2:2" x14ac:dyDescent="0.25">
      <c r="B2004" s="64"/>
    </row>
    <row r="2005" spans="2:2" x14ac:dyDescent="0.25">
      <c r="B2005" s="64"/>
    </row>
    <row r="2006" spans="2:2" x14ac:dyDescent="0.25">
      <c r="B2006" s="64"/>
    </row>
    <row r="2007" spans="2:2" x14ac:dyDescent="0.25">
      <c r="B2007" s="64"/>
    </row>
    <row r="2008" spans="2:2" x14ac:dyDescent="0.25">
      <c r="B2008" s="64"/>
    </row>
    <row r="2009" spans="2:2" x14ac:dyDescent="0.25">
      <c r="B2009" s="64"/>
    </row>
    <row r="2010" spans="2:2" x14ac:dyDescent="0.25">
      <c r="B2010" s="64"/>
    </row>
    <row r="2011" spans="2:2" x14ac:dyDescent="0.25">
      <c r="B2011" s="64"/>
    </row>
    <row r="2012" spans="2:2" x14ac:dyDescent="0.25">
      <c r="B2012" s="64"/>
    </row>
    <row r="2013" spans="2:2" x14ac:dyDescent="0.25">
      <c r="B2013" s="64"/>
    </row>
    <row r="2014" spans="2:2" x14ac:dyDescent="0.25">
      <c r="B2014" s="64"/>
    </row>
    <row r="2015" spans="2:2" x14ac:dyDescent="0.25">
      <c r="B2015" s="64"/>
    </row>
    <row r="2016" spans="2:2" x14ac:dyDescent="0.25">
      <c r="B2016" s="64"/>
    </row>
    <row r="2017" spans="2:2" x14ac:dyDescent="0.25">
      <c r="B2017" s="64"/>
    </row>
    <row r="2018" spans="2:2" x14ac:dyDescent="0.25">
      <c r="B2018" s="64"/>
    </row>
    <row r="2019" spans="2:2" x14ac:dyDescent="0.25">
      <c r="B2019" s="64"/>
    </row>
    <row r="2020" spans="2:2" x14ac:dyDescent="0.25">
      <c r="B2020" s="64"/>
    </row>
    <row r="2021" spans="2:2" x14ac:dyDescent="0.25">
      <c r="B2021" s="64"/>
    </row>
    <row r="2022" spans="2:2" x14ac:dyDescent="0.25">
      <c r="B2022" s="64"/>
    </row>
    <row r="2023" spans="2:2" x14ac:dyDescent="0.25">
      <c r="B2023" s="64"/>
    </row>
    <row r="2024" spans="2:2" x14ac:dyDescent="0.25">
      <c r="B2024" s="64"/>
    </row>
    <row r="2025" spans="2:2" x14ac:dyDescent="0.25">
      <c r="B2025" s="64"/>
    </row>
    <row r="2026" spans="2:2" x14ac:dyDescent="0.25">
      <c r="B2026" s="64"/>
    </row>
    <row r="2027" spans="2:2" x14ac:dyDescent="0.25">
      <c r="B2027" s="64"/>
    </row>
    <row r="2028" spans="2:2" x14ac:dyDescent="0.25">
      <c r="B2028" s="64"/>
    </row>
    <row r="2029" spans="2:2" x14ac:dyDescent="0.25">
      <c r="B2029" s="64"/>
    </row>
    <row r="2030" spans="2:2" x14ac:dyDescent="0.25">
      <c r="B2030" s="64"/>
    </row>
    <row r="2031" spans="2:2" x14ac:dyDescent="0.25">
      <c r="B2031" s="64"/>
    </row>
    <row r="2032" spans="2:2" x14ac:dyDescent="0.25">
      <c r="B2032" s="64"/>
    </row>
    <row r="2033" spans="2:2" x14ac:dyDescent="0.25">
      <c r="B2033" s="64"/>
    </row>
    <row r="2034" spans="2:2" x14ac:dyDescent="0.25">
      <c r="B2034" s="64"/>
    </row>
    <row r="2035" spans="2:2" x14ac:dyDescent="0.25">
      <c r="B2035" s="64"/>
    </row>
    <row r="2036" spans="2:2" x14ac:dyDescent="0.25">
      <c r="B2036" s="64"/>
    </row>
    <row r="2037" spans="2:2" x14ac:dyDescent="0.25">
      <c r="B2037" s="64"/>
    </row>
    <row r="2038" spans="2:2" x14ac:dyDescent="0.25">
      <c r="B2038" s="64"/>
    </row>
    <row r="2039" spans="2:2" x14ac:dyDescent="0.25">
      <c r="B2039" s="64"/>
    </row>
    <row r="2040" spans="2:2" x14ac:dyDescent="0.25">
      <c r="B2040" s="64"/>
    </row>
    <row r="2041" spans="2:2" x14ac:dyDescent="0.25">
      <c r="B2041" s="64"/>
    </row>
    <row r="2042" spans="2:2" x14ac:dyDescent="0.25">
      <c r="B2042" s="64"/>
    </row>
    <row r="2043" spans="2:2" x14ac:dyDescent="0.25">
      <c r="B2043" s="64"/>
    </row>
    <row r="2044" spans="2:2" x14ac:dyDescent="0.25">
      <c r="B2044" s="64"/>
    </row>
    <row r="2045" spans="2:2" x14ac:dyDescent="0.25">
      <c r="B2045" s="64"/>
    </row>
    <row r="2046" spans="2:2" x14ac:dyDescent="0.25">
      <c r="B2046" s="64"/>
    </row>
    <row r="2047" spans="2:2" x14ac:dyDescent="0.25">
      <c r="B2047" s="64"/>
    </row>
    <row r="2048" spans="2:2" x14ac:dyDescent="0.25">
      <c r="B2048" s="64"/>
    </row>
    <row r="2049" spans="2:2" x14ac:dyDescent="0.25">
      <c r="B2049" s="64"/>
    </row>
    <row r="2050" spans="2:2" x14ac:dyDescent="0.25">
      <c r="B2050" s="64"/>
    </row>
    <row r="2051" spans="2:2" x14ac:dyDescent="0.25">
      <c r="B2051" s="64"/>
    </row>
    <row r="2052" spans="2:2" x14ac:dyDescent="0.25">
      <c r="B2052" s="64"/>
    </row>
    <row r="2053" spans="2:2" x14ac:dyDescent="0.25">
      <c r="B2053" s="64"/>
    </row>
    <row r="2054" spans="2:2" x14ac:dyDescent="0.25">
      <c r="B2054" s="64"/>
    </row>
    <row r="2055" spans="2:2" x14ac:dyDescent="0.25">
      <c r="B2055" s="64"/>
    </row>
    <row r="2056" spans="2:2" x14ac:dyDescent="0.25">
      <c r="B2056" s="64"/>
    </row>
    <row r="2057" spans="2:2" x14ac:dyDescent="0.25">
      <c r="B2057" s="64"/>
    </row>
    <row r="2058" spans="2:2" x14ac:dyDescent="0.25">
      <c r="B2058" s="64"/>
    </row>
    <row r="2059" spans="2:2" x14ac:dyDescent="0.25">
      <c r="B2059" s="64"/>
    </row>
    <row r="2060" spans="2:2" x14ac:dyDescent="0.25">
      <c r="B2060" s="64"/>
    </row>
    <row r="2061" spans="2:2" x14ac:dyDescent="0.25">
      <c r="B2061" s="64"/>
    </row>
    <row r="2062" spans="2:2" x14ac:dyDescent="0.25">
      <c r="B2062" s="64"/>
    </row>
    <row r="2063" spans="2:2" x14ac:dyDescent="0.25">
      <c r="B2063" s="64"/>
    </row>
    <row r="2064" spans="2:2" x14ac:dyDescent="0.25">
      <c r="B2064" s="64"/>
    </row>
    <row r="2065" spans="2:2" x14ac:dyDescent="0.25">
      <c r="B2065" s="64"/>
    </row>
    <row r="2066" spans="2:2" x14ac:dyDescent="0.25">
      <c r="B2066" s="64"/>
    </row>
    <row r="2067" spans="2:2" x14ac:dyDescent="0.25">
      <c r="B2067" s="64"/>
    </row>
    <row r="2068" spans="2:2" x14ac:dyDescent="0.25">
      <c r="B2068" s="64"/>
    </row>
    <row r="2069" spans="2:2" x14ac:dyDescent="0.25">
      <c r="B2069" s="64"/>
    </row>
    <row r="2070" spans="2:2" x14ac:dyDescent="0.25">
      <c r="B2070" s="64"/>
    </row>
    <row r="2071" spans="2:2" x14ac:dyDescent="0.25">
      <c r="B2071" s="64"/>
    </row>
    <row r="2072" spans="2:2" x14ac:dyDescent="0.25">
      <c r="B2072" s="64"/>
    </row>
    <row r="2073" spans="2:2" x14ac:dyDescent="0.25">
      <c r="B2073" s="64"/>
    </row>
    <row r="2074" spans="2:2" x14ac:dyDescent="0.25">
      <c r="B2074" s="64"/>
    </row>
    <row r="2075" spans="2:2" x14ac:dyDescent="0.25">
      <c r="B2075" s="64"/>
    </row>
    <row r="2076" spans="2:2" x14ac:dyDescent="0.25">
      <c r="B2076" s="64"/>
    </row>
    <row r="2077" spans="2:2" x14ac:dyDescent="0.25">
      <c r="B2077" s="64"/>
    </row>
    <row r="2078" spans="2:2" x14ac:dyDescent="0.25">
      <c r="B2078" s="64"/>
    </row>
    <row r="2079" spans="2:2" x14ac:dyDescent="0.25">
      <c r="B2079" s="64"/>
    </row>
    <row r="2080" spans="2:2" x14ac:dyDescent="0.25">
      <c r="B2080" s="64"/>
    </row>
    <row r="2081" spans="2:2" x14ac:dyDescent="0.25">
      <c r="B2081" s="64"/>
    </row>
    <row r="2082" spans="2:2" x14ac:dyDescent="0.25">
      <c r="B2082" s="64"/>
    </row>
    <row r="2083" spans="2:2" x14ac:dyDescent="0.25">
      <c r="B2083" s="64"/>
    </row>
    <row r="2084" spans="2:2" x14ac:dyDescent="0.25">
      <c r="B2084" s="64"/>
    </row>
    <row r="2085" spans="2:2" x14ac:dyDescent="0.25">
      <c r="B2085" s="64"/>
    </row>
    <row r="2086" spans="2:2" x14ac:dyDescent="0.25">
      <c r="B2086" s="64"/>
    </row>
    <row r="2087" spans="2:2" x14ac:dyDescent="0.25">
      <c r="B2087" s="64"/>
    </row>
    <row r="2088" spans="2:2" x14ac:dyDescent="0.25">
      <c r="B2088" s="64"/>
    </row>
    <row r="2089" spans="2:2" x14ac:dyDescent="0.25">
      <c r="B2089" s="64"/>
    </row>
    <row r="2090" spans="2:2" x14ac:dyDescent="0.25">
      <c r="B2090" s="64"/>
    </row>
    <row r="2091" spans="2:2" x14ac:dyDescent="0.25">
      <c r="B2091" s="64"/>
    </row>
    <row r="2092" spans="2:2" x14ac:dyDescent="0.25">
      <c r="B2092" s="64"/>
    </row>
    <row r="2093" spans="2:2" x14ac:dyDescent="0.25">
      <c r="B2093" s="64"/>
    </row>
    <row r="2094" spans="2:2" x14ac:dyDescent="0.25">
      <c r="B2094" s="64"/>
    </row>
    <row r="2095" spans="2:2" x14ac:dyDescent="0.25">
      <c r="B2095" s="64"/>
    </row>
    <row r="2096" spans="2:2" x14ac:dyDescent="0.25">
      <c r="B2096" s="64"/>
    </row>
    <row r="2097" spans="2:2" x14ac:dyDescent="0.25">
      <c r="B2097" s="64"/>
    </row>
    <row r="2098" spans="2:2" x14ac:dyDescent="0.25">
      <c r="B2098" s="64"/>
    </row>
    <row r="2099" spans="2:2" x14ac:dyDescent="0.25">
      <c r="B2099" s="64"/>
    </row>
    <row r="2100" spans="2:2" x14ac:dyDescent="0.25">
      <c r="B2100" s="64"/>
    </row>
    <row r="2101" spans="2:2" x14ac:dyDescent="0.25">
      <c r="B2101" s="64"/>
    </row>
    <row r="2102" spans="2:2" x14ac:dyDescent="0.25">
      <c r="B2102" s="64"/>
    </row>
    <row r="2103" spans="2:2" x14ac:dyDescent="0.25">
      <c r="B2103" s="64"/>
    </row>
    <row r="2104" spans="2:2" x14ac:dyDescent="0.25">
      <c r="B2104" s="64"/>
    </row>
    <row r="2105" spans="2:2" x14ac:dyDescent="0.25">
      <c r="B2105" s="64"/>
    </row>
    <row r="2106" spans="2:2" x14ac:dyDescent="0.25">
      <c r="B2106" s="64"/>
    </row>
    <row r="2107" spans="2:2" x14ac:dyDescent="0.25">
      <c r="B2107" s="64"/>
    </row>
    <row r="2108" spans="2:2" x14ac:dyDescent="0.25">
      <c r="B2108" s="64"/>
    </row>
    <row r="2109" spans="2:2" x14ac:dyDescent="0.25">
      <c r="B2109" s="64"/>
    </row>
    <row r="2110" spans="2:2" x14ac:dyDescent="0.25">
      <c r="B2110" s="64"/>
    </row>
    <row r="2111" spans="2:2" x14ac:dyDescent="0.25">
      <c r="B2111" s="64"/>
    </row>
    <row r="2112" spans="2:2" x14ac:dyDescent="0.25">
      <c r="B2112" s="64"/>
    </row>
    <row r="2113" spans="2:2" x14ac:dyDescent="0.25">
      <c r="B2113" s="64"/>
    </row>
    <row r="2114" spans="2:2" x14ac:dyDescent="0.25">
      <c r="B2114" s="64"/>
    </row>
    <row r="2115" spans="2:2" x14ac:dyDescent="0.25">
      <c r="B2115" s="64"/>
    </row>
    <row r="2116" spans="2:2" x14ac:dyDescent="0.25">
      <c r="B2116" s="64"/>
    </row>
    <row r="2117" spans="2:2" x14ac:dyDescent="0.25">
      <c r="B2117" s="64"/>
    </row>
    <row r="2118" spans="2:2" x14ac:dyDescent="0.25">
      <c r="B2118" s="64"/>
    </row>
    <row r="2119" spans="2:2" x14ac:dyDescent="0.25">
      <c r="B2119" s="64"/>
    </row>
    <row r="2120" spans="2:2" x14ac:dyDescent="0.25">
      <c r="B2120" s="64"/>
    </row>
    <row r="2121" spans="2:2" x14ac:dyDescent="0.25">
      <c r="B2121" s="64"/>
    </row>
    <row r="2122" spans="2:2" x14ac:dyDescent="0.25">
      <c r="B2122" s="64"/>
    </row>
    <row r="2123" spans="2:2" x14ac:dyDescent="0.25">
      <c r="B2123" s="64"/>
    </row>
    <row r="2124" spans="2:2" x14ac:dyDescent="0.25">
      <c r="B2124" s="64"/>
    </row>
    <row r="2125" spans="2:2" x14ac:dyDescent="0.25">
      <c r="B2125" s="64"/>
    </row>
    <row r="2126" spans="2:2" x14ac:dyDescent="0.25">
      <c r="B2126" s="64"/>
    </row>
    <row r="2127" spans="2:2" x14ac:dyDescent="0.25">
      <c r="B2127" s="64"/>
    </row>
    <row r="2128" spans="2:2" x14ac:dyDescent="0.25">
      <c r="B2128" s="64"/>
    </row>
    <row r="2129" spans="2:2" x14ac:dyDescent="0.25">
      <c r="B2129" s="64"/>
    </row>
    <row r="2130" spans="2:2" x14ac:dyDescent="0.25">
      <c r="B2130" s="64"/>
    </row>
    <row r="2131" spans="2:2" x14ac:dyDescent="0.25">
      <c r="B2131" s="64"/>
    </row>
    <row r="2132" spans="2:2" x14ac:dyDescent="0.25">
      <c r="B2132" s="64"/>
    </row>
    <row r="2133" spans="2:2" x14ac:dyDescent="0.25">
      <c r="B2133" s="64"/>
    </row>
    <row r="2134" spans="2:2" x14ac:dyDescent="0.25">
      <c r="B2134" s="64"/>
    </row>
    <row r="2135" spans="2:2" x14ac:dyDescent="0.25">
      <c r="B2135" s="64"/>
    </row>
    <row r="2136" spans="2:2" x14ac:dyDescent="0.25">
      <c r="B2136" s="64"/>
    </row>
    <row r="2137" spans="2:2" x14ac:dyDescent="0.25">
      <c r="B2137" s="64"/>
    </row>
    <row r="2138" spans="2:2" x14ac:dyDescent="0.25">
      <c r="B2138" s="64"/>
    </row>
    <row r="2139" spans="2:2" x14ac:dyDescent="0.25">
      <c r="B2139" s="64"/>
    </row>
    <row r="2140" spans="2:2" x14ac:dyDescent="0.25">
      <c r="B2140" s="64"/>
    </row>
    <row r="2141" spans="2:2" x14ac:dyDescent="0.25">
      <c r="B2141" s="64"/>
    </row>
    <row r="2142" spans="2:2" x14ac:dyDescent="0.25">
      <c r="B2142" s="64"/>
    </row>
    <row r="2143" spans="2:2" x14ac:dyDescent="0.25">
      <c r="B2143" s="64"/>
    </row>
    <row r="2144" spans="2:2" x14ac:dyDescent="0.25">
      <c r="B2144" s="64"/>
    </row>
    <row r="2145" spans="2:2" x14ac:dyDescent="0.25">
      <c r="B2145" s="64"/>
    </row>
    <row r="2146" spans="2:2" x14ac:dyDescent="0.25">
      <c r="B2146" s="64"/>
    </row>
    <row r="2147" spans="2:2" x14ac:dyDescent="0.25">
      <c r="B2147" s="64"/>
    </row>
    <row r="2148" spans="2:2" x14ac:dyDescent="0.25">
      <c r="B2148" s="64"/>
    </row>
    <row r="2149" spans="2:2" x14ac:dyDescent="0.25">
      <c r="B2149" s="64"/>
    </row>
    <row r="2150" spans="2:2" x14ac:dyDescent="0.25">
      <c r="B2150" s="64"/>
    </row>
    <row r="2151" spans="2:2" x14ac:dyDescent="0.25">
      <c r="B2151" s="64"/>
    </row>
    <row r="2152" spans="2:2" x14ac:dyDescent="0.25">
      <c r="B2152" s="64"/>
    </row>
    <row r="2153" spans="2:2" x14ac:dyDescent="0.25">
      <c r="B2153" s="64"/>
    </row>
    <row r="2154" spans="2:2" x14ac:dyDescent="0.25">
      <c r="B2154" s="64"/>
    </row>
    <row r="2155" spans="2:2" x14ac:dyDescent="0.25">
      <c r="B2155" s="64"/>
    </row>
    <row r="2156" spans="2:2" x14ac:dyDescent="0.25">
      <c r="B2156" s="64"/>
    </row>
    <row r="2157" spans="2:2" x14ac:dyDescent="0.25">
      <c r="B2157" s="64"/>
    </row>
    <row r="2158" spans="2:2" x14ac:dyDescent="0.25">
      <c r="B2158" s="64"/>
    </row>
    <row r="2159" spans="2:2" x14ac:dyDescent="0.25">
      <c r="B2159" s="64"/>
    </row>
    <row r="2160" spans="2:2" x14ac:dyDescent="0.25">
      <c r="B2160" s="64"/>
    </row>
    <row r="2161" spans="2:2" x14ac:dyDescent="0.25">
      <c r="B2161" s="64"/>
    </row>
    <row r="2162" spans="2:2" x14ac:dyDescent="0.25">
      <c r="B2162" s="64"/>
    </row>
    <row r="2163" spans="2:2" x14ac:dyDescent="0.25">
      <c r="B2163" s="64"/>
    </row>
    <row r="2164" spans="2:2" x14ac:dyDescent="0.25">
      <c r="B2164" s="64"/>
    </row>
    <row r="2165" spans="2:2" x14ac:dyDescent="0.25">
      <c r="B2165" s="64"/>
    </row>
    <row r="2166" spans="2:2" x14ac:dyDescent="0.25">
      <c r="B2166" s="64"/>
    </row>
    <row r="2167" spans="2:2" x14ac:dyDescent="0.25">
      <c r="B2167" s="64"/>
    </row>
    <row r="2168" spans="2:2" x14ac:dyDescent="0.25">
      <c r="B2168" s="64"/>
    </row>
    <row r="2169" spans="2:2" x14ac:dyDescent="0.25">
      <c r="B2169" s="64"/>
    </row>
    <row r="2170" spans="2:2" x14ac:dyDescent="0.25">
      <c r="B2170" s="64"/>
    </row>
    <row r="2171" spans="2:2" x14ac:dyDescent="0.25">
      <c r="B2171" s="64"/>
    </row>
    <row r="2172" spans="2:2" x14ac:dyDescent="0.25">
      <c r="B2172" s="64"/>
    </row>
    <row r="2173" spans="2:2" x14ac:dyDescent="0.25">
      <c r="B2173" s="64"/>
    </row>
    <row r="2174" spans="2:2" x14ac:dyDescent="0.25">
      <c r="B2174" s="64"/>
    </row>
    <row r="2175" spans="2:2" x14ac:dyDescent="0.25">
      <c r="B2175" s="64"/>
    </row>
    <row r="2176" spans="2:2" x14ac:dyDescent="0.25">
      <c r="B2176" s="64"/>
    </row>
    <row r="2177" spans="2:2" x14ac:dyDescent="0.25">
      <c r="B2177" s="64"/>
    </row>
    <row r="2178" spans="2:2" x14ac:dyDescent="0.25">
      <c r="B2178" s="64"/>
    </row>
    <row r="2179" spans="2:2" x14ac:dyDescent="0.25">
      <c r="B2179" s="64"/>
    </row>
    <row r="2180" spans="2:2" x14ac:dyDescent="0.25">
      <c r="B2180" s="64"/>
    </row>
    <row r="2181" spans="2:2" x14ac:dyDescent="0.25">
      <c r="B2181" s="64"/>
    </row>
    <row r="2182" spans="2:2" x14ac:dyDescent="0.25">
      <c r="B2182" s="64"/>
    </row>
    <row r="2183" spans="2:2" x14ac:dyDescent="0.25">
      <c r="B2183" s="64"/>
    </row>
    <row r="2184" spans="2:2" x14ac:dyDescent="0.25">
      <c r="B2184" s="64"/>
    </row>
    <row r="2185" spans="2:2" x14ac:dyDescent="0.25">
      <c r="B2185" s="64"/>
    </row>
    <row r="2186" spans="2:2" x14ac:dyDescent="0.25">
      <c r="B2186" s="64"/>
    </row>
    <row r="2187" spans="2:2" x14ac:dyDescent="0.25">
      <c r="B2187" s="64"/>
    </row>
    <row r="2188" spans="2:2" x14ac:dyDescent="0.25">
      <c r="B2188" s="64"/>
    </row>
    <row r="2189" spans="2:2" x14ac:dyDescent="0.25">
      <c r="B2189" s="64"/>
    </row>
    <row r="2190" spans="2:2" x14ac:dyDescent="0.25">
      <c r="B2190" s="64"/>
    </row>
    <row r="2191" spans="2:2" x14ac:dyDescent="0.25">
      <c r="B2191" s="64"/>
    </row>
    <row r="2192" spans="2:2" x14ac:dyDescent="0.25">
      <c r="B2192" s="64"/>
    </row>
    <row r="2193" spans="2:2" x14ac:dyDescent="0.25">
      <c r="B2193" s="64"/>
    </row>
    <row r="2194" spans="2:2" x14ac:dyDescent="0.25">
      <c r="B2194" s="64"/>
    </row>
    <row r="2195" spans="2:2" x14ac:dyDescent="0.25">
      <c r="B2195" s="64"/>
    </row>
    <row r="2196" spans="2:2" x14ac:dyDescent="0.25">
      <c r="B2196" s="64"/>
    </row>
    <row r="2197" spans="2:2" x14ac:dyDescent="0.25">
      <c r="B2197" s="64"/>
    </row>
    <row r="2198" spans="2:2" x14ac:dyDescent="0.25">
      <c r="B2198" s="64"/>
    </row>
    <row r="2199" spans="2:2" x14ac:dyDescent="0.25">
      <c r="B2199" s="64"/>
    </row>
    <row r="2200" spans="2:2" x14ac:dyDescent="0.25">
      <c r="B2200" s="64"/>
    </row>
    <row r="2201" spans="2:2" x14ac:dyDescent="0.25">
      <c r="B2201" s="64"/>
    </row>
    <row r="2202" spans="2:2" x14ac:dyDescent="0.25">
      <c r="B2202" s="64"/>
    </row>
    <row r="2203" spans="2:2" x14ac:dyDescent="0.25">
      <c r="B2203" s="64"/>
    </row>
    <row r="2204" spans="2:2" x14ac:dyDescent="0.25">
      <c r="B2204" s="64"/>
    </row>
    <row r="2205" spans="2:2" x14ac:dyDescent="0.25">
      <c r="B2205" s="64"/>
    </row>
    <row r="2206" spans="2:2" x14ac:dyDescent="0.25">
      <c r="B2206" s="64"/>
    </row>
    <row r="2207" spans="2:2" x14ac:dyDescent="0.25">
      <c r="B2207" s="64"/>
    </row>
    <row r="2208" spans="2:2" x14ac:dyDescent="0.25">
      <c r="B2208" s="64"/>
    </row>
    <row r="2209" spans="2:2" x14ac:dyDescent="0.25">
      <c r="B2209" s="64"/>
    </row>
    <row r="2210" spans="2:2" x14ac:dyDescent="0.25">
      <c r="B2210" s="64"/>
    </row>
    <row r="2211" spans="2:2" x14ac:dyDescent="0.25">
      <c r="B2211" s="64"/>
    </row>
    <row r="2212" spans="2:2" x14ac:dyDescent="0.25">
      <c r="B2212" s="64"/>
    </row>
    <row r="2213" spans="2:2" x14ac:dyDescent="0.25">
      <c r="B2213" s="64"/>
    </row>
    <row r="2214" spans="2:2" x14ac:dyDescent="0.25">
      <c r="B2214" s="64"/>
    </row>
    <row r="2215" spans="2:2" x14ac:dyDescent="0.25">
      <c r="B2215" s="64"/>
    </row>
    <row r="2216" spans="2:2" x14ac:dyDescent="0.25">
      <c r="B2216" s="64"/>
    </row>
    <row r="2217" spans="2:2" x14ac:dyDescent="0.25">
      <c r="B2217" s="64"/>
    </row>
    <row r="2218" spans="2:2" x14ac:dyDescent="0.25">
      <c r="B2218" s="64"/>
    </row>
    <row r="2219" spans="2:2" x14ac:dyDescent="0.25">
      <c r="B2219" s="64"/>
    </row>
    <row r="2220" spans="2:2" x14ac:dyDescent="0.25">
      <c r="B2220" s="64"/>
    </row>
    <row r="2221" spans="2:2" x14ac:dyDescent="0.25">
      <c r="B2221" s="64"/>
    </row>
    <row r="2222" spans="2:2" x14ac:dyDescent="0.25">
      <c r="B2222" s="64"/>
    </row>
    <row r="2223" spans="2:2" x14ac:dyDescent="0.25">
      <c r="B2223" s="64"/>
    </row>
    <row r="2224" spans="2:2" x14ac:dyDescent="0.25">
      <c r="B2224" s="64"/>
    </row>
    <row r="2225" spans="2:2" x14ac:dyDescent="0.25">
      <c r="B2225" s="64"/>
    </row>
    <row r="2226" spans="2:2" x14ac:dyDescent="0.25">
      <c r="B2226" s="64"/>
    </row>
    <row r="2227" spans="2:2" x14ac:dyDescent="0.25">
      <c r="B2227" s="64"/>
    </row>
    <row r="2228" spans="2:2" x14ac:dyDescent="0.25">
      <c r="B2228" s="64"/>
    </row>
    <row r="2229" spans="2:2" x14ac:dyDescent="0.25">
      <c r="B2229" s="64"/>
    </row>
    <row r="2230" spans="2:2" x14ac:dyDescent="0.25">
      <c r="B2230" s="64"/>
    </row>
    <row r="2231" spans="2:2" x14ac:dyDescent="0.25">
      <c r="B2231" s="64"/>
    </row>
    <row r="2232" spans="2:2" x14ac:dyDescent="0.25">
      <c r="B2232" s="64"/>
    </row>
    <row r="2233" spans="2:2" x14ac:dyDescent="0.25">
      <c r="B2233" s="64"/>
    </row>
    <row r="2234" spans="2:2" x14ac:dyDescent="0.25">
      <c r="B2234" s="64"/>
    </row>
    <row r="2235" spans="2:2" x14ac:dyDescent="0.25">
      <c r="B2235" s="64"/>
    </row>
    <row r="2236" spans="2:2" x14ac:dyDescent="0.25">
      <c r="B2236" s="64"/>
    </row>
    <row r="2237" spans="2:2" x14ac:dyDescent="0.25">
      <c r="B2237" s="64"/>
    </row>
    <row r="2238" spans="2:2" x14ac:dyDescent="0.25">
      <c r="B2238" s="64"/>
    </row>
    <row r="2239" spans="2:2" x14ac:dyDescent="0.25">
      <c r="B2239" s="64"/>
    </row>
    <row r="2240" spans="2:2" x14ac:dyDescent="0.25">
      <c r="B2240" s="64"/>
    </row>
    <row r="2241" spans="2:2" x14ac:dyDescent="0.25">
      <c r="B2241" s="64"/>
    </row>
    <row r="2242" spans="2:2" x14ac:dyDescent="0.25">
      <c r="B2242" s="64"/>
    </row>
    <row r="2243" spans="2:2" x14ac:dyDescent="0.25">
      <c r="B2243" s="64"/>
    </row>
    <row r="2244" spans="2:2" x14ac:dyDescent="0.25">
      <c r="B2244" s="64"/>
    </row>
    <row r="2245" spans="2:2" x14ac:dyDescent="0.25">
      <c r="B2245" s="64"/>
    </row>
    <row r="2246" spans="2:2" x14ac:dyDescent="0.25">
      <c r="B2246" s="64"/>
    </row>
    <row r="2247" spans="2:2" x14ac:dyDescent="0.25">
      <c r="B2247" s="64"/>
    </row>
    <row r="2248" spans="2:2" x14ac:dyDescent="0.25">
      <c r="B2248" s="64"/>
    </row>
    <row r="2249" spans="2:2" x14ac:dyDescent="0.25">
      <c r="B2249" s="64"/>
    </row>
    <row r="2250" spans="2:2" x14ac:dyDescent="0.25">
      <c r="B2250" s="64"/>
    </row>
    <row r="2251" spans="2:2" x14ac:dyDescent="0.25">
      <c r="B2251" s="64"/>
    </row>
    <row r="2252" spans="2:2" x14ac:dyDescent="0.25">
      <c r="B2252" s="64"/>
    </row>
    <row r="2253" spans="2:2" x14ac:dyDescent="0.25">
      <c r="B2253" s="64"/>
    </row>
    <row r="2254" spans="2:2" x14ac:dyDescent="0.25">
      <c r="B2254" s="64"/>
    </row>
    <row r="2255" spans="2:2" x14ac:dyDescent="0.25">
      <c r="B2255" s="64"/>
    </row>
    <row r="2256" spans="2:2" x14ac:dyDescent="0.25">
      <c r="B2256" s="64"/>
    </row>
    <row r="2257" spans="2:2" x14ac:dyDescent="0.25">
      <c r="B2257" s="64"/>
    </row>
    <row r="2258" spans="2:2" x14ac:dyDescent="0.25">
      <c r="B2258" s="64"/>
    </row>
    <row r="2259" spans="2:2" x14ac:dyDescent="0.25">
      <c r="B2259" s="64"/>
    </row>
    <row r="2260" spans="2:2" x14ac:dyDescent="0.25">
      <c r="B2260" s="64"/>
    </row>
    <row r="2261" spans="2:2" x14ac:dyDescent="0.25">
      <c r="B2261" s="64"/>
    </row>
    <row r="2262" spans="2:2" x14ac:dyDescent="0.25">
      <c r="B2262" s="64"/>
    </row>
    <row r="2263" spans="2:2" x14ac:dyDescent="0.25">
      <c r="B2263" s="64"/>
    </row>
    <row r="2264" spans="2:2" x14ac:dyDescent="0.25">
      <c r="B2264" s="64"/>
    </row>
    <row r="2265" spans="2:2" x14ac:dyDescent="0.25">
      <c r="B2265" s="64"/>
    </row>
    <row r="2266" spans="2:2" x14ac:dyDescent="0.25">
      <c r="B2266" s="64"/>
    </row>
    <row r="2267" spans="2:2" x14ac:dyDescent="0.25">
      <c r="B2267" s="64"/>
    </row>
    <row r="2268" spans="2:2" x14ac:dyDescent="0.25">
      <c r="B2268" s="64"/>
    </row>
    <row r="2269" spans="2:2" x14ac:dyDescent="0.25">
      <c r="B2269" s="64"/>
    </row>
    <row r="2270" spans="2:2" x14ac:dyDescent="0.25">
      <c r="B2270" s="64"/>
    </row>
    <row r="2271" spans="2:2" x14ac:dyDescent="0.25">
      <c r="B2271" s="64"/>
    </row>
    <row r="2272" spans="2:2" x14ac:dyDescent="0.25">
      <c r="B2272" s="64"/>
    </row>
    <row r="2273" spans="2:2" x14ac:dyDescent="0.25">
      <c r="B2273" s="64"/>
    </row>
    <row r="2274" spans="2:2" x14ac:dyDescent="0.25">
      <c r="B2274" s="64"/>
    </row>
    <row r="2275" spans="2:2" x14ac:dyDescent="0.25">
      <c r="B2275" s="64"/>
    </row>
    <row r="2276" spans="2:2" x14ac:dyDescent="0.25">
      <c r="B2276" s="64"/>
    </row>
    <row r="2277" spans="2:2" x14ac:dyDescent="0.25">
      <c r="B2277" s="64"/>
    </row>
    <row r="2278" spans="2:2" x14ac:dyDescent="0.25">
      <c r="B2278" s="64"/>
    </row>
    <row r="2279" spans="2:2" x14ac:dyDescent="0.25">
      <c r="B2279" s="64"/>
    </row>
    <row r="2280" spans="2:2" x14ac:dyDescent="0.25">
      <c r="B2280" s="64"/>
    </row>
    <row r="2281" spans="2:2" x14ac:dyDescent="0.25">
      <c r="B2281" s="64"/>
    </row>
    <row r="2282" spans="2:2" x14ac:dyDescent="0.25">
      <c r="B2282" s="64"/>
    </row>
    <row r="2283" spans="2:2" x14ac:dyDescent="0.25">
      <c r="B2283" s="64"/>
    </row>
    <row r="2284" spans="2:2" x14ac:dyDescent="0.25">
      <c r="B2284" s="64"/>
    </row>
    <row r="2285" spans="2:2" x14ac:dyDescent="0.25">
      <c r="B2285" s="64"/>
    </row>
    <row r="2286" spans="2:2" x14ac:dyDescent="0.25">
      <c r="B2286" s="64"/>
    </row>
    <row r="2287" spans="2:2" x14ac:dyDescent="0.25">
      <c r="B2287" s="64"/>
    </row>
    <row r="2288" spans="2:2" x14ac:dyDescent="0.25">
      <c r="B2288" s="64"/>
    </row>
    <row r="2289" spans="2:2" x14ac:dyDescent="0.25">
      <c r="B2289" s="64"/>
    </row>
    <row r="2290" spans="2:2" x14ac:dyDescent="0.25">
      <c r="B2290" s="64"/>
    </row>
    <row r="2291" spans="2:2" x14ac:dyDescent="0.25">
      <c r="B2291" s="64"/>
    </row>
    <row r="2292" spans="2:2" x14ac:dyDescent="0.25">
      <c r="B2292" s="64"/>
    </row>
    <row r="2293" spans="2:2" x14ac:dyDescent="0.25">
      <c r="B2293" s="64"/>
    </row>
    <row r="2294" spans="2:2" x14ac:dyDescent="0.25">
      <c r="B2294" s="64"/>
    </row>
    <row r="2295" spans="2:2" x14ac:dyDescent="0.25">
      <c r="B2295" s="64"/>
    </row>
    <row r="2296" spans="2:2" x14ac:dyDescent="0.25">
      <c r="B2296" s="64"/>
    </row>
    <row r="2297" spans="2:2" x14ac:dyDescent="0.25">
      <c r="B2297" s="64"/>
    </row>
    <row r="2298" spans="2:2" x14ac:dyDescent="0.25">
      <c r="B2298" s="64"/>
    </row>
    <row r="2299" spans="2:2" x14ac:dyDescent="0.25">
      <c r="B2299" s="64"/>
    </row>
    <row r="2300" spans="2:2" x14ac:dyDescent="0.25">
      <c r="B2300" s="64"/>
    </row>
    <row r="2301" spans="2:2" x14ac:dyDescent="0.25">
      <c r="B2301" s="64"/>
    </row>
    <row r="2302" spans="2:2" x14ac:dyDescent="0.25">
      <c r="B2302" s="64"/>
    </row>
    <row r="2303" spans="2:2" x14ac:dyDescent="0.25">
      <c r="B2303" s="64"/>
    </row>
    <row r="2304" spans="2:2" x14ac:dyDescent="0.25">
      <c r="B2304" s="64"/>
    </row>
    <row r="2305" spans="2:2" x14ac:dyDescent="0.25">
      <c r="B2305" s="64"/>
    </row>
    <row r="2306" spans="2:2" x14ac:dyDescent="0.25">
      <c r="B2306" s="64"/>
    </row>
    <row r="2307" spans="2:2" x14ac:dyDescent="0.25">
      <c r="B2307" s="64"/>
    </row>
    <row r="2308" spans="2:2" x14ac:dyDescent="0.25">
      <c r="B2308" s="64"/>
    </row>
    <row r="2309" spans="2:2" x14ac:dyDescent="0.25">
      <c r="B2309" s="64"/>
    </row>
    <row r="2310" spans="2:2" x14ac:dyDescent="0.25">
      <c r="B2310" s="64"/>
    </row>
    <row r="2311" spans="2:2" x14ac:dyDescent="0.25">
      <c r="B2311" s="64"/>
    </row>
    <row r="2312" spans="2:2" x14ac:dyDescent="0.25">
      <c r="B2312" s="64"/>
    </row>
    <row r="2313" spans="2:2" x14ac:dyDescent="0.25">
      <c r="B2313" s="64"/>
    </row>
    <row r="2314" spans="2:2" x14ac:dyDescent="0.25">
      <c r="B2314" s="64"/>
    </row>
    <row r="2315" spans="2:2" x14ac:dyDescent="0.25">
      <c r="B2315" s="64"/>
    </row>
    <row r="2316" spans="2:2" x14ac:dyDescent="0.25">
      <c r="B2316" s="64"/>
    </row>
    <row r="2317" spans="2:2" x14ac:dyDescent="0.25">
      <c r="B2317" s="64"/>
    </row>
    <row r="2318" spans="2:2" x14ac:dyDescent="0.25">
      <c r="B2318" s="64"/>
    </row>
    <row r="2319" spans="2:2" x14ac:dyDescent="0.25">
      <c r="B2319" s="64"/>
    </row>
    <row r="2320" spans="2:2" x14ac:dyDescent="0.25">
      <c r="B2320" s="64"/>
    </row>
    <row r="2321" spans="2:2" x14ac:dyDescent="0.25">
      <c r="B2321" s="64"/>
    </row>
    <row r="2322" spans="2:2" x14ac:dyDescent="0.25">
      <c r="B2322" s="64"/>
    </row>
    <row r="2323" spans="2:2" x14ac:dyDescent="0.25">
      <c r="B2323" s="64"/>
    </row>
    <row r="2324" spans="2:2" x14ac:dyDescent="0.25">
      <c r="B2324" s="64"/>
    </row>
    <row r="2325" spans="2:2" x14ac:dyDescent="0.25">
      <c r="B2325" s="64"/>
    </row>
    <row r="2326" spans="2:2" x14ac:dyDescent="0.25">
      <c r="B2326" s="64"/>
    </row>
    <row r="2327" spans="2:2" x14ac:dyDescent="0.25">
      <c r="B2327" s="64"/>
    </row>
    <row r="2328" spans="2:2" x14ac:dyDescent="0.25">
      <c r="B2328" s="64"/>
    </row>
    <row r="2329" spans="2:2" x14ac:dyDescent="0.25">
      <c r="B2329" s="64"/>
    </row>
    <row r="2330" spans="2:2" x14ac:dyDescent="0.25">
      <c r="B2330" s="64"/>
    </row>
    <row r="2331" spans="2:2" x14ac:dyDescent="0.25">
      <c r="B2331" s="64"/>
    </row>
    <row r="2332" spans="2:2" x14ac:dyDescent="0.25">
      <c r="B2332" s="64"/>
    </row>
    <row r="2333" spans="2:2" x14ac:dyDescent="0.25">
      <c r="B2333" s="64"/>
    </row>
    <row r="2334" spans="2:2" x14ac:dyDescent="0.25">
      <c r="B2334" s="64"/>
    </row>
    <row r="2335" spans="2:2" x14ac:dyDescent="0.25">
      <c r="B2335" s="64"/>
    </row>
    <row r="2336" spans="2:2" x14ac:dyDescent="0.25">
      <c r="B2336" s="64"/>
    </row>
    <row r="2337" spans="2:2" x14ac:dyDescent="0.25">
      <c r="B2337" s="64"/>
    </row>
    <row r="2338" spans="2:2" x14ac:dyDescent="0.25">
      <c r="B2338" s="64"/>
    </row>
    <row r="2339" spans="2:2" x14ac:dyDescent="0.25">
      <c r="B2339" s="64"/>
    </row>
    <row r="2340" spans="2:2" x14ac:dyDescent="0.25">
      <c r="B2340" s="64"/>
    </row>
    <row r="2341" spans="2:2" x14ac:dyDescent="0.25">
      <c r="B2341" s="64"/>
    </row>
    <row r="2342" spans="2:2" x14ac:dyDescent="0.25">
      <c r="B2342" s="64"/>
    </row>
    <row r="2343" spans="2:2" x14ac:dyDescent="0.25">
      <c r="B2343" s="64"/>
    </row>
    <row r="2344" spans="2:2" x14ac:dyDescent="0.25">
      <c r="B2344" s="64"/>
    </row>
    <row r="2345" spans="2:2" x14ac:dyDescent="0.25">
      <c r="B2345" s="64"/>
    </row>
    <row r="2346" spans="2:2" x14ac:dyDescent="0.25">
      <c r="B2346" s="64"/>
    </row>
    <row r="2347" spans="2:2" x14ac:dyDescent="0.25">
      <c r="B2347" s="64"/>
    </row>
    <row r="2348" spans="2:2" x14ac:dyDescent="0.25">
      <c r="B2348" s="64"/>
    </row>
    <row r="2349" spans="2:2" x14ac:dyDescent="0.25">
      <c r="B2349" s="64"/>
    </row>
    <row r="2350" spans="2:2" x14ac:dyDescent="0.25">
      <c r="B2350" s="64"/>
    </row>
    <row r="2351" spans="2:2" x14ac:dyDescent="0.25">
      <c r="B2351" s="64"/>
    </row>
    <row r="2352" spans="2:2" x14ac:dyDescent="0.25">
      <c r="B2352" s="64"/>
    </row>
    <row r="2353" spans="2:2" x14ac:dyDescent="0.25">
      <c r="B2353" s="64"/>
    </row>
    <row r="2354" spans="2:2" x14ac:dyDescent="0.25">
      <c r="B2354" s="64"/>
    </row>
    <row r="2355" spans="2:2" x14ac:dyDescent="0.25">
      <c r="B2355" s="64"/>
    </row>
    <row r="2356" spans="2:2" x14ac:dyDescent="0.25">
      <c r="B2356" s="64"/>
    </row>
    <row r="2357" spans="2:2" x14ac:dyDescent="0.25">
      <c r="B2357" s="64"/>
    </row>
    <row r="2358" spans="2:2" x14ac:dyDescent="0.25">
      <c r="B2358" s="64"/>
    </row>
    <row r="2359" spans="2:2" x14ac:dyDescent="0.25">
      <c r="B2359" s="64"/>
    </row>
    <row r="2360" spans="2:2" x14ac:dyDescent="0.25">
      <c r="B2360" s="64"/>
    </row>
    <row r="2361" spans="2:2" x14ac:dyDescent="0.25">
      <c r="B2361" s="64"/>
    </row>
    <row r="2362" spans="2:2" x14ac:dyDescent="0.25">
      <c r="B2362" s="64"/>
    </row>
    <row r="2363" spans="2:2" x14ac:dyDescent="0.25">
      <c r="B2363" s="64"/>
    </row>
    <row r="2364" spans="2:2" x14ac:dyDescent="0.25">
      <c r="B2364" s="64"/>
    </row>
    <row r="2365" spans="2:2" x14ac:dyDescent="0.25">
      <c r="B2365" s="64"/>
    </row>
    <row r="2366" spans="2:2" x14ac:dyDescent="0.25">
      <c r="B2366" s="64"/>
    </row>
    <row r="2367" spans="2:2" x14ac:dyDescent="0.25">
      <c r="B2367" s="64"/>
    </row>
    <row r="2368" spans="2:2" x14ac:dyDescent="0.25">
      <c r="B2368" s="64"/>
    </row>
    <row r="2369" spans="2:2" x14ac:dyDescent="0.25">
      <c r="B2369" s="64"/>
    </row>
    <row r="2370" spans="2:2" x14ac:dyDescent="0.25">
      <c r="B2370" s="64"/>
    </row>
    <row r="2371" spans="2:2" x14ac:dyDescent="0.25">
      <c r="B2371" s="64"/>
    </row>
    <row r="2372" spans="2:2" x14ac:dyDescent="0.25">
      <c r="B2372" s="64"/>
    </row>
    <row r="2373" spans="2:2" x14ac:dyDescent="0.25">
      <c r="B2373" s="64"/>
    </row>
    <row r="2374" spans="2:2" x14ac:dyDescent="0.25">
      <c r="B2374" s="64"/>
    </row>
    <row r="2375" spans="2:2" x14ac:dyDescent="0.25">
      <c r="B2375" s="64"/>
    </row>
    <row r="2376" spans="2:2" x14ac:dyDescent="0.25">
      <c r="B2376" s="64"/>
    </row>
    <row r="2377" spans="2:2" x14ac:dyDescent="0.25">
      <c r="B2377" s="64"/>
    </row>
    <row r="2378" spans="2:2" x14ac:dyDescent="0.25">
      <c r="B2378" s="64"/>
    </row>
    <row r="2379" spans="2:2" x14ac:dyDescent="0.25">
      <c r="B2379" s="64"/>
    </row>
    <row r="2380" spans="2:2" x14ac:dyDescent="0.25">
      <c r="B2380" s="64"/>
    </row>
    <row r="2381" spans="2:2" x14ac:dyDescent="0.25">
      <c r="B2381" s="64"/>
    </row>
    <row r="2382" spans="2:2" x14ac:dyDescent="0.25">
      <c r="B2382" s="64"/>
    </row>
    <row r="2383" spans="2:2" x14ac:dyDescent="0.25">
      <c r="B2383" s="64"/>
    </row>
    <row r="2384" spans="2:2" x14ac:dyDescent="0.25">
      <c r="B2384" s="64"/>
    </row>
    <row r="2385" spans="2:2" x14ac:dyDescent="0.25">
      <c r="B2385" s="64"/>
    </row>
    <row r="2386" spans="2:2" x14ac:dyDescent="0.25">
      <c r="B2386" s="64"/>
    </row>
    <row r="2387" spans="2:2" x14ac:dyDescent="0.25">
      <c r="B2387" s="64"/>
    </row>
    <row r="2388" spans="2:2" x14ac:dyDescent="0.25">
      <c r="B2388" s="64"/>
    </row>
    <row r="2389" spans="2:2" x14ac:dyDescent="0.25">
      <c r="B2389" s="64"/>
    </row>
    <row r="2390" spans="2:2" x14ac:dyDescent="0.25">
      <c r="B2390" s="64"/>
    </row>
    <row r="2391" spans="2:2" x14ac:dyDescent="0.25">
      <c r="B2391" s="64"/>
    </row>
    <row r="2392" spans="2:2" x14ac:dyDescent="0.25">
      <c r="B2392" s="64"/>
    </row>
    <row r="2393" spans="2:2" x14ac:dyDescent="0.25">
      <c r="B2393" s="64"/>
    </row>
    <row r="2394" spans="2:2" x14ac:dyDescent="0.25">
      <c r="B2394" s="64"/>
    </row>
    <row r="2395" spans="2:2" x14ac:dyDescent="0.25">
      <c r="B2395" s="64"/>
    </row>
    <row r="2396" spans="2:2" x14ac:dyDescent="0.25">
      <c r="B2396" s="64"/>
    </row>
    <row r="2397" spans="2:2" x14ac:dyDescent="0.25">
      <c r="B2397" s="64"/>
    </row>
    <row r="2398" spans="2:2" x14ac:dyDescent="0.25">
      <c r="B2398" s="64"/>
    </row>
    <row r="2399" spans="2:2" x14ac:dyDescent="0.25">
      <c r="B2399" s="64"/>
    </row>
    <row r="2400" spans="2:2" x14ac:dyDescent="0.25">
      <c r="B2400" s="64"/>
    </row>
    <row r="2401" spans="2:2" x14ac:dyDescent="0.25">
      <c r="B2401" s="64"/>
    </row>
    <row r="2402" spans="2:2" x14ac:dyDescent="0.25">
      <c r="B2402" s="64"/>
    </row>
    <row r="2403" spans="2:2" x14ac:dyDescent="0.25">
      <c r="B2403" s="64"/>
    </row>
    <row r="2404" spans="2:2" x14ac:dyDescent="0.25">
      <c r="B2404" s="64"/>
    </row>
    <row r="2405" spans="2:2" x14ac:dyDescent="0.25">
      <c r="B2405" s="64"/>
    </row>
    <row r="2406" spans="2:2" x14ac:dyDescent="0.25">
      <c r="B2406" s="64"/>
    </row>
    <row r="2407" spans="2:2" x14ac:dyDescent="0.25">
      <c r="B2407" s="64"/>
    </row>
    <row r="2408" spans="2:2" x14ac:dyDescent="0.25">
      <c r="B2408" s="64"/>
    </row>
    <row r="2409" spans="2:2" x14ac:dyDescent="0.25">
      <c r="B2409" s="64"/>
    </row>
    <row r="2410" spans="2:2" x14ac:dyDescent="0.25">
      <c r="B2410" s="64"/>
    </row>
    <row r="2411" spans="2:2" x14ac:dyDescent="0.25">
      <c r="B2411" s="64"/>
    </row>
    <row r="2412" spans="2:2" x14ac:dyDescent="0.25">
      <c r="B2412" s="64"/>
    </row>
    <row r="2413" spans="2:2" x14ac:dyDescent="0.25">
      <c r="B2413" s="64"/>
    </row>
    <row r="2414" spans="2:2" x14ac:dyDescent="0.25">
      <c r="B2414" s="64"/>
    </row>
    <row r="2415" spans="2:2" x14ac:dyDescent="0.25">
      <c r="B2415" s="64"/>
    </row>
    <row r="2416" spans="2:2" x14ac:dyDescent="0.25">
      <c r="B2416" s="64"/>
    </row>
    <row r="2417" spans="2:2" x14ac:dyDescent="0.25">
      <c r="B2417" s="64"/>
    </row>
    <row r="2418" spans="2:2" x14ac:dyDescent="0.25">
      <c r="B2418" s="64"/>
    </row>
    <row r="2419" spans="2:2" x14ac:dyDescent="0.25">
      <c r="B2419" s="64"/>
    </row>
    <row r="2420" spans="2:2" x14ac:dyDescent="0.25">
      <c r="B2420" s="64"/>
    </row>
    <row r="2421" spans="2:2" x14ac:dyDescent="0.25">
      <c r="B2421" s="64"/>
    </row>
    <row r="2422" spans="2:2" x14ac:dyDescent="0.25">
      <c r="B2422" s="64"/>
    </row>
    <row r="2423" spans="2:2" x14ac:dyDescent="0.25">
      <c r="B2423" s="64"/>
    </row>
    <row r="2424" spans="2:2" x14ac:dyDescent="0.25">
      <c r="B2424" s="64"/>
    </row>
    <row r="2425" spans="2:2" x14ac:dyDescent="0.25">
      <c r="B2425" s="64"/>
    </row>
    <row r="2426" spans="2:2" x14ac:dyDescent="0.25">
      <c r="B2426" s="64"/>
    </row>
    <row r="2427" spans="2:2" x14ac:dyDescent="0.25">
      <c r="B2427" s="64"/>
    </row>
    <row r="2428" spans="2:2" x14ac:dyDescent="0.25">
      <c r="B2428" s="64"/>
    </row>
    <row r="2429" spans="2:2" x14ac:dyDescent="0.25">
      <c r="B2429" s="64"/>
    </row>
    <row r="2430" spans="2:2" x14ac:dyDescent="0.25">
      <c r="B2430" s="64"/>
    </row>
    <row r="2431" spans="2:2" x14ac:dyDescent="0.25">
      <c r="B2431" s="64"/>
    </row>
    <row r="2432" spans="2:2" x14ac:dyDescent="0.25">
      <c r="B2432" s="64"/>
    </row>
    <row r="2433" spans="2:2" x14ac:dyDescent="0.25">
      <c r="B2433" s="64"/>
    </row>
    <row r="2434" spans="2:2" x14ac:dyDescent="0.25">
      <c r="B2434" s="64"/>
    </row>
    <row r="2435" spans="2:2" x14ac:dyDescent="0.25">
      <c r="B2435" s="64"/>
    </row>
    <row r="2436" spans="2:2" x14ac:dyDescent="0.25">
      <c r="B2436" s="64"/>
    </row>
    <row r="2437" spans="2:2" x14ac:dyDescent="0.25">
      <c r="B2437" s="64"/>
    </row>
    <row r="2438" spans="2:2" x14ac:dyDescent="0.25">
      <c r="B2438" s="64"/>
    </row>
    <row r="2439" spans="2:2" x14ac:dyDescent="0.25">
      <c r="B2439" s="64"/>
    </row>
    <row r="2440" spans="2:2" x14ac:dyDescent="0.25">
      <c r="B2440" s="64"/>
    </row>
    <row r="2441" spans="2:2" x14ac:dyDescent="0.25">
      <c r="B2441" s="64"/>
    </row>
    <row r="2442" spans="2:2" x14ac:dyDescent="0.25">
      <c r="B2442" s="64"/>
    </row>
    <row r="2443" spans="2:2" x14ac:dyDescent="0.25">
      <c r="B2443" s="64"/>
    </row>
    <row r="2444" spans="2:2" x14ac:dyDescent="0.25">
      <c r="B2444" s="64"/>
    </row>
    <row r="2445" spans="2:2" x14ac:dyDescent="0.25">
      <c r="B2445" s="64"/>
    </row>
    <row r="2446" spans="2:2" x14ac:dyDescent="0.25">
      <c r="B2446" s="64"/>
    </row>
    <row r="2447" spans="2:2" x14ac:dyDescent="0.25">
      <c r="B2447" s="64"/>
    </row>
    <row r="2448" spans="2:2" x14ac:dyDescent="0.25">
      <c r="B2448" s="64"/>
    </row>
    <row r="2449" spans="2:2" x14ac:dyDescent="0.25">
      <c r="B2449" s="64"/>
    </row>
    <row r="2450" spans="2:2" x14ac:dyDescent="0.25">
      <c r="B2450" s="64"/>
    </row>
    <row r="2451" spans="2:2" x14ac:dyDescent="0.25">
      <c r="B2451" s="64"/>
    </row>
    <row r="2452" spans="2:2" x14ac:dyDescent="0.25">
      <c r="B2452" s="64"/>
    </row>
    <row r="2453" spans="2:2" x14ac:dyDescent="0.25">
      <c r="B2453" s="64"/>
    </row>
    <row r="2454" spans="2:2" x14ac:dyDescent="0.25">
      <c r="B2454" s="64"/>
    </row>
    <row r="2455" spans="2:2" x14ac:dyDescent="0.25">
      <c r="B2455" s="64"/>
    </row>
    <row r="2456" spans="2:2" x14ac:dyDescent="0.25">
      <c r="B2456" s="64"/>
    </row>
    <row r="2457" spans="2:2" x14ac:dyDescent="0.25">
      <c r="B2457" s="64"/>
    </row>
    <row r="2458" spans="2:2" x14ac:dyDescent="0.25">
      <c r="B2458" s="64"/>
    </row>
    <row r="2459" spans="2:2" x14ac:dyDescent="0.25">
      <c r="B2459" s="64"/>
    </row>
    <row r="2460" spans="2:2" x14ac:dyDescent="0.25">
      <c r="B2460" s="64"/>
    </row>
    <row r="2461" spans="2:2" x14ac:dyDescent="0.25">
      <c r="B2461" s="64"/>
    </row>
    <row r="2462" spans="2:2" x14ac:dyDescent="0.25">
      <c r="B2462" s="64"/>
    </row>
    <row r="2463" spans="2:2" x14ac:dyDescent="0.25">
      <c r="B2463" s="64"/>
    </row>
    <row r="2464" spans="2:2" x14ac:dyDescent="0.25">
      <c r="B2464" s="64"/>
    </row>
    <row r="2465" spans="2:2" x14ac:dyDescent="0.25">
      <c r="B2465" s="64"/>
    </row>
    <row r="2466" spans="2:2" x14ac:dyDescent="0.25">
      <c r="B2466" s="64"/>
    </row>
    <row r="2467" spans="2:2" x14ac:dyDescent="0.25">
      <c r="B2467" s="64"/>
    </row>
    <row r="2468" spans="2:2" x14ac:dyDescent="0.25">
      <c r="B2468" s="64"/>
    </row>
    <row r="2469" spans="2:2" x14ac:dyDescent="0.25">
      <c r="B2469" s="64"/>
    </row>
    <row r="2470" spans="2:2" x14ac:dyDescent="0.25">
      <c r="B2470" s="64"/>
    </row>
    <row r="2471" spans="2:2" x14ac:dyDescent="0.25">
      <c r="B2471" s="64"/>
    </row>
    <row r="2472" spans="2:2" x14ac:dyDescent="0.25">
      <c r="B2472" s="64"/>
    </row>
    <row r="2473" spans="2:2" x14ac:dyDescent="0.25">
      <c r="B2473" s="64"/>
    </row>
    <row r="2474" spans="2:2" x14ac:dyDescent="0.25">
      <c r="B2474" s="64"/>
    </row>
    <row r="2475" spans="2:2" x14ac:dyDescent="0.25">
      <c r="B2475" s="64"/>
    </row>
    <row r="2476" spans="2:2" x14ac:dyDescent="0.25">
      <c r="B2476" s="64"/>
    </row>
    <row r="2477" spans="2:2" x14ac:dyDescent="0.25">
      <c r="B2477" s="64"/>
    </row>
    <row r="2478" spans="2:2" x14ac:dyDescent="0.25">
      <c r="B2478" s="64"/>
    </row>
    <row r="2479" spans="2:2" x14ac:dyDescent="0.25">
      <c r="B2479" s="64"/>
    </row>
    <row r="2480" spans="2:2" x14ac:dyDescent="0.25">
      <c r="B2480" s="64"/>
    </row>
    <row r="2481" spans="2:2" x14ac:dyDescent="0.25">
      <c r="B2481" s="64"/>
    </row>
    <row r="2482" spans="2:2" x14ac:dyDescent="0.25">
      <c r="B2482" s="64"/>
    </row>
    <row r="2483" spans="2:2" x14ac:dyDescent="0.25">
      <c r="B2483" s="64"/>
    </row>
    <row r="2484" spans="2:2" x14ac:dyDescent="0.25">
      <c r="B2484" s="64"/>
    </row>
    <row r="2485" spans="2:2" x14ac:dyDescent="0.25">
      <c r="B2485" s="64"/>
    </row>
    <row r="2486" spans="2:2" x14ac:dyDescent="0.25">
      <c r="B2486" s="64"/>
    </row>
    <row r="2487" spans="2:2" x14ac:dyDescent="0.25">
      <c r="B2487" s="64"/>
    </row>
    <row r="2488" spans="2:2" x14ac:dyDescent="0.25">
      <c r="B2488" s="64"/>
    </row>
    <row r="2489" spans="2:2" x14ac:dyDescent="0.25">
      <c r="B2489" s="64"/>
    </row>
    <row r="2490" spans="2:2" x14ac:dyDescent="0.25">
      <c r="B2490" s="64"/>
    </row>
    <row r="2491" spans="2:2" x14ac:dyDescent="0.25">
      <c r="B2491" s="64"/>
    </row>
    <row r="2492" spans="2:2" x14ac:dyDescent="0.25">
      <c r="B2492" s="64"/>
    </row>
    <row r="2493" spans="2:2" x14ac:dyDescent="0.25">
      <c r="B2493" s="64"/>
    </row>
    <row r="2494" spans="2:2" x14ac:dyDescent="0.25">
      <c r="B2494" s="64"/>
    </row>
    <row r="2495" spans="2:2" x14ac:dyDescent="0.25">
      <c r="B2495" s="64"/>
    </row>
    <row r="2496" spans="2:2" x14ac:dyDescent="0.25">
      <c r="B2496" s="64"/>
    </row>
    <row r="2497" spans="2:2" x14ac:dyDescent="0.25">
      <c r="B2497" s="64"/>
    </row>
    <row r="2498" spans="2:2" x14ac:dyDescent="0.25">
      <c r="B2498" s="64"/>
    </row>
    <row r="2499" spans="2:2" x14ac:dyDescent="0.25">
      <c r="B2499" s="64"/>
    </row>
    <row r="2500" spans="2:2" x14ac:dyDescent="0.25">
      <c r="B2500" s="64"/>
    </row>
    <row r="2501" spans="2:2" x14ac:dyDescent="0.25">
      <c r="B2501" s="64"/>
    </row>
    <row r="2502" spans="2:2" x14ac:dyDescent="0.25">
      <c r="B2502" s="64"/>
    </row>
    <row r="2503" spans="2:2" x14ac:dyDescent="0.25">
      <c r="B2503" s="64"/>
    </row>
    <row r="2504" spans="2:2" x14ac:dyDescent="0.25">
      <c r="B2504" s="64"/>
    </row>
    <row r="2505" spans="2:2" x14ac:dyDescent="0.25">
      <c r="B2505" s="64"/>
    </row>
    <row r="2506" spans="2:2" x14ac:dyDescent="0.25">
      <c r="B2506" s="64"/>
    </row>
    <row r="2507" spans="2:2" x14ac:dyDescent="0.25">
      <c r="B2507" s="64"/>
    </row>
    <row r="2508" spans="2:2" x14ac:dyDescent="0.25">
      <c r="B2508" s="64"/>
    </row>
    <row r="2509" spans="2:2" x14ac:dyDescent="0.25">
      <c r="B2509" s="64"/>
    </row>
    <row r="2510" spans="2:2" x14ac:dyDescent="0.25">
      <c r="B2510" s="64"/>
    </row>
    <row r="2511" spans="2:2" x14ac:dyDescent="0.25">
      <c r="B2511" s="64"/>
    </row>
    <row r="2512" spans="2:2" x14ac:dyDescent="0.25">
      <c r="B2512" s="64"/>
    </row>
    <row r="2513" spans="2:2" x14ac:dyDescent="0.25">
      <c r="B2513" s="64"/>
    </row>
    <row r="2514" spans="2:2" x14ac:dyDescent="0.25">
      <c r="B2514" s="64"/>
    </row>
    <row r="2515" spans="2:2" x14ac:dyDescent="0.25">
      <c r="B2515" s="64"/>
    </row>
    <row r="2516" spans="2:2" x14ac:dyDescent="0.25">
      <c r="B2516" s="64"/>
    </row>
    <row r="2517" spans="2:2" x14ac:dyDescent="0.25">
      <c r="B2517" s="64"/>
    </row>
    <row r="2518" spans="2:2" x14ac:dyDescent="0.25">
      <c r="B2518" s="64"/>
    </row>
    <row r="2519" spans="2:2" x14ac:dyDescent="0.25">
      <c r="B2519" s="64"/>
    </row>
    <row r="2520" spans="2:2" x14ac:dyDescent="0.25">
      <c r="B2520" s="64"/>
    </row>
    <row r="2521" spans="2:2" x14ac:dyDescent="0.25">
      <c r="B2521" s="64"/>
    </row>
    <row r="2522" spans="2:2" x14ac:dyDescent="0.25">
      <c r="B2522" s="64"/>
    </row>
    <row r="2523" spans="2:2" x14ac:dyDescent="0.25">
      <c r="B2523" s="64"/>
    </row>
    <row r="2524" spans="2:2" x14ac:dyDescent="0.25">
      <c r="B2524" s="64"/>
    </row>
    <row r="2525" spans="2:2" x14ac:dyDescent="0.25">
      <c r="B2525" s="64"/>
    </row>
    <row r="2526" spans="2:2" x14ac:dyDescent="0.25">
      <c r="B2526" s="64"/>
    </row>
    <row r="2527" spans="2:2" x14ac:dyDescent="0.25">
      <c r="B2527" s="64"/>
    </row>
    <row r="2528" spans="2:2" x14ac:dyDescent="0.25">
      <c r="B2528" s="64"/>
    </row>
    <row r="2529" spans="2:2" x14ac:dyDescent="0.25">
      <c r="B2529" s="64"/>
    </row>
    <row r="2530" spans="2:2" x14ac:dyDescent="0.25">
      <c r="B2530" s="64"/>
    </row>
    <row r="2531" spans="2:2" x14ac:dyDescent="0.25">
      <c r="B2531" s="64"/>
    </row>
    <row r="2532" spans="2:2" x14ac:dyDescent="0.25">
      <c r="B2532" s="64"/>
    </row>
    <row r="2533" spans="2:2" x14ac:dyDescent="0.25">
      <c r="B2533" s="64"/>
    </row>
    <row r="2534" spans="2:2" x14ac:dyDescent="0.25">
      <c r="B2534" s="64"/>
    </row>
    <row r="2535" spans="2:2" x14ac:dyDescent="0.25">
      <c r="B2535" s="64"/>
    </row>
    <row r="2536" spans="2:2" x14ac:dyDescent="0.25">
      <c r="B2536" s="64"/>
    </row>
    <row r="2537" spans="2:2" x14ac:dyDescent="0.25">
      <c r="B2537" s="64"/>
    </row>
    <row r="2538" spans="2:2" x14ac:dyDescent="0.25">
      <c r="B2538" s="64"/>
    </row>
    <row r="2539" spans="2:2" x14ac:dyDescent="0.25">
      <c r="B2539" s="64"/>
    </row>
    <row r="2540" spans="2:2" x14ac:dyDescent="0.25">
      <c r="B2540" s="64"/>
    </row>
    <row r="2541" spans="2:2" x14ac:dyDescent="0.25">
      <c r="B2541" s="64"/>
    </row>
    <row r="2542" spans="2:2" x14ac:dyDescent="0.25">
      <c r="B2542" s="64"/>
    </row>
    <row r="2543" spans="2:2" x14ac:dyDescent="0.25">
      <c r="B2543" s="64"/>
    </row>
    <row r="2544" spans="2:2" x14ac:dyDescent="0.25">
      <c r="B2544" s="64"/>
    </row>
    <row r="2545" spans="2:2" x14ac:dyDescent="0.25">
      <c r="B2545" s="64"/>
    </row>
    <row r="2546" spans="2:2" x14ac:dyDescent="0.25">
      <c r="B2546" s="64"/>
    </row>
    <row r="2547" spans="2:2" x14ac:dyDescent="0.25">
      <c r="B2547" s="64"/>
    </row>
    <row r="2548" spans="2:2" x14ac:dyDescent="0.25">
      <c r="B2548" s="64"/>
    </row>
    <row r="2549" spans="2:2" x14ac:dyDescent="0.25">
      <c r="B2549" s="64"/>
    </row>
    <row r="2550" spans="2:2" x14ac:dyDescent="0.25">
      <c r="B2550" s="64"/>
    </row>
    <row r="2551" spans="2:2" x14ac:dyDescent="0.25">
      <c r="B2551" s="64"/>
    </row>
    <row r="2552" spans="2:2" x14ac:dyDescent="0.25">
      <c r="B2552" s="64"/>
    </row>
    <row r="2553" spans="2:2" x14ac:dyDescent="0.25">
      <c r="B2553" s="64"/>
    </row>
    <row r="2554" spans="2:2" x14ac:dyDescent="0.25">
      <c r="B2554" s="64"/>
    </row>
    <row r="2555" spans="2:2" x14ac:dyDescent="0.25">
      <c r="B2555" s="64"/>
    </row>
    <row r="2556" spans="2:2" x14ac:dyDescent="0.25">
      <c r="B2556" s="64"/>
    </row>
    <row r="2557" spans="2:2" x14ac:dyDescent="0.25">
      <c r="B2557" s="64"/>
    </row>
    <row r="2558" spans="2:2" x14ac:dyDescent="0.25">
      <c r="B2558" s="64"/>
    </row>
    <row r="2559" spans="2:2" x14ac:dyDescent="0.25">
      <c r="B2559" s="64"/>
    </row>
    <row r="2560" spans="2:2" x14ac:dyDescent="0.25">
      <c r="B2560" s="64"/>
    </row>
    <row r="2561" spans="2:2" x14ac:dyDescent="0.25">
      <c r="B2561" s="64"/>
    </row>
    <row r="2562" spans="2:2" x14ac:dyDescent="0.25">
      <c r="B2562" s="64"/>
    </row>
    <row r="2563" spans="2:2" x14ac:dyDescent="0.25">
      <c r="B2563" s="64"/>
    </row>
    <row r="2564" spans="2:2" x14ac:dyDescent="0.25">
      <c r="B2564" s="64"/>
    </row>
    <row r="2565" spans="2:2" x14ac:dyDescent="0.25">
      <c r="B2565" s="64"/>
    </row>
    <row r="2566" spans="2:2" x14ac:dyDescent="0.25">
      <c r="B2566" s="64"/>
    </row>
    <row r="2567" spans="2:2" x14ac:dyDescent="0.25">
      <c r="B2567" s="64"/>
    </row>
    <row r="2568" spans="2:2" x14ac:dyDescent="0.25">
      <c r="B2568" s="64"/>
    </row>
    <row r="2569" spans="2:2" x14ac:dyDescent="0.25">
      <c r="B2569" s="64"/>
    </row>
    <row r="2570" spans="2:2" x14ac:dyDescent="0.25">
      <c r="B2570" s="64"/>
    </row>
    <row r="2571" spans="2:2" x14ac:dyDescent="0.25">
      <c r="B2571" s="64"/>
    </row>
    <row r="2572" spans="2:2" x14ac:dyDescent="0.25">
      <c r="B2572" s="64"/>
    </row>
    <row r="2573" spans="2:2" x14ac:dyDescent="0.25">
      <c r="B2573" s="64"/>
    </row>
    <row r="2574" spans="2:2" x14ac:dyDescent="0.25">
      <c r="B2574" s="64"/>
    </row>
    <row r="2575" spans="2:2" x14ac:dyDescent="0.25">
      <c r="B2575" s="64"/>
    </row>
    <row r="2576" spans="2:2" x14ac:dyDescent="0.25">
      <c r="B2576" s="64"/>
    </row>
    <row r="2577" spans="2:2" x14ac:dyDescent="0.25">
      <c r="B2577" s="64"/>
    </row>
    <row r="2578" spans="2:2" x14ac:dyDescent="0.25">
      <c r="B2578" s="64"/>
    </row>
    <row r="2579" spans="2:2" x14ac:dyDescent="0.25">
      <c r="B2579" s="64"/>
    </row>
    <row r="2580" spans="2:2" x14ac:dyDescent="0.25">
      <c r="B2580" s="64"/>
    </row>
    <row r="2581" spans="2:2" x14ac:dyDescent="0.25">
      <c r="B2581" s="64"/>
    </row>
    <row r="2582" spans="2:2" x14ac:dyDescent="0.25">
      <c r="B2582" s="64"/>
    </row>
    <row r="2583" spans="2:2" x14ac:dyDescent="0.25">
      <c r="B2583" s="64"/>
    </row>
    <row r="2584" spans="2:2" x14ac:dyDescent="0.25">
      <c r="B2584" s="64"/>
    </row>
    <row r="2585" spans="2:2" x14ac:dyDescent="0.25">
      <c r="B2585" s="64"/>
    </row>
    <row r="2586" spans="2:2" x14ac:dyDescent="0.25">
      <c r="B2586" s="64"/>
    </row>
    <row r="2587" spans="2:2" x14ac:dyDescent="0.25">
      <c r="B2587" s="64"/>
    </row>
    <row r="2588" spans="2:2" x14ac:dyDescent="0.25">
      <c r="B2588" s="64"/>
    </row>
    <row r="2589" spans="2:2" x14ac:dyDescent="0.25">
      <c r="B2589" s="64"/>
    </row>
    <row r="2590" spans="2:2" x14ac:dyDescent="0.25">
      <c r="B2590" s="64"/>
    </row>
    <row r="2591" spans="2:2" x14ac:dyDescent="0.25">
      <c r="B2591" s="64"/>
    </row>
    <row r="2592" spans="2:2" x14ac:dyDescent="0.25">
      <c r="B2592" s="64"/>
    </row>
    <row r="2593" spans="2:2" x14ac:dyDescent="0.25">
      <c r="B2593" s="64"/>
    </row>
    <row r="2594" spans="2:2" x14ac:dyDescent="0.25">
      <c r="B2594" s="64"/>
    </row>
    <row r="2595" spans="2:2" x14ac:dyDescent="0.25">
      <c r="B2595" s="64"/>
    </row>
    <row r="2596" spans="2:2" x14ac:dyDescent="0.25">
      <c r="B2596" s="64"/>
    </row>
    <row r="2597" spans="2:2" x14ac:dyDescent="0.25">
      <c r="B2597" s="64"/>
    </row>
    <row r="2598" spans="2:2" x14ac:dyDescent="0.25">
      <c r="B2598" s="64"/>
    </row>
    <row r="2599" spans="2:2" x14ac:dyDescent="0.25">
      <c r="B2599" s="64"/>
    </row>
    <row r="2600" spans="2:2" x14ac:dyDescent="0.25">
      <c r="B2600" s="64"/>
    </row>
    <row r="2601" spans="2:2" x14ac:dyDescent="0.25">
      <c r="B2601" s="64"/>
    </row>
    <row r="2602" spans="2:2" x14ac:dyDescent="0.25">
      <c r="B2602" s="64"/>
    </row>
    <row r="2603" spans="2:2" x14ac:dyDescent="0.25">
      <c r="B2603" s="64"/>
    </row>
    <row r="2604" spans="2:2" x14ac:dyDescent="0.25">
      <c r="B2604" s="64"/>
    </row>
    <row r="2605" spans="2:2" x14ac:dyDescent="0.25">
      <c r="B2605" s="64"/>
    </row>
    <row r="2606" spans="2:2" x14ac:dyDescent="0.25">
      <c r="B2606" s="64"/>
    </row>
    <row r="2607" spans="2:2" x14ac:dyDescent="0.25">
      <c r="B2607" s="64"/>
    </row>
    <row r="2608" spans="2:2" x14ac:dyDescent="0.25">
      <c r="B2608" s="64"/>
    </row>
    <row r="2609" spans="2:2" x14ac:dyDescent="0.25">
      <c r="B2609" s="64"/>
    </row>
    <row r="2610" spans="2:2" x14ac:dyDescent="0.25">
      <c r="B2610" s="64"/>
    </row>
    <row r="2611" spans="2:2" x14ac:dyDescent="0.25">
      <c r="B2611" s="64"/>
    </row>
    <row r="2612" spans="2:2" x14ac:dyDescent="0.25">
      <c r="B2612" s="64"/>
    </row>
    <row r="2613" spans="2:2" x14ac:dyDescent="0.25">
      <c r="B2613" s="64"/>
    </row>
    <row r="2614" spans="2:2" x14ac:dyDescent="0.25">
      <c r="B2614" s="64"/>
    </row>
    <row r="2615" spans="2:2" x14ac:dyDescent="0.25">
      <c r="B2615" s="64"/>
    </row>
    <row r="2616" spans="2:2" x14ac:dyDescent="0.25">
      <c r="B2616" s="64"/>
    </row>
    <row r="2617" spans="2:2" x14ac:dyDescent="0.25">
      <c r="B2617" s="64"/>
    </row>
    <row r="2618" spans="2:2" x14ac:dyDescent="0.25">
      <c r="B2618" s="64"/>
    </row>
    <row r="2619" spans="2:2" x14ac:dyDescent="0.25">
      <c r="B2619" s="64"/>
    </row>
    <row r="2620" spans="2:2" x14ac:dyDescent="0.25">
      <c r="B2620" s="64"/>
    </row>
    <row r="2621" spans="2:2" x14ac:dyDescent="0.25">
      <c r="B2621" s="64"/>
    </row>
    <row r="2622" spans="2:2" x14ac:dyDescent="0.25">
      <c r="B2622" s="64"/>
    </row>
    <row r="2623" spans="2:2" x14ac:dyDescent="0.25">
      <c r="B2623" s="64"/>
    </row>
    <row r="2624" spans="2:2" x14ac:dyDescent="0.25">
      <c r="B2624" s="64"/>
    </row>
    <row r="2625" spans="2:2" x14ac:dyDescent="0.25">
      <c r="B2625" s="64"/>
    </row>
    <row r="2626" spans="2:2" x14ac:dyDescent="0.25">
      <c r="B2626" s="64"/>
    </row>
    <row r="2627" spans="2:2" x14ac:dyDescent="0.25">
      <c r="B2627" s="64"/>
    </row>
    <row r="2628" spans="2:2" x14ac:dyDescent="0.25">
      <c r="B2628" s="64"/>
    </row>
    <row r="2629" spans="2:2" x14ac:dyDescent="0.25">
      <c r="B2629" s="64"/>
    </row>
    <row r="2630" spans="2:2" x14ac:dyDescent="0.25">
      <c r="B2630" s="64"/>
    </row>
    <row r="2631" spans="2:2" x14ac:dyDescent="0.25">
      <c r="B2631" s="64"/>
    </row>
    <row r="2632" spans="2:2" x14ac:dyDescent="0.25">
      <c r="B2632" s="64"/>
    </row>
    <row r="2633" spans="2:2" x14ac:dyDescent="0.25">
      <c r="B2633" s="64"/>
    </row>
    <row r="2634" spans="2:2" x14ac:dyDescent="0.25">
      <c r="B2634" s="64"/>
    </row>
    <row r="2635" spans="2:2" x14ac:dyDescent="0.25">
      <c r="B2635" s="64"/>
    </row>
    <row r="2636" spans="2:2" x14ac:dyDescent="0.25">
      <c r="B2636" s="64"/>
    </row>
    <row r="2637" spans="2:2" x14ac:dyDescent="0.25">
      <c r="B2637" s="64"/>
    </row>
    <row r="2638" spans="2:2" x14ac:dyDescent="0.25">
      <c r="B2638" s="64"/>
    </row>
    <row r="2639" spans="2:2" x14ac:dyDescent="0.25">
      <c r="B2639" s="64"/>
    </row>
    <row r="2640" spans="2:2" x14ac:dyDescent="0.25">
      <c r="B2640" s="64"/>
    </row>
    <row r="2641" spans="2:2" x14ac:dyDescent="0.25">
      <c r="B2641" s="64"/>
    </row>
    <row r="2642" spans="2:2" x14ac:dyDescent="0.25">
      <c r="B2642" s="64"/>
    </row>
    <row r="2643" spans="2:2" x14ac:dyDescent="0.25">
      <c r="B2643" s="64"/>
    </row>
    <row r="2644" spans="2:2" x14ac:dyDescent="0.25">
      <c r="B2644" s="64"/>
    </row>
    <row r="2645" spans="2:2" x14ac:dyDescent="0.25">
      <c r="B2645" s="64"/>
    </row>
    <row r="2646" spans="2:2" x14ac:dyDescent="0.25">
      <c r="B2646" s="64"/>
    </row>
    <row r="2647" spans="2:2" x14ac:dyDescent="0.25">
      <c r="B2647" s="64"/>
    </row>
    <row r="2648" spans="2:2" x14ac:dyDescent="0.25">
      <c r="B2648" s="64"/>
    </row>
    <row r="2649" spans="2:2" x14ac:dyDescent="0.25">
      <c r="B2649" s="64"/>
    </row>
    <row r="2650" spans="2:2" x14ac:dyDescent="0.25">
      <c r="B2650" s="64"/>
    </row>
    <row r="2651" spans="2:2" x14ac:dyDescent="0.25">
      <c r="B2651" s="64"/>
    </row>
    <row r="2652" spans="2:2" x14ac:dyDescent="0.25">
      <c r="B2652" s="64"/>
    </row>
    <row r="2653" spans="2:2" x14ac:dyDescent="0.25">
      <c r="B2653" s="64"/>
    </row>
    <row r="2654" spans="2:2" x14ac:dyDescent="0.25">
      <c r="B2654" s="64"/>
    </row>
    <row r="2655" spans="2:2" x14ac:dyDescent="0.25">
      <c r="B2655" s="64"/>
    </row>
    <row r="2656" spans="2:2" x14ac:dyDescent="0.25">
      <c r="B2656" s="64"/>
    </row>
    <row r="2657" spans="2:2" x14ac:dyDescent="0.25">
      <c r="B2657" s="64"/>
    </row>
    <row r="2658" spans="2:2" x14ac:dyDescent="0.25">
      <c r="B2658" s="64"/>
    </row>
    <row r="2659" spans="2:2" x14ac:dyDescent="0.25">
      <c r="B2659" s="64"/>
    </row>
    <row r="2660" spans="2:2" x14ac:dyDescent="0.25">
      <c r="B2660" s="64"/>
    </row>
    <row r="2661" spans="2:2" x14ac:dyDescent="0.25">
      <c r="B2661" s="64"/>
    </row>
    <row r="2662" spans="2:2" x14ac:dyDescent="0.25">
      <c r="B2662" s="64"/>
    </row>
    <row r="2663" spans="2:2" x14ac:dyDescent="0.25">
      <c r="B2663" s="64"/>
    </row>
    <row r="2664" spans="2:2" x14ac:dyDescent="0.25">
      <c r="B2664" s="64"/>
    </row>
    <row r="2665" spans="2:2" x14ac:dyDescent="0.25">
      <c r="B2665" s="64"/>
    </row>
    <row r="2666" spans="2:2" x14ac:dyDescent="0.25">
      <c r="B2666" s="64"/>
    </row>
    <row r="2667" spans="2:2" x14ac:dyDescent="0.25">
      <c r="B2667" s="64"/>
    </row>
    <row r="2668" spans="2:2" x14ac:dyDescent="0.25">
      <c r="B2668" s="64"/>
    </row>
    <row r="2669" spans="2:2" x14ac:dyDescent="0.25">
      <c r="B2669" s="64"/>
    </row>
    <row r="2670" spans="2:2" x14ac:dyDescent="0.25">
      <c r="B2670" s="64"/>
    </row>
    <row r="2671" spans="2:2" x14ac:dyDescent="0.25">
      <c r="B2671" s="64"/>
    </row>
    <row r="2672" spans="2:2" x14ac:dyDescent="0.25">
      <c r="B2672" s="64"/>
    </row>
    <row r="2673" spans="2:2" x14ac:dyDescent="0.25">
      <c r="B2673" s="64"/>
    </row>
    <row r="2674" spans="2:2" x14ac:dyDescent="0.25">
      <c r="B2674" s="64"/>
    </row>
    <row r="2675" spans="2:2" x14ac:dyDescent="0.25">
      <c r="B2675" s="64"/>
    </row>
    <row r="2676" spans="2:2" x14ac:dyDescent="0.25">
      <c r="B2676" s="64"/>
    </row>
    <row r="2677" spans="2:2" x14ac:dyDescent="0.25">
      <c r="B2677" s="64"/>
    </row>
    <row r="2678" spans="2:2" x14ac:dyDescent="0.25">
      <c r="B2678" s="64"/>
    </row>
    <row r="2679" spans="2:2" x14ac:dyDescent="0.25">
      <c r="B2679" s="64"/>
    </row>
    <row r="2680" spans="2:2" x14ac:dyDescent="0.25">
      <c r="B2680" s="64"/>
    </row>
    <row r="2681" spans="2:2" x14ac:dyDescent="0.25">
      <c r="B2681" s="64"/>
    </row>
    <row r="2682" spans="2:2" x14ac:dyDescent="0.25">
      <c r="B2682" s="64"/>
    </row>
    <row r="2683" spans="2:2" x14ac:dyDescent="0.25">
      <c r="B2683" s="64"/>
    </row>
    <row r="2684" spans="2:2" x14ac:dyDescent="0.25">
      <c r="B2684" s="64"/>
    </row>
    <row r="2685" spans="2:2" x14ac:dyDescent="0.25">
      <c r="B2685" s="64"/>
    </row>
    <row r="2686" spans="2:2" x14ac:dyDescent="0.25">
      <c r="B2686" s="64"/>
    </row>
    <row r="2687" spans="2:2" x14ac:dyDescent="0.25">
      <c r="B2687" s="64"/>
    </row>
    <row r="2688" spans="2:2" x14ac:dyDescent="0.25">
      <c r="B2688" s="64"/>
    </row>
    <row r="2689" spans="2:2" x14ac:dyDescent="0.25">
      <c r="B2689" s="64"/>
    </row>
    <row r="2690" spans="2:2" x14ac:dyDescent="0.25">
      <c r="B2690" s="64"/>
    </row>
    <row r="2691" spans="2:2" x14ac:dyDescent="0.25">
      <c r="B2691" s="64"/>
    </row>
    <row r="2692" spans="2:2" x14ac:dyDescent="0.25">
      <c r="B2692" s="64"/>
    </row>
    <row r="2693" spans="2:2" x14ac:dyDescent="0.25">
      <c r="B2693" s="64"/>
    </row>
    <row r="2694" spans="2:2" x14ac:dyDescent="0.25">
      <c r="B2694" s="64"/>
    </row>
    <row r="2695" spans="2:2" x14ac:dyDescent="0.25">
      <c r="B2695" s="64"/>
    </row>
    <row r="2696" spans="2:2" x14ac:dyDescent="0.25">
      <c r="B2696" s="64"/>
    </row>
    <row r="2697" spans="2:2" x14ac:dyDescent="0.25">
      <c r="B2697" s="64"/>
    </row>
    <row r="2698" spans="2:2" x14ac:dyDescent="0.25">
      <c r="B2698" s="64"/>
    </row>
    <row r="2699" spans="2:2" x14ac:dyDescent="0.25">
      <c r="B2699" s="64"/>
    </row>
    <row r="2700" spans="2:2" x14ac:dyDescent="0.25">
      <c r="B2700" s="64"/>
    </row>
    <row r="2701" spans="2:2" x14ac:dyDescent="0.25">
      <c r="B2701" s="64"/>
    </row>
    <row r="2702" spans="2:2" x14ac:dyDescent="0.25">
      <c r="B2702" s="64"/>
    </row>
    <row r="2703" spans="2:2" x14ac:dyDescent="0.25">
      <c r="B2703" s="64"/>
    </row>
    <row r="2704" spans="2:2" x14ac:dyDescent="0.25">
      <c r="B2704" s="64"/>
    </row>
    <row r="2705" spans="2:2" x14ac:dyDescent="0.25">
      <c r="B2705" s="64"/>
    </row>
    <row r="2706" spans="2:2" x14ac:dyDescent="0.25">
      <c r="B2706" s="64"/>
    </row>
    <row r="2707" spans="2:2" x14ac:dyDescent="0.25">
      <c r="B2707" s="64"/>
    </row>
    <row r="2708" spans="2:2" x14ac:dyDescent="0.25">
      <c r="B2708" s="64"/>
    </row>
    <row r="2709" spans="2:2" x14ac:dyDescent="0.25">
      <c r="B2709" s="64"/>
    </row>
    <row r="2710" spans="2:2" x14ac:dyDescent="0.25">
      <c r="B2710" s="64"/>
    </row>
    <row r="2711" spans="2:2" x14ac:dyDescent="0.25">
      <c r="B2711" s="64"/>
    </row>
    <row r="2712" spans="2:2" x14ac:dyDescent="0.25">
      <c r="B2712" s="64"/>
    </row>
    <row r="2713" spans="2:2" x14ac:dyDescent="0.25">
      <c r="B2713" s="64"/>
    </row>
    <row r="2714" spans="2:2" x14ac:dyDescent="0.25">
      <c r="B2714" s="64"/>
    </row>
    <row r="2715" spans="2:2" x14ac:dyDescent="0.25">
      <c r="B2715" s="64"/>
    </row>
    <row r="2716" spans="2:2" x14ac:dyDescent="0.25">
      <c r="B2716" s="64"/>
    </row>
    <row r="2717" spans="2:2" x14ac:dyDescent="0.25">
      <c r="B2717" s="64"/>
    </row>
    <row r="2718" spans="2:2" x14ac:dyDescent="0.25">
      <c r="B2718" s="64"/>
    </row>
    <row r="2719" spans="2:2" x14ac:dyDescent="0.25">
      <c r="B2719" s="64"/>
    </row>
    <row r="2720" spans="2:2" x14ac:dyDescent="0.25">
      <c r="B2720" s="64"/>
    </row>
    <row r="2721" spans="2:2" x14ac:dyDescent="0.25">
      <c r="B2721" s="64"/>
    </row>
    <row r="2722" spans="2:2" x14ac:dyDescent="0.25">
      <c r="B2722" s="64"/>
    </row>
    <row r="2723" spans="2:2" x14ac:dyDescent="0.25">
      <c r="B2723" s="64"/>
    </row>
    <row r="2724" spans="2:2" x14ac:dyDescent="0.25">
      <c r="B2724" s="64"/>
    </row>
    <row r="2725" spans="2:2" x14ac:dyDescent="0.25">
      <c r="B2725" s="64"/>
    </row>
    <row r="2726" spans="2:2" x14ac:dyDescent="0.25">
      <c r="B2726" s="64"/>
    </row>
    <row r="2727" spans="2:2" x14ac:dyDescent="0.25">
      <c r="B2727" s="64"/>
    </row>
    <row r="2728" spans="2:2" x14ac:dyDescent="0.25">
      <c r="B2728" s="64"/>
    </row>
    <row r="2729" spans="2:2" x14ac:dyDescent="0.25">
      <c r="B2729" s="64"/>
    </row>
    <row r="2730" spans="2:2" x14ac:dyDescent="0.25">
      <c r="B2730" s="64"/>
    </row>
    <row r="2731" spans="2:2" x14ac:dyDescent="0.25">
      <c r="B2731" s="64"/>
    </row>
    <row r="2732" spans="2:2" x14ac:dyDescent="0.25">
      <c r="B2732" s="64"/>
    </row>
    <row r="2733" spans="2:2" x14ac:dyDescent="0.25">
      <c r="B2733" s="64"/>
    </row>
    <row r="2734" spans="2:2" x14ac:dyDescent="0.25">
      <c r="B2734" s="64"/>
    </row>
    <row r="2735" spans="2:2" x14ac:dyDescent="0.25">
      <c r="B2735" s="64"/>
    </row>
    <row r="2736" spans="2:2" x14ac:dyDescent="0.25">
      <c r="B2736" s="64"/>
    </row>
    <row r="2737" spans="2:2" x14ac:dyDescent="0.25">
      <c r="B2737" s="64"/>
    </row>
    <row r="2738" spans="2:2" x14ac:dyDescent="0.25">
      <c r="B2738" s="64"/>
    </row>
    <row r="2739" spans="2:2" x14ac:dyDescent="0.25">
      <c r="B2739" s="64"/>
    </row>
    <row r="2740" spans="2:2" x14ac:dyDescent="0.25">
      <c r="B2740" s="64"/>
    </row>
    <row r="2741" spans="2:2" x14ac:dyDescent="0.25">
      <c r="B2741" s="64"/>
    </row>
    <row r="2742" spans="2:2" x14ac:dyDescent="0.25">
      <c r="B2742" s="64"/>
    </row>
    <row r="2743" spans="2:2" x14ac:dyDescent="0.25">
      <c r="B2743" s="64"/>
    </row>
    <row r="2744" spans="2:2" x14ac:dyDescent="0.25">
      <c r="B2744" s="64"/>
    </row>
    <row r="2745" spans="2:2" x14ac:dyDescent="0.25">
      <c r="B2745" s="64"/>
    </row>
    <row r="2746" spans="2:2" x14ac:dyDescent="0.25">
      <c r="B2746" s="64"/>
    </row>
    <row r="2747" spans="2:2" x14ac:dyDescent="0.25">
      <c r="B2747" s="64"/>
    </row>
    <row r="2748" spans="2:2" x14ac:dyDescent="0.25">
      <c r="B2748" s="64"/>
    </row>
    <row r="2749" spans="2:2" x14ac:dyDescent="0.25">
      <c r="B2749" s="64"/>
    </row>
    <row r="2750" spans="2:2" x14ac:dyDescent="0.25">
      <c r="B2750" s="64"/>
    </row>
    <row r="2751" spans="2:2" x14ac:dyDescent="0.25">
      <c r="B2751" s="64"/>
    </row>
    <row r="2752" spans="2:2" x14ac:dyDescent="0.25">
      <c r="B2752" s="64"/>
    </row>
    <row r="2753" spans="2:2" x14ac:dyDescent="0.25">
      <c r="B2753" s="64"/>
    </row>
    <row r="2754" spans="2:2" x14ac:dyDescent="0.25">
      <c r="B2754" s="64"/>
    </row>
    <row r="2755" spans="2:2" x14ac:dyDescent="0.25">
      <c r="B2755" s="64"/>
    </row>
    <row r="2756" spans="2:2" x14ac:dyDescent="0.25">
      <c r="B2756" s="64"/>
    </row>
    <row r="2757" spans="2:2" x14ac:dyDescent="0.25">
      <c r="B2757" s="64"/>
    </row>
    <row r="2758" spans="2:2" x14ac:dyDescent="0.25">
      <c r="B2758" s="64"/>
    </row>
    <row r="2759" spans="2:2" x14ac:dyDescent="0.25">
      <c r="B2759" s="64"/>
    </row>
    <row r="2760" spans="2:2" x14ac:dyDescent="0.25">
      <c r="B2760" s="64"/>
    </row>
    <row r="2761" spans="2:2" x14ac:dyDescent="0.25">
      <c r="B2761" s="64"/>
    </row>
    <row r="2762" spans="2:2" x14ac:dyDescent="0.25">
      <c r="B2762" s="64"/>
    </row>
    <row r="2763" spans="2:2" x14ac:dyDescent="0.25">
      <c r="B2763" s="64"/>
    </row>
    <row r="2764" spans="2:2" x14ac:dyDescent="0.25">
      <c r="B2764" s="64"/>
    </row>
    <row r="2765" spans="2:2" x14ac:dyDescent="0.25">
      <c r="B2765" s="64"/>
    </row>
    <row r="2766" spans="2:2" x14ac:dyDescent="0.25">
      <c r="B2766" s="64"/>
    </row>
    <row r="2767" spans="2:2" x14ac:dyDescent="0.25">
      <c r="B2767" s="64"/>
    </row>
    <row r="2768" spans="2:2" x14ac:dyDescent="0.25">
      <c r="B2768" s="64"/>
    </row>
    <row r="2769" spans="2:2" x14ac:dyDescent="0.25">
      <c r="B2769" s="64"/>
    </row>
    <row r="2770" spans="2:2" x14ac:dyDescent="0.25">
      <c r="B2770" s="64"/>
    </row>
    <row r="2771" spans="2:2" x14ac:dyDescent="0.25">
      <c r="B2771" s="64"/>
    </row>
    <row r="2772" spans="2:2" x14ac:dyDescent="0.25">
      <c r="B2772" s="64"/>
    </row>
    <row r="2773" spans="2:2" x14ac:dyDescent="0.25">
      <c r="B2773" s="64"/>
    </row>
    <row r="2774" spans="2:2" x14ac:dyDescent="0.25">
      <c r="B2774" s="64"/>
    </row>
    <row r="2775" spans="2:2" x14ac:dyDescent="0.25">
      <c r="B2775" s="64"/>
    </row>
    <row r="2776" spans="2:2" x14ac:dyDescent="0.25">
      <c r="B2776" s="64"/>
    </row>
    <row r="2777" spans="2:2" x14ac:dyDescent="0.25">
      <c r="B2777" s="64"/>
    </row>
    <row r="2778" spans="2:2" x14ac:dyDescent="0.25">
      <c r="B2778" s="64"/>
    </row>
    <row r="2779" spans="2:2" x14ac:dyDescent="0.25">
      <c r="B2779" s="64"/>
    </row>
    <row r="2780" spans="2:2" x14ac:dyDescent="0.25">
      <c r="B2780" s="64"/>
    </row>
    <row r="2781" spans="2:2" x14ac:dyDescent="0.25">
      <c r="B2781" s="64"/>
    </row>
    <row r="2782" spans="2:2" x14ac:dyDescent="0.25">
      <c r="B2782" s="64"/>
    </row>
    <row r="2783" spans="2:2" x14ac:dyDescent="0.25">
      <c r="B2783" s="64"/>
    </row>
    <row r="2784" spans="2:2" x14ac:dyDescent="0.25">
      <c r="B2784" s="64"/>
    </row>
    <row r="2785" spans="2:2" x14ac:dyDescent="0.25">
      <c r="B2785" s="64"/>
    </row>
    <row r="2786" spans="2:2" x14ac:dyDescent="0.25">
      <c r="B2786" s="64"/>
    </row>
    <row r="2787" spans="2:2" x14ac:dyDescent="0.25">
      <c r="B2787" s="64"/>
    </row>
    <row r="2788" spans="2:2" x14ac:dyDescent="0.25">
      <c r="B2788" s="64"/>
    </row>
    <row r="2789" spans="2:2" x14ac:dyDescent="0.25">
      <c r="B2789" s="64"/>
    </row>
    <row r="2790" spans="2:2" x14ac:dyDescent="0.25">
      <c r="B2790" s="64"/>
    </row>
    <row r="2791" spans="2:2" x14ac:dyDescent="0.25">
      <c r="B2791" s="64"/>
    </row>
    <row r="2792" spans="2:2" x14ac:dyDescent="0.25">
      <c r="B2792" s="64"/>
    </row>
    <row r="2793" spans="2:2" x14ac:dyDescent="0.25">
      <c r="B2793" s="64"/>
    </row>
    <row r="2794" spans="2:2" x14ac:dyDescent="0.25">
      <c r="B2794" s="64"/>
    </row>
    <row r="2795" spans="2:2" x14ac:dyDescent="0.25">
      <c r="B2795" s="64"/>
    </row>
    <row r="2796" spans="2:2" x14ac:dyDescent="0.25">
      <c r="B2796" s="64"/>
    </row>
    <row r="2797" spans="2:2" x14ac:dyDescent="0.25">
      <c r="B2797" s="64"/>
    </row>
    <row r="2798" spans="2:2" x14ac:dyDescent="0.25">
      <c r="B2798" s="64"/>
    </row>
    <row r="2799" spans="2:2" x14ac:dyDescent="0.25">
      <c r="B2799" s="64"/>
    </row>
    <row r="2800" spans="2:2" x14ac:dyDescent="0.25">
      <c r="B2800" s="64"/>
    </row>
    <row r="2801" spans="2:2" x14ac:dyDescent="0.25">
      <c r="B2801" s="64"/>
    </row>
    <row r="2802" spans="2:2" x14ac:dyDescent="0.25">
      <c r="B2802" s="64"/>
    </row>
    <row r="2803" spans="2:2" x14ac:dyDescent="0.25">
      <c r="B2803" s="64"/>
    </row>
    <row r="2804" spans="2:2" x14ac:dyDescent="0.25">
      <c r="B2804" s="64"/>
    </row>
    <row r="2805" spans="2:2" x14ac:dyDescent="0.25">
      <c r="B2805" s="64"/>
    </row>
    <row r="2806" spans="2:2" x14ac:dyDescent="0.25">
      <c r="B2806" s="64"/>
    </row>
    <row r="2807" spans="2:2" x14ac:dyDescent="0.25">
      <c r="B2807" s="64"/>
    </row>
    <row r="2808" spans="2:2" x14ac:dyDescent="0.25">
      <c r="B2808" s="64"/>
    </row>
    <row r="2809" spans="2:2" x14ac:dyDescent="0.25">
      <c r="B2809" s="64"/>
    </row>
    <row r="2810" spans="2:2" x14ac:dyDescent="0.25">
      <c r="B2810" s="64"/>
    </row>
    <row r="2811" spans="2:2" x14ac:dyDescent="0.25">
      <c r="B2811" s="64"/>
    </row>
    <row r="2812" spans="2:2" x14ac:dyDescent="0.25">
      <c r="B2812" s="64"/>
    </row>
    <row r="2813" spans="2:2" x14ac:dyDescent="0.25">
      <c r="B2813" s="64"/>
    </row>
    <row r="2814" spans="2:2" x14ac:dyDescent="0.25">
      <c r="B2814" s="64"/>
    </row>
    <row r="2815" spans="2:2" x14ac:dyDescent="0.25">
      <c r="B2815" s="64"/>
    </row>
    <row r="2816" spans="2:2" x14ac:dyDescent="0.25">
      <c r="B2816" s="64"/>
    </row>
    <row r="2817" spans="2:2" x14ac:dyDescent="0.25">
      <c r="B2817" s="64"/>
    </row>
    <row r="2818" spans="2:2" x14ac:dyDescent="0.25">
      <c r="B2818" s="64"/>
    </row>
    <row r="2819" spans="2:2" x14ac:dyDescent="0.25">
      <c r="B2819" s="64"/>
    </row>
    <row r="2820" spans="2:2" x14ac:dyDescent="0.25">
      <c r="B2820" s="64"/>
    </row>
    <row r="2821" spans="2:2" x14ac:dyDescent="0.25">
      <c r="B2821" s="64"/>
    </row>
    <row r="2822" spans="2:2" x14ac:dyDescent="0.25">
      <c r="B2822" s="64"/>
    </row>
    <row r="2823" spans="2:2" x14ac:dyDescent="0.25">
      <c r="B2823" s="64"/>
    </row>
    <row r="2824" spans="2:2" x14ac:dyDescent="0.25">
      <c r="B2824" s="64"/>
    </row>
    <row r="2825" spans="2:2" x14ac:dyDescent="0.25">
      <c r="B2825" s="64"/>
    </row>
    <row r="2826" spans="2:2" x14ac:dyDescent="0.25">
      <c r="B2826" s="64"/>
    </row>
    <row r="2827" spans="2:2" x14ac:dyDescent="0.25">
      <c r="B2827" s="64"/>
    </row>
    <row r="2828" spans="2:2" x14ac:dyDescent="0.25">
      <c r="B2828" s="64"/>
    </row>
    <row r="2829" spans="2:2" x14ac:dyDescent="0.25">
      <c r="B2829" s="64"/>
    </row>
    <row r="2830" spans="2:2" x14ac:dyDescent="0.25">
      <c r="B2830" s="64"/>
    </row>
    <row r="2831" spans="2:2" x14ac:dyDescent="0.25">
      <c r="B2831" s="64"/>
    </row>
    <row r="2832" spans="2:2" x14ac:dyDescent="0.25">
      <c r="B2832" s="64"/>
    </row>
    <row r="2833" spans="2:2" x14ac:dyDescent="0.25">
      <c r="B2833" s="64"/>
    </row>
    <row r="2834" spans="2:2" x14ac:dyDescent="0.25">
      <c r="B2834" s="64"/>
    </row>
    <row r="2835" spans="2:2" x14ac:dyDescent="0.25">
      <c r="B2835" s="64"/>
    </row>
    <row r="2836" spans="2:2" x14ac:dyDescent="0.25">
      <c r="B2836" s="64"/>
    </row>
    <row r="2837" spans="2:2" x14ac:dyDescent="0.25">
      <c r="B2837" s="64"/>
    </row>
    <row r="2838" spans="2:2" x14ac:dyDescent="0.25">
      <c r="B2838" s="64"/>
    </row>
    <row r="2839" spans="2:2" x14ac:dyDescent="0.25">
      <c r="B2839" s="64"/>
    </row>
    <row r="2840" spans="2:2" x14ac:dyDescent="0.25">
      <c r="B2840" s="64"/>
    </row>
    <row r="2841" spans="2:2" x14ac:dyDescent="0.25">
      <c r="B2841" s="64"/>
    </row>
    <row r="2842" spans="2:2" x14ac:dyDescent="0.25">
      <c r="B2842" s="64"/>
    </row>
    <row r="2843" spans="2:2" x14ac:dyDescent="0.25">
      <c r="B2843" s="64"/>
    </row>
    <row r="2844" spans="2:2" x14ac:dyDescent="0.25">
      <c r="B2844" s="64"/>
    </row>
    <row r="2845" spans="2:2" x14ac:dyDescent="0.25">
      <c r="B2845" s="64"/>
    </row>
    <row r="2846" spans="2:2" x14ac:dyDescent="0.25">
      <c r="B2846" s="64"/>
    </row>
    <row r="2847" spans="2:2" x14ac:dyDescent="0.25">
      <c r="B2847" s="64"/>
    </row>
    <row r="2848" spans="2:2" x14ac:dyDescent="0.25">
      <c r="B2848" s="64"/>
    </row>
    <row r="2849" spans="2:2" x14ac:dyDescent="0.25">
      <c r="B2849" s="64"/>
    </row>
    <row r="2850" spans="2:2" x14ac:dyDescent="0.25">
      <c r="B2850" s="6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2AE3E79342C9C4594910B21FC54CBD7" ma:contentTypeVersion="4" ma:contentTypeDescription="Opret et nyt dokument." ma:contentTypeScope="" ma:versionID="c6454e0ec760b52681f34138f2f2037e">
  <xsd:schema xmlns:xsd="http://www.w3.org/2001/XMLSchema" xmlns:xs="http://www.w3.org/2001/XMLSchema" xmlns:p="http://schemas.microsoft.com/office/2006/metadata/properties" xmlns:ns2="0d917aac-e84c-4c69-ad9d-c660476b7a8c" targetNamespace="http://schemas.microsoft.com/office/2006/metadata/properties" ma:root="true" ma:fieldsID="25ac79fc892e51e461de401d235fcc1c" ns2:_="">
    <xsd:import namespace="0d917aac-e84c-4c69-ad9d-c660476b7a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917aac-e84c-4c69-ad9d-c660476b7a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60433C-2084-4117-A352-577DA45AFA45}">
  <ds:schemaRefs>
    <ds:schemaRef ds:uri="0d917aac-e84c-4c69-ad9d-c660476b7a8c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91CA19B-26CF-4B84-B6E4-BA76EB3F69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917aac-e84c-4c69-ad9d-c660476b7a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81C769-2501-4CFD-AD87-7C04A48517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Info</vt:lpstr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  <vt:lpstr>Sheet 16</vt:lpstr>
      <vt:lpstr>Sheet 17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Alter,Tobias</dc:creator>
  <cp:keywords/>
  <dc:description/>
  <cp:lastModifiedBy>Kowalski, Stefanie</cp:lastModifiedBy>
  <cp:revision/>
  <dcterms:created xsi:type="dcterms:W3CDTF">2020-01-28T13:52:41Z</dcterms:created>
  <dcterms:modified xsi:type="dcterms:W3CDTF">2021-02-18T19:49:33Z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0x01010032AE3E79342C9C4594910B21FC54CBD7</vt:lpwstr>
  </property>
</Properties>
</file>