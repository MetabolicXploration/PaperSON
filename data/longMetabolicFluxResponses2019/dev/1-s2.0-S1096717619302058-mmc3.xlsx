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package/2006/relationships/metadata/core-properties" Target="docProps/core.xml"/>
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My Research\Publications\2018 - xxx Flux analysis of 20 Ecoli knockout strains\Submitted to Metab Eng\"/>
    </mc:Choice>
  </mc:AlternateContent>
  <bookViews>
    <workbookView xWindow="0" yWindow="0" windowWidth="2310" windowHeight="702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0" i="1" l="1"/>
  <c r="D50" i="1"/>
  <c r="K50" i="1"/>
  <c r="L50" i="1"/>
  <c r="M50" i="1"/>
  <c r="N50" i="1"/>
  <c r="O50" i="1"/>
  <c r="P50" i="1"/>
  <c r="Q50" i="1"/>
  <c r="R50" i="1"/>
  <c r="S50" i="1"/>
  <c r="T50" i="1"/>
  <c r="U50" i="1"/>
  <c r="V50" i="1"/>
  <c r="E50" i="1"/>
  <c r="F50" i="1"/>
  <c r="G50" i="1"/>
  <c r="H50" i="1"/>
  <c r="I50" i="1"/>
  <c r="J50" i="1"/>
  <c r="B50" i="1"/>
  <c r="C49" i="1" l="1"/>
  <c r="D49" i="1"/>
  <c r="K49" i="1"/>
  <c r="L49" i="1"/>
  <c r="M49" i="1"/>
  <c r="N49" i="1"/>
  <c r="O49" i="1"/>
  <c r="P49" i="1"/>
  <c r="Q49" i="1"/>
  <c r="R49" i="1"/>
  <c r="S49" i="1"/>
  <c r="T49" i="1"/>
  <c r="U49" i="1"/>
  <c r="V49" i="1"/>
  <c r="E49" i="1"/>
  <c r="F49" i="1"/>
  <c r="G49" i="1"/>
  <c r="H49" i="1"/>
  <c r="I49" i="1"/>
  <c r="J49" i="1"/>
  <c r="B49" i="1"/>
  <c r="C21" i="1" l="1"/>
  <c r="D21" i="1"/>
  <c r="K21" i="1"/>
  <c r="L21" i="1"/>
  <c r="M21" i="1"/>
  <c r="N21" i="1"/>
  <c r="O21" i="1"/>
  <c r="P21" i="1"/>
  <c r="Q21" i="1"/>
  <c r="R21" i="1"/>
  <c r="S21" i="1"/>
  <c r="T21" i="1"/>
  <c r="U21" i="1"/>
  <c r="V21" i="1"/>
  <c r="E21" i="1"/>
  <c r="F21" i="1"/>
  <c r="G21" i="1"/>
  <c r="H21" i="1"/>
  <c r="I21" i="1"/>
  <c r="J21" i="1"/>
  <c r="B21" i="1"/>
  <c r="C8" i="1"/>
  <c r="D8" i="1"/>
  <c r="K8" i="1"/>
  <c r="L8" i="1"/>
  <c r="M8" i="1"/>
  <c r="N8" i="1"/>
  <c r="O8" i="1"/>
  <c r="P8" i="1"/>
  <c r="Q8" i="1"/>
  <c r="R8" i="1"/>
  <c r="S8" i="1"/>
  <c r="T8" i="1"/>
  <c r="U8" i="1"/>
  <c r="V8" i="1"/>
  <c r="E8" i="1"/>
  <c r="F8" i="1"/>
  <c r="G8" i="1"/>
  <c r="H8" i="1"/>
  <c r="I8" i="1"/>
  <c r="J8" i="1"/>
  <c r="B8" i="1"/>
  <c r="C5" i="1"/>
  <c r="D5" i="1"/>
  <c r="K5" i="1"/>
  <c r="L5" i="1"/>
  <c r="M5" i="1"/>
  <c r="N5" i="1"/>
  <c r="O5" i="1"/>
  <c r="P5" i="1"/>
  <c r="Q5" i="1"/>
  <c r="R5" i="1"/>
  <c r="S5" i="1"/>
  <c r="T5" i="1"/>
  <c r="U5" i="1"/>
  <c r="V5" i="1"/>
  <c r="E5" i="1"/>
  <c r="F5" i="1"/>
  <c r="G5" i="1"/>
  <c r="H5" i="1"/>
  <c r="I5" i="1"/>
  <c r="J5" i="1"/>
  <c r="B5" i="1"/>
</calcChain>
</file>

<file path=xl/sharedStrings.xml><?xml version="1.0" encoding="utf-8"?>
<sst xmlns="http://schemas.openxmlformats.org/spreadsheetml/2006/main" count="72" uniqueCount="68">
  <si>
    <t>Biomass Reactions</t>
  </si>
  <si>
    <t>Ala</t>
  </si>
  <si>
    <t>Arg</t>
  </si>
  <si>
    <t>Asn</t>
  </si>
  <si>
    <t>Asp</t>
  </si>
  <si>
    <t>Cys</t>
  </si>
  <si>
    <t>Glu</t>
  </si>
  <si>
    <t>Gln</t>
  </si>
  <si>
    <t>Gly</t>
  </si>
  <si>
    <t>His</t>
  </si>
  <si>
    <t>Ile</t>
  </si>
  <si>
    <t>Leu</t>
  </si>
  <si>
    <t>Lys</t>
  </si>
  <si>
    <t>Met</t>
  </si>
  <si>
    <t>Phe</t>
  </si>
  <si>
    <t>Pro</t>
  </si>
  <si>
    <t>Ser</t>
  </si>
  <si>
    <t>Thr</t>
  </si>
  <si>
    <t>Trp</t>
  </si>
  <si>
    <t>Tyr</t>
  </si>
  <si>
    <t>Val</t>
  </si>
  <si>
    <t>G6P</t>
  </si>
  <si>
    <t>F6P</t>
  </si>
  <si>
    <t>R5P</t>
  </si>
  <si>
    <t>E4P</t>
  </si>
  <si>
    <t>GAP</t>
  </si>
  <si>
    <t>3PG</t>
  </si>
  <si>
    <t>PEP</t>
  </si>
  <si>
    <t>Pyr</t>
  </si>
  <si>
    <t>AcCoA</t>
  </si>
  <si>
    <t>AKG</t>
  </si>
  <si>
    <t>OAC</t>
  </si>
  <si>
    <t>ATP</t>
  </si>
  <si>
    <t>NADPH</t>
  </si>
  <si>
    <t>C-1</t>
  </si>
  <si>
    <t>NADH</t>
  </si>
  <si>
    <t>Composition:</t>
  </si>
  <si>
    <t>H</t>
  </si>
  <si>
    <t>C</t>
  </si>
  <si>
    <t>O</t>
  </si>
  <si>
    <t>N</t>
  </si>
  <si>
    <t>S</t>
  </si>
  <si>
    <t>P</t>
  </si>
  <si>
    <t>WT</t>
  </si>
  <si>
    <t>glk</t>
  </si>
  <si>
    <t>pgm</t>
  </si>
  <si>
    <t>zwf</t>
  </si>
  <si>
    <t>gnd</t>
  </si>
  <si>
    <t>rpe</t>
  </si>
  <si>
    <t>sgcE</t>
  </si>
  <si>
    <t>rpiB</t>
  </si>
  <si>
    <t>tktA</t>
  </si>
  <si>
    <t>tktB</t>
  </si>
  <si>
    <t>talA</t>
  </si>
  <si>
    <t>talB</t>
  </si>
  <si>
    <t>edd</t>
  </si>
  <si>
    <t>eda</t>
  </si>
  <si>
    <t>pgi</t>
  </si>
  <si>
    <t>pfkA</t>
  </si>
  <si>
    <t>pfkB</t>
  </si>
  <si>
    <t>fbp</t>
  </si>
  <si>
    <t>fbaB</t>
  </si>
  <si>
    <t>tpiA</t>
  </si>
  <si>
    <t>DOR</t>
  </si>
  <si>
    <t>gdw/cmol</t>
  </si>
  <si>
    <t>pgl</t>
  </si>
  <si>
    <t>Neidhardt (1987):</t>
  </si>
  <si>
    <t>Arg, Cys, Trp are not measured directly, and are inferred using the previously reported ratios of each to Ala,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</si>
</sst>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left"/>
    </xf>
    <xf numFmtId="0" fontId="0" fillId="2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 = '1.0' encoding = 'UTF-8' standalone = 'yes'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theme" Target="theme/theme1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 = '1.0' encoding = 'UTF-8' standalone = 'yes'?>
<Relationships xmlns="http://schemas.openxmlformats.org/package/2006/relationships">
   <Relationship Id="rId1" Type="http://schemas.openxmlformats.org/officeDocument/2006/relationships/printerSettings" Target="../printerSettings/printerSettings1.bin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9"/>
  <sheetViews>
    <sheetView tabSelected="1" topLeftCell="A16" zoomScaleNormal="100" workbookViewId="0">
      <selection activeCell="A53" sqref="A53:L53"/>
    </sheetView>
  </sheetViews>
  <sheetFormatPr defaultRowHeight="15" x14ac:dyDescent="0.25"/>
  <cols>
    <col min="26" max="26" customWidth="true" width="8.28515625" collapsed="true"/>
  </cols>
  <sheetData>
    <row r="1" spans="1:22" x14ac:dyDescent="0.25">
      <c r="A1" t="s">
        <v>0</v>
      </c>
    </row>
    <row r="3" spans="1:22" s="1" customFormat="1" x14ac:dyDescent="0.25">
      <c r="B3" s="7" t="s">
        <v>43</v>
      </c>
      <c r="C3" s="7" t="s">
        <v>44</v>
      </c>
      <c r="D3" s="7" t="s">
        <v>45</v>
      </c>
      <c r="E3" s="7" t="s">
        <v>57</v>
      </c>
      <c r="F3" s="7" t="s">
        <v>58</v>
      </c>
      <c r="G3" s="7" t="s">
        <v>59</v>
      </c>
      <c r="H3" s="7" t="s">
        <v>60</v>
      </c>
      <c r="I3" s="7" t="s">
        <v>61</v>
      </c>
      <c r="J3" s="7" t="s">
        <v>62</v>
      </c>
      <c r="K3" s="7" t="s">
        <v>46</v>
      </c>
      <c r="L3" s="7" t="s">
        <v>65</v>
      </c>
      <c r="M3" s="7" t="s">
        <v>47</v>
      </c>
      <c r="N3" s="7" t="s">
        <v>48</v>
      </c>
      <c r="O3" s="7" t="s">
        <v>49</v>
      </c>
      <c r="P3" s="7" t="s">
        <v>50</v>
      </c>
      <c r="Q3" s="7" t="s">
        <v>51</v>
      </c>
      <c r="R3" s="7" t="s">
        <v>52</v>
      </c>
      <c r="S3" s="7" t="s">
        <v>53</v>
      </c>
      <c r="T3" s="7" t="s">
        <v>54</v>
      </c>
      <c r="U3" s="7" t="s">
        <v>55</v>
      </c>
      <c r="V3" s="7" t="s">
        <v>56</v>
      </c>
    </row>
    <row r="4" spans="1:22" x14ac:dyDescent="0.25">
      <c r="A4" s="2" t="s">
        <v>1</v>
      </c>
      <c r="B4" s="8">
        <v>0.47021880497842244</v>
      </c>
      <c r="C4" s="8">
        <v>0.47040049339556922</v>
      </c>
      <c r="D4" s="8">
        <v>0.50430273018932081</v>
      </c>
      <c r="E4" s="8">
        <v>0.42881439806485688</v>
      </c>
      <c r="F4" s="8">
        <v>0.49845831645315658</v>
      </c>
      <c r="G4" s="8">
        <v>0.44836394840152705</v>
      </c>
      <c r="H4" s="8">
        <v>0.47697256098338026</v>
      </c>
      <c r="I4" s="8">
        <v>0.40395796896333686</v>
      </c>
      <c r="J4" s="8">
        <v>0.48280995819220651</v>
      </c>
      <c r="K4" s="8">
        <v>0.48206332010208036</v>
      </c>
      <c r="L4" s="8">
        <v>0.46830090115182049</v>
      </c>
      <c r="M4" s="8">
        <v>0.50035124832708455</v>
      </c>
      <c r="N4" s="8">
        <v>0.53614599460576129</v>
      </c>
      <c r="O4" s="8">
        <v>0.56142693750515649</v>
      </c>
      <c r="P4" s="8">
        <v>0.53583029141589533</v>
      </c>
      <c r="Q4" s="8">
        <v>0.46717476672971869</v>
      </c>
      <c r="R4" s="8">
        <v>0.42990666249039555</v>
      </c>
      <c r="S4" s="8">
        <v>0.45530774327309737</v>
      </c>
      <c r="T4" s="8">
        <v>0.47307351853826812</v>
      </c>
      <c r="U4" s="8">
        <v>0.49604073210215488</v>
      </c>
      <c r="V4" s="8">
        <v>0.50522862961124482</v>
      </c>
    </row>
    <row r="5" spans="1:22" x14ac:dyDescent="0.25">
      <c r="A5" s="2" t="s">
        <v>2</v>
      </c>
      <c r="B5" s="9">
        <f>B4*$B$57/$B$56</f>
        <v>0.27076123811257519</v>
      </c>
      <c r="C5" s="9">
        <f>C4*$B$57/$B$56</f>
        <v>0.27086585787736672</v>
      </c>
      <c r="D5" s="9">
        <f>D4*$B$57/$B$56</f>
        <v>0.29038743275245726</v>
      </c>
      <c r="E5" s="9">
        <f>E4*$B$57/$B$56</f>
        <v>0.24691976609882127</v>
      </c>
      <c r="F5" s="9">
        <f>F4*$B$57/$B$56</f>
        <v>0.28702210435110037</v>
      </c>
      <c r="G5" s="9">
        <f>G4*$B$57/$B$56</f>
        <v>0.25817678176399406</v>
      </c>
      <c r="H5" s="9">
        <f>H4*$B$57/$B$56</f>
        <v>0.2746501836810038</v>
      </c>
      <c r="I5" s="9">
        <f>I4*$B$57/$B$56</f>
        <v>0.23260694524323292</v>
      </c>
      <c r="J5" s="9">
        <f>J4*$B$57/$B$56</f>
        <v>0.27801147182788938</v>
      </c>
      <c r="K5" s="9">
        <f>K4*$B$57/$B$56</f>
        <v>0.27758154292763237</v>
      </c>
      <c r="L5" s="9">
        <f>L4*$B$57/$B$56</f>
        <v>0.26965687135996219</v>
      </c>
      <c r="M5" s="9">
        <f>M4*$B$57/$B$56</f>
        <v>0.28811209176211222</v>
      </c>
      <c r="N5" s="9">
        <f>N4*$B$57/$B$56</f>
        <v>0.30872341082831745</v>
      </c>
      <c r="O5" s="9">
        <f>O4*$B$57/$B$56</f>
        <v>0.32328067507981345</v>
      </c>
      <c r="P5" s="9">
        <f>P4*$B$57/$B$56</f>
        <v>0.30854162272103813</v>
      </c>
      <c r="Q5" s="9">
        <f>Q4*$B$57/$B$56</f>
        <v>0.26900842100625194</v>
      </c>
      <c r="R5" s="9">
        <f>R4*$B$57/$B$56</f>
        <v>0.24754871344221549</v>
      </c>
      <c r="S5" s="9">
        <f>S4*$B$57/$B$56</f>
        <v>0.26217515545028763</v>
      </c>
      <c r="T5" s="9">
        <f>T4*$B$57/$B$56</f>
        <v>0.27240503833863389</v>
      </c>
      <c r="U5" s="9">
        <f>U4*$B$57/$B$56</f>
        <v>0.2856300117227572</v>
      </c>
      <c r="V5" s="9">
        <f>V4*$B$57/$B$56</f>
        <v>0.29092058385401598</v>
      </c>
    </row>
    <row r="6" spans="1:22" x14ac:dyDescent="0.25">
      <c r="A6" s="2" t="s">
        <v>3</v>
      </c>
      <c r="B6" s="8">
        <v>0.23600361921241844</v>
      </c>
      <c r="C6" s="8">
        <v>0.24445783785010081</v>
      </c>
      <c r="D6" s="8">
        <v>0.2588116097409765</v>
      </c>
      <c r="E6" s="8">
        <v>0.21662516544917471</v>
      </c>
      <c r="F6" s="8">
        <v>0.25020907715998603</v>
      </c>
      <c r="G6" s="8">
        <v>0.23004622456915538</v>
      </c>
      <c r="H6" s="8">
        <v>0.24314104989572766</v>
      </c>
      <c r="I6" s="8">
        <v>0.20352121016555541</v>
      </c>
      <c r="J6" s="8">
        <v>0.23758249096556477</v>
      </c>
      <c r="K6" s="8">
        <v>0.24620896796558972</v>
      </c>
      <c r="L6" s="8">
        <v>0.24244856797241343</v>
      </c>
      <c r="M6" s="8">
        <v>0.26211445802400996</v>
      </c>
      <c r="N6" s="8">
        <v>0.27183986166399593</v>
      </c>
      <c r="O6" s="8">
        <v>0.28347552366687234</v>
      </c>
      <c r="P6" s="8">
        <v>0.26732138293170554</v>
      </c>
      <c r="Q6" s="8">
        <v>0.23924117910333031</v>
      </c>
      <c r="R6" s="8">
        <v>0.21567244126066273</v>
      </c>
      <c r="S6" s="8">
        <v>0.23047675261701023</v>
      </c>
      <c r="T6" s="8">
        <v>0.23828234513311472</v>
      </c>
      <c r="U6" s="8">
        <v>0.25007227037111512</v>
      </c>
      <c r="V6" s="8">
        <v>0.25681872231760411</v>
      </c>
    </row>
    <row r="7" spans="1:22" x14ac:dyDescent="0.25">
      <c r="A7" s="2" t="s">
        <v>4</v>
      </c>
      <c r="B7" s="8">
        <v>0.23600361921241844</v>
      </c>
      <c r="C7" s="8">
        <v>0.24445783785010081</v>
      </c>
      <c r="D7" s="8">
        <v>0.2588116097409765</v>
      </c>
      <c r="E7" s="8">
        <v>0.21662516544917471</v>
      </c>
      <c r="F7" s="8">
        <v>0.25020907715998603</v>
      </c>
      <c r="G7" s="8">
        <v>0.23004622456915538</v>
      </c>
      <c r="H7" s="8">
        <v>0.24314104989572766</v>
      </c>
      <c r="I7" s="8">
        <v>0.20352121016555541</v>
      </c>
      <c r="J7" s="8">
        <v>0.23758249096556477</v>
      </c>
      <c r="K7" s="8">
        <v>0.24620896796558972</v>
      </c>
      <c r="L7" s="8">
        <v>0.24244856797241343</v>
      </c>
      <c r="M7" s="8">
        <v>0.26211445802400996</v>
      </c>
      <c r="N7" s="8">
        <v>0.27183986166399593</v>
      </c>
      <c r="O7" s="8">
        <v>0.28347552366687234</v>
      </c>
      <c r="P7" s="8">
        <v>0.26732138293170554</v>
      </c>
      <c r="Q7" s="8">
        <v>0.23924117910333031</v>
      </c>
      <c r="R7" s="8">
        <v>0.21567244126066273</v>
      </c>
      <c r="S7" s="8">
        <v>0.23047675261701023</v>
      </c>
      <c r="T7" s="8">
        <v>0.23828234513311472</v>
      </c>
      <c r="U7" s="8">
        <v>0.25007227037111512</v>
      </c>
      <c r="V7" s="8">
        <v>0.25681872231760411</v>
      </c>
    </row>
    <row r="8" spans="1:22" x14ac:dyDescent="0.25">
      <c r="A8" s="2" t="s">
        <v>5</v>
      </c>
      <c r="B8" s="9">
        <f>B4*$B$58/$B$56</f>
        <v>8.3829991871153184E-2</v>
      </c>
      <c r="C8" s="9">
        <f>C4*$B$58/$B$56</f>
        <v>8.3862383043882216E-2</v>
      </c>
      <c r="D8" s="9">
        <f>D4*$B$58/$B$56</f>
        <v>8.9906429357522355E-2</v>
      </c>
      <c r="E8" s="9">
        <f>E4*$B$58/$B$56</f>
        <v>7.6448468507464243E-2</v>
      </c>
      <c r="F8" s="9">
        <f>F4*$B$58/$B$56</f>
        <v>8.8864494941443911E-2</v>
      </c>
      <c r="G8" s="9">
        <f>G4*$B$58/$B$56</f>
        <v>7.9933736702731253E-2</v>
      </c>
      <c r="H8" s="9">
        <f>H4*$B$58/$B$56</f>
        <v>8.5034042634332133E-2</v>
      </c>
      <c r="I8" s="9">
        <f>I4*$B$58/$B$56</f>
        <v>7.2017096925840796E-2</v>
      </c>
      <c r="J8" s="9">
        <f>J4*$B$58/$B$56</f>
        <v>8.6074726153118772E-2</v>
      </c>
      <c r="K8" s="9">
        <f>K4*$B$58/$B$56</f>
        <v>8.5941616493608583E-2</v>
      </c>
      <c r="L8" s="9">
        <f>L4*$B$58/$B$56</f>
        <v>8.3488070492230296E-2</v>
      </c>
      <c r="M8" s="9">
        <f>M4*$B$58/$B$56</f>
        <v>8.920196435339417E-2</v>
      </c>
      <c r="N8" s="9">
        <f>N4*$B$58/$B$56</f>
        <v>9.5583404776027114E-2</v>
      </c>
      <c r="O8" s="9">
        <f>O4*$B$58/$B$56</f>
        <v>0.10009045812079634</v>
      </c>
      <c r="P8" s="9">
        <f>P4*$B$58/$B$56</f>
        <v>9.5527121625374772E-2</v>
      </c>
      <c r="Q8" s="9">
        <f>Q4*$B$58/$B$56</f>
        <v>8.3287304724355596E-2</v>
      </c>
      <c r="R8" s="9">
        <f>R4*$B$58/$B$56</f>
        <v>7.6643195976771328E-2</v>
      </c>
      <c r="S8" s="9">
        <f>S4*$B$58/$B$56</f>
        <v>8.1171667345818585E-2</v>
      </c>
      <c r="T8" s="9">
        <f>T4*$B$58/$B$56</f>
        <v>8.4338926460715835E-2</v>
      </c>
      <c r="U8" s="9">
        <f>U4*$B$58/$B$56</f>
        <v>8.8433491173949746E-2</v>
      </c>
      <c r="V8" s="9">
        <f>V4*$B$58/$B$56</f>
        <v>9.007149749216864E-2</v>
      </c>
    </row>
    <row r="9" spans="1:22" x14ac:dyDescent="0.25">
      <c r="A9" s="2" t="s">
        <v>6</v>
      </c>
      <c r="B9" s="8">
        <v>0.28009996555753292</v>
      </c>
      <c r="C9" s="8">
        <v>0.27299098837024904</v>
      </c>
      <c r="D9" s="8">
        <v>0.29513625887159667</v>
      </c>
      <c r="E9" s="8">
        <v>0.24122389003751449</v>
      </c>
      <c r="F9" s="8">
        <v>0.29217722477438407</v>
      </c>
      <c r="G9" s="8">
        <v>0.26835991116314195</v>
      </c>
      <c r="H9" s="8">
        <v>0.26800995788843229</v>
      </c>
      <c r="I9" s="8">
        <v>0.24405752699361</v>
      </c>
      <c r="J9" s="8">
        <v>0.28665968323152463</v>
      </c>
      <c r="K9" s="8">
        <v>0.26871638807824977</v>
      </c>
      <c r="L9" s="8">
        <v>0.28014580144358875</v>
      </c>
      <c r="M9" s="8">
        <v>0.30945052521469252</v>
      </c>
      <c r="N9" s="8">
        <v>0.31956791191590506</v>
      </c>
      <c r="O9" s="8">
        <v>0.32627019043143102</v>
      </c>
      <c r="P9" s="8">
        <v>0.29927896668609189</v>
      </c>
      <c r="Q9" s="8">
        <v>0.27098066756265804</v>
      </c>
      <c r="R9" s="8">
        <v>0.25982625883193555</v>
      </c>
      <c r="S9" s="8">
        <v>0.28788219840503809</v>
      </c>
      <c r="T9" s="8">
        <v>0.28724862522237182</v>
      </c>
      <c r="U9" s="8">
        <v>0.30439127956129902</v>
      </c>
      <c r="V9" s="8">
        <v>0.30476853141114824</v>
      </c>
    </row>
    <row r="10" spans="1:22" x14ac:dyDescent="0.25">
      <c r="A10" s="2" t="s">
        <v>7</v>
      </c>
      <c r="B10" s="8">
        <v>0.28009996555753292</v>
      </c>
      <c r="C10" s="8">
        <v>0.27299098837024904</v>
      </c>
      <c r="D10" s="8">
        <v>0.29513625887159667</v>
      </c>
      <c r="E10" s="8">
        <v>0.24122389003751449</v>
      </c>
      <c r="F10" s="8">
        <v>0.29217722477438407</v>
      </c>
      <c r="G10" s="8">
        <v>0.26835991116314195</v>
      </c>
      <c r="H10" s="8">
        <v>0.26800995788843229</v>
      </c>
      <c r="I10" s="8">
        <v>0.24405752699361</v>
      </c>
      <c r="J10" s="8">
        <v>0.28665968323152463</v>
      </c>
      <c r="K10" s="8">
        <v>0.26871638807824977</v>
      </c>
      <c r="L10" s="8">
        <v>0.28014580144358875</v>
      </c>
      <c r="M10" s="8">
        <v>0.30945052521469252</v>
      </c>
      <c r="N10" s="8">
        <v>0.31956791191590506</v>
      </c>
      <c r="O10" s="8">
        <v>0.32627019043143102</v>
      </c>
      <c r="P10" s="8">
        <v>0.29927896668609189</v>
      </c>
      <c r="Q10" s="8">
        <v>0.27098066756265804</v>
      </c>
      <c r="R10" s="8">
        <v>0.25982625883193555</v>
      </c>
      <c r="S10" s="8">
        <v>0.28788219840503809</v>
      </c>
      <c r="T10" s="8">
        <v>0.28724862522237182</v>
      </c>
      <c r="U10" s="8">
        <v>0.30439127956129902</v>
      </c>
      <c r="V10" s="8">
        <v>0.30476853141114824</v>
      </c>
    </row>
    <row r="11" spans="1:22" x14ac:dyDescent="0.25">
      <c r="A11" s="2" t="s">
        <v>8</v>
      </c>
      <c r="B11" s="8">
        <v>0.43205660741465585</v>
      </c>
      <c r="C11" s="8">
        <v>0.44025116784250168</v>
      </c>
      <c r="D11" s="8">
        <v>0.46943330392621513</v>
      </c>
      <c r="E11" s="8">
        <v>0.38303784155919074</v>
      </c>
      <c r="F11" s="8">
        <v>0.45308811703917984</v>
      </c>
      <c r="G11" s="8">
        <v>0.41390722085752751</v>
      </c>
      <c r="H11" s="8">
        <v>0.44832282106851179</v>
      </c>
      <c r="I11" s="8">
        <v>0.37981304274121552</v>
      </c>
      <c r="J11" s="8">
        <v>0.44832998516809708</v>
      </c>
      <c r="K11" s="8">
        <v>0.4421585456797501</v>
      </c>
      <c r="L11" s="8">
        <v>0.44305785244685786</v>
      </c>
      <c r="M11" s="8">
        <v>0.46141312901181575</v>
      </c>
      <c r="N11" s="8">
        <v>0.48894257190629981</v>
      </c>
      <c r="O11" s="8">
        <v>0.50962997561396417</v>
      </c>
      <c r="P11" s="8">
        <v>0.489332603070952</v>
      </c>
      <c r="Q11" s="8">
        <v>0.43543172963828952</v>
      </c>
      <c r="R11" s="8">
        <v>0.39699441761425924</v>
      </c>
      <c r="S11" s="8">
        <v>0.42615451156575118</v>
      </c>
      <c r="T11" s="8">
        <v>0.44447938026825684</v>
      </c>
      <c r="U11" s="8">
        <v>0.45985801753547823</v>
      </c>
      <c r="V11" s="8">
        <v>0.46630402298123513</v>
      </c>
    </row>
    <row r="12" spans="1:22" x14ac:dyDescent="0.25">
      <c r="A12" s="2" t="s">
        <v>9</v>
      </c>
      <c r="B12" s="8">
        <v>8.2363551435727794E-2</v>
      </c>
      <c r="C12" s="8">
        <v>7.9354555405502514E-2</v>
      </c>
      <c r="D12" s="8">
        <v>8.8662476538341986E-2</v>
      </c>
      <c r="E12" s="8">
        <v>7.5624399829722522E-2</v>
      </c>
      <c r="F12" s="8">
        <v>9.0350603637894877E-2</v>
      </c>
      <c r="G12" s="8">
        <v>8.0953905787754757E-2</v>
      </c>
      <c r="H12" s="8">
        <v>8.2226052473528433E-2</v>
      </c>
      <c r="I12" s="8">
        <v>7.1552745967014372E-2</v>
      </c>
      <c r="J12" s="8">
        <v>8.1498260758986141E-2</v>
      </c>
      <c r="K12" s="8">
        <v>8.4405089646009554E-2</v>
      </c>
      <c r="L12" s="8">
        <v>7.9479849534448421E-2</v>
      </c>
      <c r="M12" s="8">
        <v>9.5896316112279306E-2</v>
      </c>
      <c r="N12" s="8">
        <v>9.7546473338300452E-2</v>
      </c>
      <c r="O12" s="8">
        <v>9.3340223301949868E-2</v>
      </c>
      <c r="P12" s="8">
        <v>8.8533944516756849E-2</v>
      </c>
      <c r="Q12" s="8">
        <v>8.6443953147091634E-2</v>
      </c>
      <c r="R12" s="8">
        <v>7.8085638822092754E-2</v>
      </c>
      <c r="S12" s="8">
        <v>8.225480593941556E-2</v>
      </c>
      <c r="T12" s="8">
        <v>8.4177079168890487E-2</v>
      </c>
      <c r="U12" s="8">
        <v>8.7513458912157796E-2</v>
      </c>
      <c r="V12" s="8">
        <v>9.0209716230082101E-2</v>
      </c>
    </row>
    <row r="13" spans="1:22" x14ac:dyDescent="0.25">
      <c r="A13" s="2" t="s">
        <v>10</v>
      </c>
      <c r="B13" s="8">
        <v>0.21502503229840547</v>
      </c>
      <c r="C13" s="8">
        <v>0.20946452326758455</v>
      </c>
      <c r="D13" s="8">
        <v>0.2287111160726823</v>
      </c>
      <c r="E13" s="8">
        <v>0.19260773384720487</v>
      </c>
      <c r="F13" s="8">
        <v>0.22246247320258272</v>
      </c>
      <c r="G13" s="8">
        <v>0.19972695337667093</v>
      </c>
      <c r="H13" s="8">
        <v>0.21633720468172343</v>
      </c>
      <c r="I13" s="8">
        <v>0.18601511577577273</v>
      </c>
      <c r="J13" s="8">
        <v>0.21322717889145448</v>
      </c>
      <c r="K13" s="8">
        <v>0.21733134299431658</v>
      </c>
      <c r="L13" s="8">
        <v>0.21991563859067945</v>
      </c>
      <c r="M13" s="8">
        <v>0.22016996067546046</v>
      </c>
      <c r="N13" s="8">
        <v>0.24290351780038488</v>
      </c>
      <c r="O13" s="8">
        <v>0.24563652139864114</v>
      </c>
      <c r="P13" s="8">
        <v>0.23438270833672362</v>
      </c>
      <c r="Q13" s="8">
        <v>0.21450065985816932</v>
      </c>
      <c r="R13" s="8">
        <v>0.19831739195868525</v>
      </c>
      <c r="S13" s="8">
        <v>0.2094841234632254</v>
      </c>
      <c r="T13" s="8">
        <v>0.2163848871037595</v>
      </c>
      <c r="U13" s="8">
        <v>0.21844936060078307</v>
      </c>
      <c r="V13" s="8">
        <v>0.22278818693490934</v>
      </c>
    </row>
    <row r="14" spans="1:22" x14ac:dyDescent="0.25">
      <c r="A14" s="2" t="s">
        <v>11</v>
      </c>
      <c r="B14" s="8">
        <v>0.37713610108548623</v>
      </c>
      <c r="C14" s="8">
        <v>0.37599136804645983</v>
      </c>
      <c r="D14" s="8">
        <v>0.41227068252988519</v>
      </c>
      <c r="E14" s="8">
        <v>0.34038401945568453</v>
      </c>
      <c r="F14" s="8">
        <v>0.39495506460175495</v>
      </c>
      <c r="G14" s="8">
        <v>0.35701718274761662</v>
      </c>
      <c r="H14" s="8">
        <v>0.38668766426295281</v>
      </c>
      <c r="I14" s="8">
        <v>0.32189679702196805</v>
      </c>
      <c r="J14" s="8">
        <v>0.37635023416581692</v>
      </c>
      <c r="K14" s="8">
        <v>0.38276400654155662</v>
      </c>
      <c r="L14" s="8">
        <v>0.37882269418509673</v>
      </c>
      <c r="M14" s="8">
        <v>0.39093443024591212</v>
      </c>
      <c r="N14" s="8">
        <v>0.42391124763681415</v>
      </c>
      <c r="O14" s="8">
        <v>0.4419968856470981</v>
      </c>
      <c r="P14" s="8">
        <v>0.4145541983056234</v>
      </c>
      <c r="Q14" s="8">
        <v>0.37335109901423569</v>
      </c>
      <c r="R14" s="8">
        <v>0.34488251403933462</v>
      </c>
      <c r="S14" s="8">
        <v>0.36667990656664895</v>
      </c>
      <c r="T14" s="8">
        <v>0.37774993952755098</v>
      </c>
      <c r="U14" s="8">
        <v>0.39180497915107965</v>
      </c>
      <c r="V14" s="8">
        <v>0.39994125786494356</v>
      </c>
    </row>
    <row r="15" spans="1:22" x14ac:dyDescent="0.25">
      <c r="A15" s="2" t="s">
        <v>12</v>
      </c>
      <c r="B15" s="8">
        <v>0.27914920317884073</v>
      </c>
      <c r="C15" s="8">
        <v>0.28319918988804582</v>
      </c>
      <c r="D15" s="8">
        <v>0.30987112927112936</v>
      </c>
      <c r="E15" s="8">
        <v>0.24820717799191863</v>
      </c>
      <c r="F15" s="8">
        <v>0.27650845478992997</v>
      </c>
      <c r="G15" s="8">
        <v>0.27219074311385277</v>
      </c>
      <c r="H15" s="8">
        <v>0.28245303652636689</v>
      </c>
      <c r="I15" s="8">
        <v>0.25860623891268042</v>
      </c>
      <c r="J15" s="8">
        <v>0.27357107644562856</v>
      </c>
      <c r="K15" s="8">
        <v>0.28637206781435859</v>
      </c>
      <c r="L15" s="8">
        <v>0.27089414711947785</v>
      </c>
      <c r="M15" s="8">
        <v>0.31323323648045992</v>
      </c>
      <c r="N15" s="8">
        <v>0.31474235861104904</v>
      </c>
      <c r="O15" s="8">
        <v>0.3247204076870478</v>
      </c>
      <c r="P15" s="8">
        <v>0.3025262749503006</v>
      </c>
      <c r="Q15" s="8">
        <v>0.2808563293433386</v>
      </c>
      <c r="R15" s="8">
        <v>0.25955314884236347</v>
      </c>
      <c r="S15" s="8">
        <v>0.27212073146289373</v>
      </c>
      <c r="T15" s="8">
        <v>0.28036622440837533</v>
      </c>
      <c r="U15" s="8">
        <v>0.28877327937529229</v>
      </c>
      <c r="V15" s="8">
        <v>0.30501241896913589</v>
      </c>
    </row>
    <row r="16" spans="1:22" x14ac:dyDescent="0.25">
      <c r="A16" s="2" t="s">
        <v>13</v>
      </c>
      <c r="B16" s="8">
        <v>0.10729075137965316</v>
      </c>
      <c r="C16" s="8">
        <v>0.1053785687992434</v>
      </c>
      <c r="D16" s="8">
        <v>0.11700155401742843</v>
      </c>
      <c r="E16" s="8">
        <v>9.8328487719029148E-2</v>
      </c>
      <c r="F16" s="8">
        <v>0.11479798600067768</v>
      </c>
      <c r="G16" s="8">
        <v>0.10248144347825884</v>
      </c>
      <c r="H16" s="8">
        <v>0.10866982720303738</v>
      </c>
      <c r="I16" s="8">
        <v>9.1262353957514419E-2</v>
      </c>
      <c r="J16" s="8">
        <v>0.10967425300584392</v>
      </c>
      <c r="K16" s="8">
        <v>0.11038784560175247</v>
      </c>
      <c r="L16" s="8">
        <v>0.10764560363270018</v>
      </c>
      <c r="M16" s="8">
        <v>0.10804905141228593</v>
      </c>
      <c r="N16" s="8">
        <v>0.11841528598954122</v>
      </c>
      <c r="O16" s="8">
        <v>0.12687761471058268</v>
      </c>
      <c r="P16" s="8">
        <v>0.11659880260464048</v>
      </c>
      <c r="Q16" s="8">
        <v>0.10637727157765996</v>
      </c>
      <c r="R16" s="8">
        <v>9.7804658306236358E-2</v>
      </c>
      <c r="S16" s="8">
        <v>0.1036600481815667</v>
      </c>
      <c r="T16" s="8">
        <v>0.10802768501037882</v>
      </c>
      <c r="U16" s="8">
        <v>0.11175212638879121</v>
      </c>
      <c r="V16" s="8">
        <v>0.11449029615574031</v>
      </c>
    </row>
    <row r="17" spans="1:22" x14ac:dyDescent="0.25">
      <c r="A17" s="2" t="s">
        <v>14</v>
      </c>
      <c r="B17" s="8">
        <v>0.15290380761145889</v>
      </c>
      <c r="C17" s="8">
        <v>0.14846988796155128</v>
      </c>
      <c r="D17" s="8">
        <v>0.1628818275064533</v>
      </c>
      <c r="E17" s="8">
        <v>0.14111891385438455</v>
      </c>
      <c r="F17" s="8">
        <v>0.16036383587323064</v>
      </c>
      <c r="G17" s="8">
        <v>0.14242472703915099</v>
      </c>
      <c r="H17" s="8">
        <v>0.1566626461394672</v>
      </c>
      <c r="I17" s="8">
        <v>0.1281675709433262</v>
      </c>
      <c r="J17" s="8">
        <v>0.15212767865384241</v>
      </c>
      <c r="K17" s="8">
        <v>0.15658842391325084</v>
      </c>
      <c r="L17" s="8">
        <v>0.14866758214106607</v>
      </c>
      <c r="M17" s="8">
        <v>0.15450978745750302</v>
      </c>
      <c r="N17" s="8">
        <v>0.16938373181316621</v>
      </c>
      <c r="O17" s="8">
        <v>0.17752394659412965</v>
      </c>
      <c r="P17" s="8">
        <v>0.16827633305802744</v>
      </c>
      <c r="Q17" s="8">
        <v>0.14874717693525388</v>
      </c>
      <c r="R17" s="8">
        <v>0.13824435501935758</v>
      </c>
      <c r="S17" s="8">
        <v>0.14689476095433715</v>
      </c>
      <c r="T17" s="8">
        <v>0.15081656035626084</v>
      </c>
      <c r="U17" s="8">
        <v>0.15553310879778207</v>
      </c>
      <c r="V17" s="8">
        <v>0.1580229185747225</v>
      </c>
    </row>
    <row r="18" spans="1:22" x14ac:dyDescent="0.25">
      <c r="A18" s="2" t="s">
        <v>15</v>
      </c>
      <c r="B18" s="8">
        <v>0.17797860877019986</v>
      </c>
      <c r="C18" s="8">
        <v>0.17466459038795745</v>
      </c>
      <c r="D18" s="8">
        <v>0.19472336340860871</v>
      </c>
      <c r="E18" s="8">
        <v>0.16142089013388658</v>
      </c>
      <c r="F18" s="8">
        <v>0.18889622944820145</v>
      </c>
      <c r="G18" s="8">
        <v>0.16897414339127101</v>
      </c>
      <c r="H18" s="8">
        <v>0.18153751717321748</v>
      </c>
      <c r="I18" s="8">
        <v>0.1500898965705646</v>
      </c>
      <c r="J18" s="8">
        <v>0.17726916051647781</v>
      </c>
      <c r="K18" s="8">
        <v>0.18088020891464876</v>
      </c>
      <c r="L18" s="8">
        <v>0.17274923794698296</v>
      </c>
      <c r="M18" s="8">
        <v>0.18278523525843857</v>
      </c>
      <c r="N18" s="8">
        <v>0.19804732655080573</v>
      </c>
      <c r="O18" s="8">
        <v>0.20982095022373867</v>
      </c>
      <c r="P18" s="8">
        <v>0.19107933358917306</v>
      </c>
      <c r="Q18" s="8">
        <v>0.1748529166220136</v>
      </c>
      <c r="R18" s="8">
        <v>0.16158317351004067</v>
      </c>
      <c r="S18" s="8">
        <v>0.17177134510340791</v>
      </c>
      <c r="T18" s="8">
        <v>0.17707748004889257</v>
      </c>
      <c r="U18" s="8">
        <v>0.18569856327548356</v>
      </c>
      <c r="V18" s="8">
        <v>0.19034187525245577</v>
      </c>
    </row>
    <row r="19" spans="1:22" x14ac:dyDescent="0.25">
      <c r="A19" s="2" t="s">
        <v>16</v>
      </c>
      <c r="B19" s="8">
        <v>0.23255003946909289</v>
      </c>
      <c r="C19" s="8">
        <v>0.23572548968687657</v>
      </c>
      <c r="D19" s="8">
        <v>0.25463084728379154</v>
      </c>
      <c r="E19" s="8">
        <v>0.20913420804274827</v>
      </c>
      <c r="F19" s="8">
        <v>0.24939534815255557</v>
      </c>
      <c r="G19" s="8">
        <v>0.21985131583935788</v>
      </c>
      <c r="H19" s="8">
        <v>0.23626834019485574</v>
      </c>
      <c r="I19" s="8">
        <v>0.1983216558453256</v>
      </c>
      <c r="J19" s="8">
        <v>0.2379548401550001</v>
      </c>
      <c r="K19" s="8">
        <v>0.23434884549593335</v>
      </c>
      <c r="L19" s="8">
        <v>0.23262062947804318</v>
      </c>
      <c r="M19" s="8">
        <v>0.24871977305088935</v>
      </c>
      <c r="N19" s="8">
        <v>0.26428995212515943</v>
      </c>
      <c r="O19" s="8">
        <v>0.27538797568890772</v>
      </c>
      <c r="P19" s="8">
        <v>0.25975755893805974</v>
      </c>
      <c r="Q19" s="8">
        <v>0.23739350395451345</v>
      </c>
      <c r="R19" s="8">
        <v>0.21077626839917646</v>
      </c>
      <c r="S19" s="8">
        <v>0.23089105012729391</v>
      </c>
      <c r="T19" s="8">
        <v>0.23824026573773388</v>
      </c>
      <c r="U19" s="8">
        <v>0.24414398598474402</v>
      </c>
      <c r="V19" s="8">
        <v>0.25074145260349756</v>
      </c>
    </row>
    <row r="20" spans="1:22" x14ac:dyDescent="0.25">
      <c r="A20" s="2" t="s">
        <v>17</v>
      </c>
      <c r="B20" s="8">
        <v>0.24436402412621372</v>
      </c>
      <c r="C20" s="8">
        <v>0.25580717550000237</v>
      </c>
      <c r="D20" s="8">
        <v>0.27131605251884072</v>
      </c>
      <c r="E20" s="8">
        <v>0.22332902084930378</v>
      </c>
      <c r="F20" s="8">
        <v>0.2615092406852827</v>
      </c>
      <c r="G20" s="8">
        <v>0.23643456612780953</v>
      </c>
      <c r="H20" s="8">
        <v>0.2556692786589479</v>
      </c>
      <c r="I20" s="8">
        <v>0.21133305403334754</v>
      </c>
      <c r="J20" s="8">
        <v>0.24982341234568256</v>
      </c>
      <c r="K20" s="8">
        <v>0.25018103528620772</v>
      </c>
      <c r="L20" s="8">
        <v>0.2520689747816513</v>
      </c>
      <c r="M20" s="8">
        <v>0.27034671571475588</v>
      </c>
      <c r="N20" s="8">
        <v>0.28943699164187014</v>
      </c>
      <c r="O20" s="8">
        <v>0.29448704834392309</v>
      </c>
      <c r="P20" s="8">
        <v>0.28736387694678234</v>
      </c>
      <c r="Q20" s="8">
        <v>0.24917436391141842</v>
      </c>
      <c r="R20" s="8">
        <v>0.2258949457133653</v>
      </c>
      <c r="S20" s="8">
        <v>0.24168385922682545</v>
      </c>
      <c r="T20" s="8">
        <v>0.24879099578836819</v>
      </c>
      <c r="U20" s="8">
        <v>0.25851668782500964</v>
      </c>
      <c r="V20" s="8">
        <v>0.2667029050875267</v>
      </c>
    </row>
    <row r="21" spans="1:22" x14ac:dyDescent="0.25">
      <c r="A21" s="2" t="s">
        <v>18</v>
      </c>
      <c r="B21" s="9">
        <f>B4*$B$59/$B$56</f>
        <v>5.2032408747612315E-2</v>
      </c>
      <c r="C21" s="9">
        <f>C4*$B$59/$B$56</f>
        <v>5.2052513613444137E-2</v>
      </c>
      <c r="D21" s="9">
        <f>D4*$B$59/$B$56</f>
        <v>5.5803990635703536E-2</v>
      </c>
      <c r="E21" s="9">
        <f>E4*$B$59/$B$56</f>
        <v>4.7450773556357115E-2</v>
      </c>
      <c r="F21" s="9">
        <f>F4*$B$59/$B$56</f>
        <v>5.5157272722275524E-2</v>
      </c>
      <c r="G21" s="9">
        <f>G4*$B$59/$B$56</f>
        <v>4.9614043470660778E-2</v>
      </c>
      <c r="H21" s="9">
        <f>H4*$B$59/$B$56</f>
        <v>5.277975060061995E-2</v>
      </c>
      <c r="I21" s="9">
        <f>I4*$B$59/$B$56</f>
        <v>4.4700267057418426E-2</v>
      </c>
      <c r="J21" s="9">
        <f>J4*$B$59/$B$56</f>
        <v>5.3425692095039244E-2</v>
      </c>
      <c r="K21" s="9">
        <f>K4*$B$59/$B$56</f>
        <v>5.3343072306377741E-2</v>
      </c>
      <c r="L21" s="9">
        <f>L4*$B$59/$B$56</f>
        <v>5.1820181684832593E-2</v>
      </c>
      <c r="M21" s="9">
        <f>M4*$B$59/$B$56</f>
        <v>5.5366736495210171E-2</v>
      </c>
      <c r="N21" s="9">
        <f>N4*$B$59/$B$56</f>
        <v>5.9327630550637514E-2</v>
      </c>
      <c r="O21" s="9">
        <f>O4*$B$59/$B$56</f>
        <v>6.2125111937046007E-2</v>
      </c>
      <c r="P21" s="9">
        <f>P4*$B$59/$B$56</f>
        <v>5.9292696181267104E-2</v>
      </c>
      <c r="Q21" s="9">
        <f>Q4*$B$59/$B$56</f>
        <v>5.1695568449600021E-2</v>
      </c>
      <c r="R21" s="9">
        <f>R4*$B$59/$B$56</f>
        <v>4.7571638882133935E-2</v>
      </c>
      <c r="S21" s="9">
        <f>S4*$B$59/$B$56</f>
        <v>5.0382414214646024E-2</v>
      </c>
      <c r="T21" s="9">
        <f>T4*$B$59/$B$56</f>
        <v>5.2348299182513276E-2</v>
      </c>
      <c r="U21" s="9">
        <f>U4*$B$59/$B$56</f>
        <v>5.4889753142451564E-2</v>
      </c>
      <c r="V21" s="9">
        <f>V4*$B$59/$B$56</f>
        <v>5.5906446719277088E-2</v>
      </c>
    </row>
    <row r="22" spans="1:22" x14ac:dyDescent="0.25">
      <c r="A22" s="2" t="s">
        <v>19</v>
      </c>
      <c r="B22" s="8">
        <v>0.13103156443067554</v>
      </c>
      <c r="C22" s="8">
        <v>0.13056795811953381</v>
      </c>
      <c r="D22" s="8">
        <v>0.14096241220502284</v>
      </c>
      <c r="E22" s="8">
        <v>0.11878034713782117</v>
      </c>
      <c r="F22" s="8">
        <v>0.14514495284383283</v>
      </c>
      <c r="G22" s="8">
        <v>0.12326896708140291</v>
      </c>
      <c r="H22" s="8">
        <v>0.13441827619745586</v>
      </c>
      <c r="I22" s="8">
        <v>0.11161999266032345</v>
      </c>
      <c r="J22" s="8">
        <v>0.13880153718882071</v>
      </c>
      <c r="K22" s="8">
        <v>0.13140947842640466</v>
      </c>
      <c r="L22" s="8">
        <v>0.12943333155838352</v>
      </c>
      <c r="M22" s="8">
        <v>0.13227460874241592</v>
      </c>
      <c r="N22" s="8">
        <v>0.14763620608900357</v>
      </c>
      <c r="O22" s="8">
        <v>0.15515302110113777</v>
      </c>
      <c r="P22" s="8">
        <v>0.14124003003879401</v>
      </c>
      <c r="Q22" s="8">
        <v>0.12854049348904986</v>
      </c>
      <c r="R22" s="8">
        <v>0.11981310610376669</v>
      </c>
      <c r="S22" s="8">
        <v>0.12801024851163467</v>
      </c>
      <c r="T22" s="8">
        <v>0.1321775690167025</v>
      </c>
      <c r="U22" s="8">
        <v>0.13597892339150333</v>
      </c>
      <c r="V22" s="8">
        <v>0.13921054558590457</v>
      </c>
    </row>
    <row r="23" spans="1:22" ht="15.75" thickBot="1" x14ac:dyDescent="0.3">
      <c r="A23" s="3" t="s">
        <v>20</v>
      </c>
      <c r="B23" s="10">
        <v>0.31465352127710283</v>
      </c>
      <c r="C23" s="11">
        <v>0.30480880930238713</v>
      </c>
      <c r="D23" s="11">
        <v>0.33379928983277729</v>
      </c>
      <c r="E23" s="11">
        <v>0.278555675673059</v>
      </c>
      <c r="F23" s="11">
        <v>0.32221540642120261</v>
      </c>
      <c r="G23" s="11">
        <v>0.2946877676557364</v>
      </c>
      <c r="H23" s="11">
        <v>0.31361053581944953</v>
      </c>
      <c r="I23" s="11">
        <v>0.27465097441231406</v>
      </c>
      <c r="J23" s="11">
        <v>0.30821801429294887</v>
      </c>
      <c r="K23" s="11">
        <v>0.3191776665923044</v>
      </c>
      <c r="L23" s="11">
        <v>0.32285527653447682</v>
      </c>
      <c r="M23" s="11">
        <v>0.33070107133980736</v>
      </c>
      <c r="N23" s="11">
        <v>0.35106082471136268</v>
      </c>
      <c r="O23" s="11">
        <v>0.36090339508908043</v>
      </c>
      <c r="P23" s="11">
        <v>0.35227049092507001</v>
      </c>
      <c r="Q23" s="11">
        <v>0.31379475008361224</v>
      </c>
      <c r="R23" s="11">
        <v>0.2897456818002519</v>
      </c>
      <c r="S23" s="11">
        <v>0.30656666944776723</v>
      </c>
      <c r="T23" s="11">
        <v>0.31685536310826146</v>
      </c>
      <c r="U23" s="11">
        <v>0.31999588377004823</v>
      </c>
      <c r="V23" s="11">
        <v>0.32728177091790123</v>
      </c>
    </row>
    <row r="24" spans="1:22" ht="15.75" thickTop="1" x14ac:dyDescent="0.25">
      <c r="A24" s="2" t="s">
        <v>21</v>
      </c>
      <c r="B24" s="8">
        <v>0.24916413077275887</v>
      </c>
      <c r="C24" s="8">
        <v>0.2836591611837771</v>
      </c>
      <c r="D24" s="8">
        <v>8.6654876130074915E-2</v>
      </c>
      <c r="E24" s="8">
        <v>0.49405314065113071</v>
      </c>
      <c r="F24" s="8">
        <v>0.4658909533349907</v>
      </c>
      <c r="G24" s="8">
        <v>0.4808912241971397</v>
      </c>
      <c r="H24" s="8">
        <v>0.37340752852607129</v>
      </c>
      <c r="I24" s="8">
        <v>0.35783623357444355</v>
      </c>
      <c r="J24" s="8">
        <v>0.35452712943875792</v>
      </c>
      <c r="K24" s="8">
        <v>0.25404976217412056</v>
      </c>
      <c r="L24" s="8">
        <v>0.29463937840430632</v>
      </c>
      <c r="M24" s="8">
        <v>0.43755730505436419</v>
      </c>
      <c r="N24" s="8">
        <v>0.27965116651484456</v>
      </c>
      <c r="O24" s="8">
        <v>0.44105074162365182</v>
      </c>
      <c r="P24" s="8">
        <v>0.34190386215852114</v>
      </c>
      <c r="Q24" s="8">
        <v>0.26002432618579696</v>
      </c>
      <c r="R24" s="8">
        <v>0.32475662965971358</v>
      </c>
      <c r="S24" s="8">
        <v>0.37903696834176592</v>
      </c>
      <c r="T24" s="8">
        <v>0.51603957649109011</v>
      </c>
      <c r="U24" s="8">
        <v>0.59591043723665726</v>
      </c>
      <c r="V24" s="8">
        <v>0.32615158344831191</v>
      </c>
    </row>
    <row r="25" spans="1:22" x14ac:dyDescent="0.25">
      <c r="A25" s="2" t="s">
        <v>22</v>
      </c>
      <c r="B25" s="8">
        <v>7.0900000000000005E-2</v>
      </c>
      <c r="C25" s="8">
        <v>7.0900000000000005E-2</v>
      </c>
      <c r="D25" s="8">
        <v>7.0900000000000005E-2</v>
      </c>
      <c r="E25" s="8">
        <v>7.0900000000000005E-2</v>
      </c>
      <c r="F25" s="8">
        <v>7.0900000000000005E-2</v>
      </c>
      <c r="G25" s="8">
        <v>7.0900000000000005E-2</v>
      </c>
      <c r="H25" s="8">
        <v>7.0900000000000005E-2</v>
      </c>
      <c r="I25" s="8">
        <v>7.0900000000000005E-2</v>
      </c>
      <c r="J25" s="8">
        <v>7.0900000000000005E-2</v>
      </c>
      <c r="K25" s="8">
        <v>7.0900000000000005E-2</v>
      </c>
      <c r="L25" s="8">
        <v>7.0900000000000005E-2</v>
      </c>
      <c r="M25" s="8">
        <v>7.0900000000000005E-2</v>
      </c>
      <c r="N25" s="8">
        <v>7.0900000000000005E-2</v>
      </c>
      <c r="O25" s="8">
        <v>7.0900000000000005E-2</v>
      </c>
      <c r="P25" s="8">
        <v>7.0900000000000005E-2</v>
      </c>
      <c r="Q25" s="8">
        <v>7.0900000000000005E-2</v>
      </c>
      <c r="R25" s="8">
        <v>7.0900000000000005E-2</v>
      </c>
      <c r="S25" s="8">
        <v>7.0900000000000005E-2</v>
      </c>
      <c r="T25" s="8">
        <v>7.0900000000000005E-2</v>
      </c>
      <c r="U25" s="8">
        <v>7.0900000000000005E-2</v>
      </c>
      <c r="V25" s="8">
        <v>7.0900000000000005E-2</v>
      </c>
    </row>
    <row r="26" spans="1:22" x14ac:dyDescent="0.25">
      <c r="A26" s="2" t="s">
        <v>23</v>
      </c>
      <c r="B26" s="8">
        <v>0.78209936630297749</v>
      </c>
      <c r="C26" s="8">
        <v>0.70756486611762115</v>
      </c>
      <c r="D26" s="8">
        <v>0.80840233191372102</v>
      </c>
      <c r="E26" s="8">
        <v>0.54050264312524487</v>
      </c>
      <c r="F26" s="8">
        <v>0.63521173230936323</v>
      </c>
      <c r="G26" s="8">
        <v>0.78091916537143158</v>
      </c>
      <c r="H26" s="8">
        <v>0.75766433526871535</v>
      </c>
      <c r="I26" s="8">
        <v>0.68438574659839579</v>
      </c>
      <c r="J26" s="8">
        <v>0.6028915339025297</v>
      </c>
      <c r="K26" s="8">
        <v>0.72289611489232086</v>
      </c>
      <c r="L26" s="8">
        <v>0.63743428455648077</v>
      </c>
      <c r="M26" s="8">
        <v>0.70611752080107182</v>
      </c>
      <c r="N26" s="8">
        <v>0.71958981184024062</v>
      </c>
      <c r="O26" s="8">
        <v>0.84073856264035485</v>
      </c>
      <c r="P26" s="8">
        <v>0.79714525790651858</v>
      </c>
      <c r="Q26" s="8">
        <v>0.70812822755627025</v>
      </c>
      <c r="R26" s="8">
        <v>0.74634422790665467</v>
      </c>
      <c r="S26" s="8">
        <v>0.75497203943766333</v>
      </c>
      <c r="T26" s="8">
        <v>0.81278790852494687</v>
      </c>
      <c r="U26" s="8">
        <v>0.78822866001869041</v>
      </c>
      <c r="V26" s="8">
        <v>0.7298765074801723</v>
      </c>
    </row>
    <row r="27" spans="1:22" x14ac:dyDescent="0.25">
      <c r="A27" s="2" t="s">
        <v>24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</row>
    <row r="28" spans="1:22" x14ac:dyDescent="0.25">
      <c r="A28" s="2" t="s">
        <v>25</v>
      </c>
      <c r="B28" s="8">
        <v>8.2334486733598514E-2</v>
      </c>
      <c r="C28" s="8">
        <v>7.8323367984419009E-2</v>
      </c>
      <c r="D28" s="8">
        <v>8.1063297992380143E-2</v>
      </c>
      <c r="E28" s="8">
        <v>6.1593961288194186E-2</v>
      </c>
      <c r="F28" s="8">
        <v>7.8708916039751456E-2</v>
      </c>
      <c r="G28" s="8">
        <v>6.8680879050021279E-2</v>
      </c>
      <c r="H28" s="8">
        <v>7.9397572825042756E-2</v>
      </c>
      <c r="I28" s="8">
        <v>0.10295105143327167</v>
      </c>
      <c r="J28" s="8">
        <v>8.9531176124441683E-2</v>
      </c>
      <c r="K28" s="8">
        <v>8.4538058516570133E-2</v>
      </c>
      <c r="L28" s="8">
        <v>9.541302856195609E-2</v>
      </c>
      <c r="M28" s="8">
        <v>0.10334711572238656</v>
      </c>
      <c r="N28" s="8">
        <v>9.219406543838389E-2</v>
      </c>
      <c r="O28" s="8">
        <v>9.0701250673794698E-2</v>
      </c>
      <c r="P28" s="8">
        <v>9.281834319619918E-2</v>
      </c>
      <c r="Q28" s="8">
        <v>0.10306132113554564</v>
      </c>
      <c r="R28" s="8">
        <v>0.10035631935340981</v>
      </c>
      <c r="S28" s="8">
        <v>9.9902602963080178E-2</v>
      </c>
      <c r="T28" s="8">
        <v>0.10844840249531937</v>
      </c>
      <c r="U28" s="8">
        <v>8.2494768831889137E-2</v>
      </c>
      <c r="V28" s="8">
        <v>7.7750490021100571E-2</v>
      </c>
    </row>
    <row r="29" spans="1:22" x14ac:dyDescent="0.25">
      <c r="A29" s="2" t="s">
        <v>26</v>
      </c>
      <c r="B29" s="8">
        <v>0.5890233229232742</v>
      </c>
      <c r="C29" s="8">
        <v>0.54147459136741027</v>
      </c>
      <c r="D29" s="8">
        <v>0.60311640615785522</v>
      </c>
      <c r="E29" s="8">
        <v>0.4271596321930991</v>
      </c>
      <c r="F29" s="8">
        <v>0.499596721579189</v>
      </c>
      <c r="G29" s="8">
        <v>0.57468032802888924</v>
      </c>
      <c r="H29" s="8">
        <v>0.57181324802962563</v>
      </c>
      <c r="I29" s="8">
        <v>0.55256272563677911</v>
      </c>
      <c r="J29" s="8">
        <v>0.49153988164210977</v>
      </c>
      <c r="K29" s="8">
        <v>0.55664467800922734</v>
      </c>
      <c r="L29" s="8">
        <v>0.51759908684256695</v>
      </c>
      <c r="M29" s="8">
        <v>0.56565290565063164</v>
      </c>
      <c r="N29" s="8">
        <v>0.56236938410061965</v>
      </c>
      <c r="O29" s="8">
        <v>0.63164282377165271</v>
      </c>
      <c r="P29" s="8">
        <v>0.60829589067175294</v>
      </c>
      <c r="Q29" s="8">
        <v>0.56654161913666845</v>
      </c>
      <c r="R29" s="8">
        <v>0.58615961438459852</v>
      </c>
      <c r="S29" s="8">
        <v>0.59074563552349302</v>
      </c>
      <c r="T29" s="8">
        <v>0.63306324430036764</v>
      </c>
      <c r="U29" s="8">
        <v>0.59276389087455261</v>
      </c>
      <c r="V29" s="8">
        <v>0.55393454518412177</v>
      </c>
    </row>
    <row r="30" spans="1:22" x14ac:dyDescent="0.25">
      <c r="A30" s="2" t="s">
        <v>27</v>
      </c>
      <c r="B30" s="8">
        <v>5.11E-2</v>
      </c>
      <c r="C30" s="8">
        <v>5.11E-2</v>
      </c>
      <c r="D30" s="8">
        <v>5.11E-2</v>
      </c>
      <c r="E30" s="8">
        <v>5.11E-2</v>
      </c>
      <c r="F30" s="8">
        <v>5.11E-2</v>
      </c>
      <c r="G30" s="8">
        <v>5.11E-2</v>
      </c>
      <c r="H30" s="8">
        <v>5.11E-2</v>
      </c>
      <c r="I30" s="8">
        <v>5.11E-2</v>
      </c>
      <c r="J30" s="8">
        <v>5.11E-2</v>
      </c>
      <c r="K30" s="8">
        <v>5.11E-2</v>
      </c>
      <c r="L30" s="8">
        <v>5.11E-2</v>
      </c>
      <c r="M30" s="8">
        <v>5.11E-2</v>
      </c>
      <c r="N30" s="8">
        <v>5.11E-2</v>
      </c>
      <c r="O30" s="8">
        <v>5.11E-2</v>
      </c>
      <c r="P30" s="8">
        <v>5.11E-2</v>
      </c>
      <c r="Q30" s="8">
        <v>5.11E-2</v>
      </c>
      <c r="R30" s="8">
        <v>5.11E-2</v>
      </c>
      <c r="S30" s="8">
        <v>5.11E-2</v>
      </c>
      <c r="T30" s="8">
        <v>5.11E-2</v>
      </c>
      <c r="U30" s="8">
        <v>5.11E-2</v>
      </c>
      <c r="V30" s="8">
        <v>5.11E-2</v>
      </c>
    </row>
    <row r="31" spans="1:22" x14ac:dyDescent="0.25">
      <c r="A31" s="2" t="s">
        <v>28</v>
      </c>
      <c r="B31" s="8">
        <v>8.2800000000000012E-2</v>
      </c>
      <c r="C31" s="8">
        <v>8.2800000000000012E-2</v>
      </c>
      <c r="D31" s="8">
        <v>8.2800000000000012E-2</v>
      </c>
      <c r="E31" s="8">
        <v>8.2800000000000012E-2</v>
      </c>
      <c r="F31" s="8">
        <v>8.2800000000000012E-2</v>
      </c>
      <c r="G31" s="8">
        <v>8.2800000000000012E-2</v>
      </c>
      <c r="H31" s="8">
        <v>8.2800000000000012E-2</v>
      </c>
      <c r="I31" s="8">
        <v>8.2800000000000012E-2</v>
      </c>
      <c r="J31" s="8">
        <v>8.2800000000000012E-2</v>
      </c>
      <c r="K31" s="8">
        <v>8.2800000000000012E-2</v>
      </c>
      <c r="L31" s="8">
        <v>8.2800000000000012E-2</v>
      </c>
      <c r="M31" s="8">
        <v>8.2800000000000012E-2</v>
      </c>
      <c r="N31" s="8">
        <v>8.2800000000000012E-2</v>
      </c>
      <c r="O31" s="8">
        <v>8.2800000000000012E-2</v>
      </c>
      <c r="P31" s="8">
        <v>8.2800000000000012E-2</v>
      </c>
      <c r="Q31" s="8">
        <v>8.2800000000000012E-2</v>
      </c>
      <c r="R31" s="8">
        <v>8.2800000000000012E-2</v>
      </c>
      <c r="S31" s="8">
        <v>8.2800000000000012E-2</v>
      </c>
      <c r="T31" s="8">
        <v>8.2800000000000012E-2</v>
      </c>
      <c r="U31" s="8">
        <v>8.2800000000000012E-2</v>
      </c>
      <c r="V31" s="8">
        <v>8.2800000000000012E-2</v>
      </c>
    </row>
    <row r="32" spans="1:22" x14ac:dyDescent="0.25">
      <c r="A32" s="2" t="s">
        <v>29</v>
      </c>
      <c r="B32" s="8">
        <v>1.7105189280713502</v>
      </c>
      <c r="C32" s="8">
        <v>1.6276712681231476</v>
      </c>
      <c r="D32" s="8">
        <v>1.6847063595218739</v>
      </c>
      <c r="E32" s="8">
        <v>1.3752793037712838</v>
      </c>
      <c r="F32" s="8">
        <v>1.6386355029202626</v>
      </c>
      <c r="G32" s="8">
        <v>1.4535067780834749</v>
      </c>
      <c r="H32" s="8">
        <v>1.6395386554376625</v>
      </c>
      <c r="I32" s="8">
        <v>2.1022992122376283</v>
      </c>
      <c r="J32" s="8">
        <v>1.852319392545462</v>
      </c>
      <c r="K32" s="8">
        <v>1.7573624783906729</v>
      </c>
      <c r="L32" s="8">
        <v>1.9497942041857459</v>
      </c>
      <c r="M32" s="8">
        <v>2.1157670296217299</v>
      </c>
      <c r="N32" s="8">
        <v>1.8927027971314987</v>
      </c>
      <c r="O32" s="8">
        <v>1.8495215712863815</v>
      </c>
      <c r="P32" s="8">
        <v>1.9045252259043828</v>
      </c>
      <c r="Q32" s="8">
        <v>2.1256749843786373</v>
      </c>
      <c r="R32" s="8">
        <v>2.076385365527416</v>
      </c>
      <c r="S32" s="8">
        <v>2.0879154457264546</v>
      </c>
      <c r="T32" s="8">
        <v>2.2412543419909743</v>
      </c>
      <c r="U32" s="8">
        <v>1.7073764568055021</v>
      </c>
      <c r="V32" s="8">
        <v>1.6222359331698455</v>
      </c>
    </row>
    <row r="33" spans="1:22" x14ac:dyDescent="0.25">
      <c r="A33" s="2" t="s">
        <v>30</v>
      </c>
      <c r="B33" s="8">
        <v>8.6900000000000005E-2</v>
      </c>
      <c r="C33" s="8">
        <v>8.6900000000000005E-2</v>
      </c>
      <c r="D33" s="8">
        <v>8.6900000000000005E-2</v>
      </c>
      <c r="E33" s="8">
        <v>8.6900000000000005E-2</v>
      </c>
      <c r="F33" s="8">
        <v>8.6900000000000005E-2</v>
      </c>
      <c r="G33" s="8">
        <v>8.6900000000000005E-2</v>
      </c>
      <c r="H33" s="8">
        <v>8.6900000000000005E-2</v>
      </c>
      <c r="I33" s="8">
        <v>8.6900000000000005E-2</v>
      </c>
      <c r="J33" s="8">
        <v>8.6900000000000005E-2</v>
      </c>
      <c r="K33" s="8">
        <v>8.6900000000000005E-2</v>
      </c>
      <c r="L33" s="8">
        <v>8.6900000000000005E-2</v>
      </c>
      <c r="M33" s="8">
        <v>8.6900000000000005E-2</v>
      </c>
      <c r="N33" s="8">
        <v>8.6900000000000005E-2</v>
      </c>
      <c r="O33" s="8">
        <v>8.6900000000000005E-2</v>
      </c>
      <c r="P33" s="8">
        <v>8.6900000000000005E-2</v>
      </c>
      <c r="Q33" s="8">
        <v>8.6900000000000005E-2</v>
      </c>
      <c r="R33" s="8">
        <v>8.6900000000000005E-2</v>
      </c>
      <c r="S33" s="8">
        <v>8.6900000000000005E-2</v>
      </c>
      <c r="T33" s="8">
        <v>8.6900000000000005E-2</v>
      </c>
      <c r="U33" s="8">
        <v>8.6900000000000005E-2</v>
      </c>
      <c r="V33" s="8">
        <v>8.6900000000000005E-2</v>
      </c>
    </row>
    <row r="34" spans="1:22" ht="15.75" thickBot="1" x14ac:dyDescent="0.3">
      <c r="A34" s="3" t="s">
        <v>31</v>
      </c>
      <c r="B34" s="10">
        <v>0.35151053011330174</v>
      </c>
      <c r="C34" s="11">
        <v>0.32051364273462973</v>
      </c>
      <c r="D34" s="11">
        <v>0.36244922374824584</v>
      </c>
      <c r="E34" s="11">
        <v>0.25103697222033994</v>
      </c>
      <c r="F34" s="11">
        <v>0.29042392676992568</v>
      </c>
      <c r="G34" s="11">
        <v>0.35101971639256357</v>
      </c>
      <c r="H34" s="11">
        <v>0.34134866006413245</v>
      </c>
      <c r="I34" s="11">
        <v>0.3108740723948884</v>
      </c>
      <c r="J34" s="11">
        <v>0.27698282838486155</v>
      </c>
      <c r="K34" s="11">
        <v>0.32688949539966361</v>
      </c>
      <c r="L34" s="11">
        <v>0.29134822627586976</v>
      </c>
      <c r="M34" s="11">
        <v>0.31991173087282671</v>
      </c>
      <c r="N34" s="11">
        <v>0.32551449317800479</v>
      </c>
      <c r="O34" s="11">
        <v>0.37589698954249678</v>
      </c>
      <c r="P34" s="11">
        <v>0.35776771043096484</v>
      </c>
      <c r="Q34" s="11">
        <v>0.3207479295551473</v>
      </c>
      <c r="R34" s="11">
        <v>0.33664093287546587</v>
      </c>
      <c r="S34" s="11">
        <v>0.34022900687725044</v>
      </c>
      <c r="T34" s="11">
        <v>0.36427306671989845</v>
      </c>
      <c r="U34" s="11">
        <v>0.35405953797602679</v>
      </c>
      <c r="V34" s="11">
        <v>0.32979245231715099</v>
      </c>
    </row>
    <row r="35" spans="1:22" ht="15.75" thickTop="1" x14ac:dyDescent="0.25">
      <c r="A35" s="2" t="s">
        <v>32</v>
      </c>
      <c r="B35" s="8">
        <v>32.885436746827374</v>
      </c>
      <c r="C35" s="8">
        <v>32.074317801085677</v>
      </c>
      <c r="D35" s="8">
        <v>32.974771881369406</v>
      </c>
      <c r="E35" s="8">
        <v>30.32458462462165</v>
      </c>
      <c r="F35" s="8">
        <v>31.511847477472656</v>
      </c>
      <c r="G35" s="8">
        <v>32.8795762293678</v>
      </c>
      <c r="H35" s="8">
        <v>32.694631039115926</v>
      </c>
      <c r="I35" s="8">
        <v>32.323752467377858</v>
      </c>
      <c r="J35" s="8">
        <v>31.251131291200604</v>
      </c>
      <c r="K35" s="8">
        <v>32.318062353898618</v>
      </c>
      <c r="L35" s="8">
        <v>31.637442169078124</v>
      </c>
      <c r="M35" s="8">
        <v>32.640868858895253</v>
      </c>
      <c r="N35" s="8">
        <v>32.425380462771933</v>
      </c>
      <c r="O35" s="8">
        <v>33.808610512645487</v>
      </c>
      <c r="P35" s="8">
        <v>33.304296260950593</v>
      </c>
      <c r="Q35" s="8">
        <v>32.49157558552487</v>
      </c>
      <c r="R35" s="8">
        <v>32.909826269624617</v>
      </c>
      <c r="S35" s="8">
        <v>33.06355156382611</v>
      </c>
      <c r="T35" s="8">
        <v>33.934803685007729</v>
      </c>
      <c r="U35" s="8">
        <v>33.293629473542182</v>
      </c>
      <c r="V35" s="8">
        <v>32.343470115966582</v>
      </c>
    </row>
    <row r="36" spans="1:22" x14ac:dyDescent="0.25">
      <c r="A36" s="2" t="s">
        <v>33</v>
      </c>
      <c r="B36" s="8">
        <v>3.9409148994598917</v>
      </c>
      <c r="C36" s="8">
        <v>3.7429628057425668</v>
      </c>
      <c r="D36" s="8">
        <v>3.9101588208689106</v>
      </c>
      <c r="E36" s="8">
        <v>3.1847962288174321</v>
      </c>
      <c r="F36" s="8">
        <v>3.7396225371265466</v>
      </c>
      <c r="G36" s="8">
        <v>3.4759944845571864</v>
      </c>
      <c r="H36" s="8">
        <v>3.7830953971743577</v>
      </c>
      <c r="I36" s="8">
        <v>4.5761096492365203</v>
      </c>
      <c r="J36" s="8">
        <v>4.1066825568066578</v>
      </c>
      <c r="K36" s="8">
        <v>3.9789686720001276</v>
      </c>
      <c r="L36" s="8">
        <v>4.2760965344481834</v>
      </c>
      <c r="M36" s="8">
        <v>4.6165916610612694</v>
      </c>
      <c r="N36" s="8">
        <v>4.249497339156064</v>
      </c>
      <c r="O36" s="8">
        <v>4.2332024462198552</v>
      </c>
      <c r="P36" s="8">
        <v>4.2994052740501667</v>
      </c>
      <c r="Q36" s="8">
        <v>4.6290809875522561</v>
      </c>
      <c r="R36" s="8">
        <v>4.5695636306692089</v>
      </c>
      <c r="S36" s="8">
        <v>4.6038550051160998</v>
      </c>
      <c r="T36" s="8">
        <v>4.9187982167633315</v>
      </c>
      <c r="U36" s="8">
        <v>3.9506872052199031</v>
      </c>
      <c r="V36" s="8">
        <v>3.7502686438282402</v>
      </c>
    </row>
    <row r="37" spans="1:22" x14ac:dyDescent="0.25">
      <c r="A37" s="2" t="s">
        <v>34</v>
      </c>
      <c r="B37" s="8">
        <v>0.45938883618967563</v>
      </c>
      <c r="C37" s="8">
        <v>0.4158512233829913</v>
      </c>
      <c r="D37" s="8">
        <v>0.47475310816547506</v>
      </c>
      <c r="E37" s="8">
        <v>0.31826567090490493</v>
      </c>
      <c r="F37" s="8">
        <v>0.37358780553943755</v>
      </c>
      <c r="G37" s="8">
        <v>0.45869944897886794</v>
      </c>
      <c r="H37" s="8">
        <v>0.44511567520458289</v>
      </c>
      <c r="I37" s="8">
        <v>0.40231167420350733</v>
      </c>
      <c r="J37" s="8">
        <v>0.35470870551766809</v>
      </c>
      <c r="K37" s="8">
        <v>0.42480661949265719</v>
      </c>
      <c r="L37" s="8">
        <v>0.37488605828061089</v>
      </c>
      <c r="M37" s="8">
        <v>0.41500578992824499</v>
      </c>
      <c r="N37" s="8">
        <v>0.42287531866223571</v>
      </c>
      <c r="O37" s="8">
        <v>0.49364157309785806</v>
      </c>
      <c r="P37" s="8">
        <v>0.46817754747555362</v>
      </c>
      <c r="Q37" s="8">
        <v>0.41618029800112288</v>
      </c>
      <c r="R37" s="8">
        <v>0.43850329503118873</v>
      </c>
      <c r="S37" s="8">
        <v>0.44354303256041278</v>
      </c>
      <c r="T37" s="8">
        <v>0.47731484180504824</v>
      </c>
      <c r="U37" s="8">
        <v>0.46296912204266349</v>
      </c>
      <c r="V37" s="8">
        <v>0.42888405516302125</v>
      </c>
    </row>
    <row r="38" spans="1:22" ht="15.75" thickBot="1" x14ac:dyDescent="0.3">
      <c r="A38" s="4" t="s">
        <v>35</v>
      </c>
      <c r="B38" s="12">
        <v>-1.4584009953026258</v>
      </c>
      <c r="C38" s="13">
        <v>-1.3237770381333933</v>
      </c>
      <c r="D38" s="13">
        <v>-1.5032226224888054</v>
      </c>
      <c r="E38" s="13">
        <v>-1.0142909740029091</v>
      </c>
      <c r="F38" s="13">
        <v>-1.1973723326580643</v>
      </c>
      <c r="G38" s="13">
        <v>-1.4426792259866252</v>
      </c>
      <c r="H38" s="13">
        <v>-1.4126445984387914</v>
      </c>
      <c r="I38" s="13">
        <v>-1.3077860740437937</v>
      </c>
      <c r="J38" s="13">
        <v>-1.1515572926774462</v>
      </c>
      <c r="K38" s="13">
        <v>-1.3568579169945418</v>
      </c>
      <c r="L38" s="13">
        <v>-1.2179712034037886</v>
      </c>
      <c r="M38" s="13">
        <v>-1.346264485507122</v>
      </c>
      <c r="N38" s="13">
        <v>-1.3587200214250912</v>
      </c>
      <c r="O38" s="13">
        <v>-1.5695259699673692</v>
      </c>
      <c r="P38" s="13">
        <v>-1.49525098562286</v>
      </c>
      <c r="Q38" s="13">
        <v>-1.3495022151389144</v>
      </c>
      <c r="R38" s="13">
        <v>-1.4137662044469761</v>
      </c>
      <c r="S38" s="13">
        <v>-1.4284317006443183</v>
      </c>
      <c r="T38" s="13">
        <v>-1.5382929279104642</v>
      </c>
      <c r="U38" s="13">
        <v>-1.4693021349598798</v>
      </c>
      <c r="V38" s="13">
        <v>-1.3623026555101645</v>
      </c>
    </row>
    <row r="39" spans="1:22" x14ac:dyDescent="0.25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 x14ac:dyDescent="0.25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2" x14ac:dyDescent="0.25">
      <c r="A41" s="6" t="s">
        <v>36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2" x14ac:dyDescent="0.25">
      <c r="A42" s="5" t="s">
        <v>38</v>
      </c>
      <c r="B42" s="15">
        <v>36.424604395363787</v>
      </c>
      <c r="C42" s="15">
        <v>35.686361356572974</v>
      </c>
      <c r="D42" s="15">
        <v>37.233141388162466</v>
      </c>
      <c r="E42" s="15">
        <v>32.898701419419602</v>
      </c>
      <c r="F42" s="15">
        <v>37.225481653730562</v>
      </c>
      <c r="G42" s="15">
        <v>36.275878800993105</v>
      </c>
      <c r="H42" s="15">
        <v>37.003901824436376</v>
      </c>
      <c r="I42" s="15">
        <v>34.43556556440889</v>
      </c>
      <c r="J42" s="15">
        <v>35.942267781624835</v>
      </c>
      <c r="K42" s="15">
        <v>36.272575037339848</v>
      </c>
      <c r="L42" s="15">
        <v>35.988546955746564</v>
      </c>
      <c r="M42" s="15">
        <v>39.144705389405786</v>
      </c>
      <c r="N42" s="15">
        <v>39.125242467285759</v>
      </c>
      <c r="O42" s="15">
        <v>41.870327875538571</v>
      </c>
      <c r="P42" s="15">
        <v>39.623009160523459</v>
      </c>
      <c r="Q42" s="15">
        <v>36.669345709532109</v>
      </c>
      <c r="R42" s="15">
        <v>35.776722885614447</v>
      </c>
      <c r="S42" s="15">
        <v>37.471566322897957</v>
      </c>
      <c r="T42" s="15">
        <v>39.70985543087734</v>
      </c>
      <c r="U42" s="15">
        <v>39.487857614515164</v>
      </c>
      <c r="V42" s="15">
        <v>37.609418249157393</v>
      </c>
    </row>
    <row r="43" spans="1:22" x14ac:dyDescent="0.25">
      <c r="A43" s="5" t="s">
        <v>37</v>
      </c>
      <c r="B43" s="15">
        <v>63.09171512444658</v>
      </c>
      <c r="C43" s="15">
        <v>61.847517896453567</v>
      </c>
      <c r="D43" s="15">
        <v>64.007652717280166</v>
      </c>
      <c r="E43" s="15">
        <v>57.189720219938486</v>
      </c>
      <c r="F43" s="15">
        <v>64.601612068774486</v>
      </c>
      <c r="G43" s="15">
        <v>62.3705792028641</v>
      </c>
      <c r="H43" s="15">
        <v>63.967626908029196</v>
      </c>
      <c r="I43" s="15">
        <v>61.712608381370437</v>
      </c>
      <c r="J43" s="15">
        <v>63.248714091433058</v>
      </c>
      <c r="K43" s="15">
        <v>63.116682638335817</v>
      </c>
      <c r="L43" s="15">
        <v>63.533156860941283</v>
      </c>
      <c r="M43" s="15">
        <v>69.174837434712643</v>
      </c>
      <c r="N43" s="15">
        <v>68.108209915546865</v>
      </c>
      <c r="O43" s="15">
        <v>72.279008888077811</v>
      </c>
      <c r="P43" s="15">
        <v>68.898446131817366</v>
      </c>
      <c r="Q43" s="15">
        <v>65.029986322436969</v>
      </c>
      <c r="R43" s="15">
        <v>63.507618278556059</v>
      </c>
      <c r="S43" s="15">
        <v>66.249896498515383</v>
      </c>
      <c r="T43" s="15">
        <v>70.425149065623231</v>
      </c>
      <c r="U43" s="15">
        <v>68.407231936210877</v>
      </c>
      <c r="V43" s="15">
        <v>64.859084596464982</v>
      </c>
    </row>
    <row r="44" spans="1:22" x14ac:dyDescent="0.25">
      <c r="A44" s="5" t="s">
        <v>39</v>
      </c>
      <c r="B44" s="15">
        <v>20.024823952204542</v>
      </c>
      <c r="C44" s="15">
        <v>19.39376700430433</v>
      </c>
      <c r="D44" s="15">
        <v>19.798117461757215</v>
      </c>
      <c r="E44" s="15">
        <v>17.932414275570007</v>
      </c>
      <c r="F44" s="15">
        <v>20.099988038805101</v>
      </c>
      <c r="G44" s="15">
        <v>20.777480342938773</v>
      </c>
      <c r="H44" s="15">
        <v>20.491156884411499</v>
      </c>
      <c r="I44" s="15">
        <v>19.377087235840676</v>
      </c>
      <c r="J44" s="15">
        <v>19.149361991530157</v>
      </c>
      <c r="K44" s="15">
        <v>19.587822626410912</v>
      </c>
      <c r="L44" s="15">
        <v>19.230271022109857</v>
      </c>
      <c r="M44" s="15">
        <v>21.461066455546021</v>
      </c>
      <c r="N44" s="15">
        <v>20.729530873266715</v>
      </c>
      <c r="O44" s="15">
        <v>23.105581920679246</v>
      </c>
      <c r="P44" s="15">
        <v>21.697039041003514</v>
      </c>
      <c r="Q44" s="15">
        <v>19.88818907399423</v>
      </c>
      <c r="R44" s="15">
        <v>20.093241441324736</v>
      </c>
      <c r="S44" s="15">
        <v>20.961835587695106</v>
      </c>
      <c r="T44" s="15">
        <v>22.736390334056154</v>
      </c>
      <c r="U44" s="15">
        <v>22.524405516209214</v>
      </c>
      <c r="V44" s="15">
        <v>20.339831107499133</v>
      </c>
    </row>
    <row r="45" spans="1:22" x14ac:dyDescent="0.25">
      <c r="A45" s="5" t="s">
        <v>40</v>
      </c>
      <c r="B45" s="15">
        <v>6.527908677816086</v>
      </c>
      <c r="C45" s="15">
        <v>6.5273385569633158</v>
      </c>
      <c r="D45" s="15">
        <v>6.9566064734860316</v>
      </c>
      <c r="E45" s="15">
        <v>5.9913462582702426</v>
      </c>
      <c r="F45" s="15">
        <v>6.7815145970183117</v>
      </c>
      <c r="G45" s="15">
        <v>6.3085998467841904</v>
      </c>
      <c r="H45" s="15">
        <v>6.5791939262087986</v>
      </c>
      <c r="I45" s="15">
        <v>5.8507353501289092</v>
      </c>
      <c r="J45" s="15">
        <v>6.577949710335675</v>
      </c>
      <c r="K45" s="15">
        <v>6.5970261922464708</v>
      </c>
      <c r="L45" s="15">
        <v>6.543148673538064</v>
      </c>
      <c r="M45" s="15">
        <v>6.9481053822502341</v>
      </c>
      <c r="N45" s="15">
        <v>7.2455211088468729</v>
      </c>
      <c r="O45" s="15">
        <v>7.4365428994912142</v>
      </c>
      <c r="P45" s="15">
        <v>7.0801416595340045</v>
      </c>
      <c r="Q45" s="15">
        <v>6.5200487899398532</v>
      </c>
      <c r="R45" s="15">
        <v>6.11282248938367</v>
      </c>
      <c r="S45" s="15">
        <v>6.4521870002317359</v>
      </c>
      <c r="T45" s="15">
        <v>6.5925302418943161</v>
      </c>
      <c r="U45" s="15">
        <v>6.8002499541071577</v>
      </c>
      <c r="V45" s="15">
        <v>6.9254696093848569</v>
      </c>
    </row>
    <row r="46" spans="1:22" x14ac:dyDescent="0.25">
      <c r="A46" s="5" t="s">
        <v>41</v>
      </c>
      <c r="B46" s="15">
        <v>0.19429075137965315</v>
      </c>
      <c r="C46" s="15">
        <v>0.19237856879924339</v>
      </c>
      <c r="D46" s="15">
        <v>0.20400155401742842</v>
      </c>
      <c r="E46" s="15">
        <v>0.18532848771902916</v>
      </c>
      <c r="F46" s="15">
        <v>0.20179798600067766</v>
      </c>
      <c r="G46" s="15">
        <v>0.18948144347825885</v>
      </c>
      <c r="H46" s="15">
        <v>0.19566982720303738</v>
      </c>
      <c r="I46" s="15">
        <v>0.17826235395751441</v>
      </c>
      <c r="J46" s="15">
        <v>0.1966742530058439</v>
      </c>
      <c r="K46" s="15">
        <v>0.19738784560175246</v>
      </c>
      <c r="L46" s="15">
        <v>0.19464560363270017</v>
      </c>
      <c r="M46" s="15">
        <v>0.19504905141228593</v>
      </c>
      <c r="N46" s="15">
        <v>0.20541528598954123</v>
      </c>
      <c r="O46" s="15">
        <v>0.21387761471058267</v>
      </c>
      <c r="P46" s="15">
        <v>0.20359880260464047</v>
      </c>
      <c r="Q46" s="15">
        <v>0.19337727157765994</v>
      </c>
      <c r="R46" s="15">
        <v>0.18480465830623635</v>
      </c>
      <c r="S46" s="15">
        <v>0.19066004818156668</v>
      </c>
      <c r="T46" s="15">
        <v>0.19502768501037882</v>
      </c>
      <c r="U46" s="15">
        <v>0.19875212638879119</v>
      </c>
      <c r="V46" s="15">
        <v>0.20149029615574032</v>
      </c>
    </row>
    <row r="47" spans="1:22" x14ac:dyDescent="0.25">
      <c r="A47" s="5" t="s">
        <v>42</v>
      </c>
      <c r="B47" s="15">
        <v>1.8246213067326089</v>
      </c>
      <c r="C47" s="15">
        <v>1.7330219866532275</v>
      </c>
      <c r="D47" s="15">
        <v>1.7012369121940312</v>
      </c>
      <c r="E47" s="15">
        <v>1.6453093772576686</v>
      </c>
      <c r="F47" s="15">
        <v>1.8014083232632943</v>
      </c>
      <c r="G47" s="15">
        <v>2.0271715966474817</v>
      </c>
      <c r="H47" s="15">
        <v>1.9042826846494549</v>
      </c>
      <c r="I47" s="15">
        <v>1.8197357572428901</v>
      </c>
      <c r="J47" s="15">
        <v>1.6604897211078391</v>
      </c>
      <c r="K47" s="15">
        <v>1.7401286135922387</v>
      </c>
      <c r="L47" s="15">
        <v>1.6670857783653101</v>
      </c>
      <c r="M47" s="15">
        <v>1.9346748472284541</v>
      </c>
      <c r="N47" s="15">
        <v>1.7758044278940888</v>
      </c>
      <c r="O47" s="15">
        <v>2.1261333787094543</v>
      </c>
      <c r="P47" s="15">
        <v>1.9621633539329917</v>
      </c>
      <c r="Q47" s="15">
        <v>1.7597554940142812</v>
      </c>
      <c r="R47" s="15">
        <v>1.8796167913043766</v>
      </c>
      <c r="S47" s="15">
        <v>1.9466572462660023</v>
      </c>
      <c r="T47" s="15">
        <v>2.1923391318117238</v>
      </c>
      <c r="U47" s="15">
        <v>2.1813977569617893</v>
      </c>
      <c r="V47" s="15">
        <v>1.8097131261337065</v>
      </c>
    </row>
    <row r="48" spans="1:22" x14ac:dyDescent="0.25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1:22" x14ac:dyDescent="0.25">
      <c r="A49" s="5" t="s">
        <v>63</v>
      </c>
      <c r="B49" s="15">
        <f>(B42*4+B43-2*B44-B45*3+6*B46+5*B47)/B42</f>
        <v>4.3774150044105893</v>
      </c>
      <c r="C49" s="15">
        <f t="shared" ref="C49:V49" si="0">(C42*4+C43-2*C44-C45*3+6*C46+5*C47)/C42</f>
        <v>4.3726171303975585</v>
      </c>
      <c r="D49" s="15">
        <f t="shared" si="0"/>
        <v>4.3564510477378589</v>
      </c>
      <c r="E49" s="15">
        <f t="shared" ref="E49:J49" si="1">(E42*4+E43-2*E44-E45*3+6*E46+5*E47)/E42</f>
        <v>4.3857103824499255</v>
      </c>
      <c r="F49" s="15">
        <f t="shared" si="1"/>
        <v>4.3834717805726315</v>
      </c>
      <c r="G49" s="15">
        <f t="shared" si="1"/>
        <v>4.3628462233251417</v>
      </c>
      <c r="H49" s="15">
        <f t="shared" si="1"/>
        <v>4.3768025278306633</v>
      </c>
      <c r="I49" s="15">
        <f t="shared" si="1"/>
        <v>4.4522789306344084</v>
      </c>
      <c r="J49" s="15">
        <f t="shared" si="1"/>
        <v>4.4089512434286213</v>
      </c>
      <c r="K49" s="15">
        <f t="shared" si="0"/>
        <v>4.3869294897287663</v>
      </c>
      <c r="L49" s="15">
        <f t="shared" si="0"/>
        <v>4.4153118859760889</v>
      </c>
      <c r="M49" s="15">
        <f t="shared" si="0"/>
        <v>4.4151789305811047</v>
      </c>
      <c r="N49" s="15">
        <f t="shared" si="0"/>
        <v>4.3840001428858306</v>
      </c>
      <c r="O49" s="15">
        <f t="shared" si="0"/>
        <v>4.3743020350029891</v>
      </c>
      <c r="P49" s="15">
        <f t="shared" si="0"/>
        <v>4.386047223080193</v>
      </c>
      <c r="Q49" s="15">
        <f t="shared" si="0"/>
        <v>4.4268552547447682</v>
      </c>
      <c r="R49" s="15">
        <f t="shared" si="0"/>
        <v>4.4329513321731069</v>
      </c>
      <c r="S49" s="15">
        <f t="shared" si="0"/>
        <v>4.4229049489496717</v>
      </c>
      <c r="T49" s="15">
        <f t="shared" si="0"/>
        <v>4.4358273091946758</v>
      </c>
      <c r="U49" s="15">
        <f t="shared" si="0"/>
        <v>4.3813114586160253</v>
      </c>
      <c r="V49" s="15">
        <f t="shared" si="0"/>
        <v>4.3632207462081967</v>
      </c>
    </row>
    <row r="50" spans="1:22" x14ac:dyDescent="0.25">
      <c r="A50" s="5" t="s">
        <v>64</v>
      </c>
      <c r="B50" s="15">
        <f>(B42*12.01+B43*1.008+B44*15.999+B45*14.007+B46*32.066+B47*30.973)/B42</f>
        <v>26.78446786333798</v>
      </c>
      <c r="C50" s="15">
        <f t="shared" ref="C50:V50" si="2">(C42*12.01+C43*1.008+C44*15.999+C45*14.007+C46*32.066+C47*30.973)/C42</f>
        <v>26.690603142861665</v>
      </c>
      <c r="D50" s="15">
        <f t="shared" si="2"/>
        <v>26.458012892281186</v>
      </c>
      <c r="E50" s="15">
        <f t="shared" ref="E50:J50" si="3">(E42*12.01+E43*1.008+E44*15.999+E45*14.007+E46*32.066+E47*30.973)/E42</f>
        <v>26.763519461367753</v>
      </c>
      <c r="F50" s="15">
        <f t="shared" si="3"/>
        <v>26.622374604953499</v>
      </c>
      <c r="G50" s="15">
        <f t="shared" si="3"/>
        <v>27.240961343698199</v>
      </c>
      <c r="H50" s="15">
        <f t="shared" si="3"/>
        <v>26.865942898138226</v>
      </c>
      <c r="I50" s="15">
        <f t="shared" si="3"/>
        <v>27.00177974206272</v>
      </c>
      <c r="J50" s="15">
        <f t="shared" si="3"/>
        <v>26.477634479478528</v>
      </c>
      <c r="K50" s="15">
        <f t="shared" si="2"/>
        <v>26.611615072401758</v>
      </c>
      <c r="L50" s="15">
        <f t="shared" si="2"/>
        <v>26.493290088070029</v>
      </c>
      <c r="M50" s="15">
        <f t="shared" si="2"/>
        <v>26.739529105805737</v>
      </c>
      <c r="N50" s="15">
        <f t="shared" si="2"/>
        <v>26.409442809451082</v>
      </c>
      <c r="O50" s="15">
        <f t="shared" si="2"/>
        <v>26.803245304277745</v>
      </c>
      <c r="P50" s="15">
        <f t="shared" si="2"/>
        <v>26.725055788583731</v>
      </c>
      <c r="Q50" s="15">
        <f t="shared" si="2"/>
        <v>26.620935067100973</v>
      </c>
      <c r="R50" s="15">
        <f t="shared" si="2"/>
        <v>26.970930670340284</v>
      </c>
      <c r="S50" s="15">
        <f t="shared" si="2"/>
        <v>26.926152736383511</v>
      </c>
      <c r="T50" s="15">
        <f t="shared" si="2"/>
        <v>27.150994633804686</v>
      </c>
      <c r="U50" s="15">
        <f t="shared" si="2"/>
        <v>27.166840844763055</v>
      </c>
      <c r="V50" s="15">
        <f t="shared" si="2"/>
        <v>26.642324191437542</v>
      </c>
    </row>
    <row r="53" spans="1:22" x14ac:dyDescent="0.25">
      <c r="A53" s="16" t="s">
        <v>67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</row>
    <row r="55" spans="1:22" x14ac:dyDescent="0.25">
      <c r="A55" t="s">
        <v>66</v>
      </c>
    </row>
    <row r="56" spans="1:22" x14ac:dyDescent="0.25">
      <c r="A56" t="s">
        <v>1</v>
      </c>
      <c r="B56">
        <v>488</v>
      </c>
    </row>
    <row r="57" spans="1:22" x14ac:dyDescent="0.25">
      <c r="A57" t="s">
        <v>2</v>
      </c>
      <c r="B57">
        <v>281</v>
      </c>
    </row>
    <row r="58" spans="1:22" x14ac:dyDescent="0.25">
      <c r="A58" t="s">
        <v>5</v>
      </c>
      <c r="B58">
        <v>87</v>
      </c>
    </row>
    <row r="59" spans="1:22" x14ac:dyDescent="0.25">
      <c r="A59" t="s">
        <v>18</v>
      </c>
      <c r="B59">
        <v>54</v>
      </c>
    </row>
  </sheetData>
  <pageMargins left="0.7" right="0.7" top="0.75" bottom="0.75" header="0.3" footer="0.3"/>
  <pageSetup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  <Manager/>
  <Template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Printed>2018-11-13T18:13:51Z</cp:lastPrinted>
</cp:coreProperties>
</file>